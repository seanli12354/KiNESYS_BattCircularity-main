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10" firstSheet="1" activeTab="1"/>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s>
  <externalReferences>
    <externalReference r:id="rId10"/>
    <externalReference r:id="rId11"/>
    <externalReference r:id="rId12"/>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manufacturing cost/ pack assemble=60%:40%  (but 60% should be attrbuted to be ACT_COST to align with the package production GWh);</t>
        </r>
      </text>
    </comment>
    <comment ref="BL2" authorId="0">
      <text>
        <r>
          <rPr>
            <b/>
            <sz val="9"/>
            <rFont val="Times New Roman"/>
            <charset val="134"/>
          </rPr>
          <t>xli9:</t>
        </r>
        <r>
          <rPr>
            <sz val="9"/>
            <rFont val="Times New Roman"/>
            <charset val="134"/>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10" authorId="0">
      <text>
        <r>
          <rPr>
            <b/>
            <sz val="9"/>
            <rFont val="Times New Roman"/>
            <charset val="134"/>
          </rPr>
          <t>xli9:</t>
        </r>
        <r>
          <rPr>
            <sz val="9"/>
            <rFont val="Times New Roman"/>
            <charset val="134"/>
          </rPr>
          <t xml:space="preserve">
this is the observed mining intensity</t>
        </r>
      </text>
    </comment>
    <comment ref="B284" authorId="0">
      <text>
        <r>
          <rPr>
            <b/>
            <sz val="9"/>
            <rFont val="Times New Roman"/>
            <charset val="134"/>
          </rPr>
          <t>xli9:</t>
        </r>
        <r>
          <rPr>
            <sz val="9"/>
            <rFont val="Times New Roman"/>
            <charset val="134"/>
          </rPr>
          <t xml:space="preserve">
Since we hope to make CAPEX, EFF=1 all align with actual production capacity, so we translated original capacity to the real production capacity</t>
        </r>
      </text>
    </comment>
  </commentList>
</comments>
</file>

<file path=xl/sharedStrings.xml><?xml version="1.0" encoding="utf-8"?>
<sst xmlns="http://schemas.openxmlformats.org/spreadsheetml/2006/main" count="7287" uniqueCount="418">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</sst>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2">
    <font>
      <sz val="10"/>
      <name val="Arial"/>
      <charset val="134"/>
    </font>
    <font>
      <b/>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b/>
      <sz val="11"/>
      <color theme="1"/>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sz val="9"/>
      <name val="Tahoma"/>
      <charset val="1"/>
    </font>
    <font>
      <sz val="9"/>
      <name val="Times New Roman"/>
      <charset val="134"/>
    </font>
    <font>
      <b/>
      <sz val="9"/>
      <name val="Tahoma"/>
      <charset val="1"/>
    </font>
    <font>
      <b/>
      <sz val="9"/>
      <name val="Times New Roman"/>
      <charset val="0"/>
    </font>
    <font>
      <sz val="9"/>
      <name val="Times New Roman"/>
      <charset val="0"/>
    </font>
  </fonts>
  <fills count="51">
    <fill>
      <patternFill patternType="none"/>
    </fill>
    <fill>
      <patternFill patternType="gray125"/>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rgb="FFFFC000"/>
        <bgColor indexed="64"/>
      </patternFill>
    </fill>
    <fill>
      <patternFill patternType="solid">
        <fgColor theme="2"/>
        <bgColor indexed="64"/>
      </patternFill>
    </fill>
    <fill>
      <patternFill patternType="solid">
        <fgColor rgb="FFFF0000"/>
        <bgColor indexed="64"/>
      </patternFill>
    </fill>
    <fill>
      <patternFill patternType="solid">
        <fgColor rgb="FFFFFF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2" fillId="0" borderId="0" applyFont="0" applyFill="0" applyBorder="0" applyProtection="0"/>
    <xf numFmtId="176" fontId="2" fillId="0" borderId="0" applyFont="0" applyFill="0" applyBorder="0" applyProtection="0"/>
    <xf numFmtId="9" fontId="2" fillId="0" borderId="0" applyFont="0" applyFill="0" applyBorder="0" applyProtection="0"/>
    <xf numFmtId="41" fontId="2" fillId="0" borderId="0" applyFont="0" applyFill="0" applyBorder="0" applyProtection="0"/>
    <xf numFmtId="177" fontId="2" fillId="0" borderId="0" applyFont="0" applyFill="0" applyBorder="0" applyProtection="0"/>
    <xf numFmtId="0" fontId="29" fillId="0" borderId="0" applyNumberFormat="0" applyFill="0" applyBorder="0" applyProtection="0"/>
    <xf numFmtId="0" fontId="30" fillId="0" borderId="0" applyNumberFormat="0" applyFill="0" applyBorder="0" applyProtection="0"/>
    <xf numFmtId="0" fontId="2" fillId="25" borderId="3" applyNumberFormat="0" applyFont="0" applyProtection="0"/>
    <xf numFmtId="0" fontId="23" fillId="0" borderId="0" applyNumberFormat="0" applyFill="0" applyBorder="0" applyProtection="0"/>
    <xf numFmtId="0" fontId="31" fillId="0" borderId="0" applyNumberFormat="0" applyFill="0" applyBorder="0" applyProtection="0"/>
    <xf numFmtId="0" fontId="32" fillId="0" borderId="0" applyNumberFormat="0" applyFill="0" applyBorder="0" applyProtection="0"/>
    <xf numFmtId="0" fontId="33" fillId="0" borderId="4" applyNumberFormat="0" applyFill="0" applyProtection="0"/>
    <xf numFmtId="0" fontId="34" fillId="0" borderId="4" applyNumberFormat="0" applyFill="0" applyProtection="0"/>
    <xf numFmtId="0" fontId="35" fillId="0" borderId="5" applyNumberFormat="0" applyFill="0" applyProtection="0"/>
    <xf numFmtId="0" fontId="35" fillId="0" borderId="0" applyNumberFormat="0" applyFill="0" applyBorder="0" applyProtection="0"/>
    <xf numFmtId="0" fontId="36" fillId="26" borderId="6" applyNumberFormat="0" applyProtection="0"/>
    <xf numFmtId="0" fontId="37" fillId="27" borderId="7" applyNumberFormat="0" applyProtection="0"/>
    <xf numFmtId="0" fontId="38" fillId="27" borderId="6" applyNumberFormat="0" applyProtection="0"/>
    <xf numFmtId="0" fontId="39" fillId="28" borderId="8" applyNumberFormat="0" applyProtection="0"/>
    <xf numFmtId="0" fontId="40" fillId="0" borderId="9" applyNumberFormat="0" applyFill="0" applyProtection="0"/>
    <xf numFmtId="0" fontId="41" fillId="0" borderId="10" applyNumberFormat="0" applyFill="0" applyProtection="0"/>
    <xf numFmtId="0" fontId="42" fillId="29" borderId="0" applyNumberFormat="0" applyBorder="0" applyProtection="0"/>
    <xf numFmtId="0" fontId="43" fillId="30" borderId="0" applyNumberFormat="0" applyBorder="0" applyProtection="0"/>
    <xf numFmtId="0" fontId="44" fillId="31" borderId="0" applyNumberFormat="0" applyBorder="0" applyProtection="0"/>
    <xf numFmtId="0" fontId="45" fillId="10" borderId="0" applyNumberFormat="0" applyBorder="0" applyProtection="0"/>
    <xf numFmtId="0" fontId="2" fillId="12" borderId="0" applyNumberFormat="0" applyBorder="0" applyProtection="0"/>
    <xf numFmtId="0" fontId="2" fillId="32" borderId="0" applyNumberFormat="0" applyBorder="0" applyProtection="0"/>
    <xf numFmtId="0" fontId="45" fillId="33" borderId="0" applyNumberFormat="0" applyBorder="0" applyProtection="0"/>
    <xf numFmtId="0" fontId="45" fillId="34" borderId="0" applyNumberFormat="0" applyBorder="0" applyProtection="0"/>
    <xf numFmtId="0" fontId="2" fillId="35" borderId="0" applyNumberFormat="0" applyBorder="0" applyProtection="0"/>
    <xf numFmtId="0" fontId="2" fillId="36" borderId="0" applyNumberFormat="0" applyBorder="0" applyProtection="0"/>
    <xf numFmtId="0" fontId="45" fillId="37" borderId="0" applyNumberFormat="0" applyBorder="0" applyProtection="0"/>
    <xf numFmtId="0" fontId="45" fillId="38" borderId="0" applyNumberFormat="0" applyBorder="0" applyProtection="0"/>
    <xf numFmtId="0" fontId="2" fillId="39" borderId="0" applyNumberFormat="0" applyBorder="0" applyProtection="0"/>
    <xf numFmtId="0" fontId="2" fillId="40" borderId="0" applyNumberFormat="0" applyBorder="0" applyProtection="0"/>
    <xf numFmtId="0" fontId="45" fillId="41" borderId="0" applyNumberFormat="0" applyBorder="0" applyProtection="0"/>
    <xf numFmtId="0" fontId="45" fillId="42" borderId="0" applyNumberFormat="0" applyBorder="0" applyProtection="0"/>
    <xf numFmtId="0" fontId="2" fillId="43" borderId="0" applyNumberFormat="0" applyBorder="0" applyProtection="0"/>
    <xf numFmtId="0" fontId="2" fillId="44" borderId="0" applyNumberFormat="0" applyBorder="0" applyProtection="0"/>
    <xf numFmtId="0" fontId="45" fillId="45" borderId="0" applyNumberFormat="0" applyBorder="0" applyProtection="0"/>
    <xf numFmtId="0" fontId="45" fillId="46" borderId="0" applyNumberFormat="0" applyBorder="0" applyProtection="0"/>
    <xf numFmtId="0" fontId="2" fillId="11" borderId="0" applyNumberFormat="0" applyBorder="0" applyProtection="0"/>
    <xf numFmtId="0" fontId="2" fillId="47" borderId="0" applyNumberFormat="0" applyBorder="0" applyProtection="0"/>
    <xf numFmtId="0" fontId="45" fillId="48" borderId="0" applyNumberFormat="0" applyBorder="0" applyProtection="0"/>
    <xf numFmtId="0" fontId="45" fillId="22" borderId="0" applyNumberFormat="0" applyBorder="0" applyProtection="0"/>
    <xf numFmtId="0" fontId="2" fillId="9" borderId="0" applyNumberFormat="0" applyBorder="0" applyProtection="0"/>
    <xf numFmtId="0" fontId="2" fillId="49" borderId="0" applyNumberFormat="0" applyBorder="0" applyProtection="0"/>
    <xf numFmtId="0" fontId="45" fillId="50" borderId="0" applyNumberFormat="0" applyBorder="0" applyProtection="0"/>
    <xf numFmtId="0" fontId="0" fillId="0" borderId="0"/>
    <xf numFmtId="0" fontId="0" fillId="0" borderId="0"/>
    <xf numFmtId="0" fontId="0" fillId="0" borderId="0"/>
  </cellStyleXfs>
  <cellXfs count="142">
    <xf numFmtId="0" fontId="0" fillId="0" borderId="0" xfId="0"/>
    <xf numFmtId="0" fontId="1" fillId="0" borderId="0" xfId="0" applyFont="1" applyAlignment="1">
      <alignment horizontal="center" wrapText="1"/>
    </xf>
    <xf numFmtId="0" fontId="1"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1" fillId="0" borderId="0" xfId="0" applyFont="1" applyAlignment="1">
      <alignment wrapText="1"/>
    </xf>
    <xf numFmtId="3" fontId="0" fillId="0" borderId="0" xfId="0" applyNumberFormat="1" applyAlignment="1">
      <alignment horizontal="right" wrapText="1"/>
    </xf>
    <xf numFmtId="3" fontId="1" fillId="0" borderId="0" xfId="0" applyNumberFormat="1" applyFont="1" applyAlignment="1">
      <alignment horizontal="right" wrapText="1"/>
    </xf>
    <xf numFmtId="3" fontId="0" fillId="0" borderId="0" xfId="0" applyNumberFormat="1" applyAlignment="1">
      <alignment wrapText="1"/>
    </xf>
    <xf numFmtId="3" fontId="1" fillId="0" borderId="0" xfId="0" applyNumberFormat="1" applyFont="1" applyAlignment="1">
      <alignment wrapText="1"/>
    </xf>
    <xf numFmtId="0" fontId="0" fillId="2" borderId="0" xfId="0" applyFill="1"/>
    <xf numFmtId="0" fontId="0" fillId="3" borderId="0" xfId="0" applyFill="1"/>
    <xf numFmtId="0" fontId="2" fillId="0" borderId="0" xfId="0" applyFont="1" applyFill="1" applyAlignment="1"/>
    <xf numFmtId="0" fontId="0" fillId="0" borderId="0" xfId="0" applyFont="1" applyFill="1" applyAlignment="1"/>
    <xf numFmtId="0" fontId="3" fillId="0" borderId="0" xfId="0" applyFont="1" applyFill="1" applyAlignment="1">
      <alignment horizontal="center"/>
    </xf>
    <xf numFmtId="0" fontId="3" fillId="0" borderId="0" xfId="0" applyFont="1" applyFill="1" applyAlignment="1"/>
    <xf numFmtId="0" fontId="3" fillId="4" borderId="0" xfId="0" applyFont="1" applyFill="1" applyAlignment="1">
      <alignment horizontal="center" wrapText="1"/>
    </xf>
    <xf numFmtId="0" fontId="4" fillId="0" borderId="0" xfId="0" applyFont="1" applyFill="1" applyAlignment="1"/>
    <xf numFmtId="0" fontId="3" fillId="5" borderId="0" xfId="0" applyFont="1" applyFill="1" applyAlignment="1"/>
    <xf numFmtId="0" fontId="3" fillId="6" borderId="0" xfId="0" applyFont="1" applyFill="1" applyAlignment="1"/>
    <xf numFmtId="0" fontId="3" fillId="7" borderId="0" xfId="0" applyFont="1" applyFill="1" applyAlignment="1"/>
    <xf numFmtId="0" fontId="3" fillId="4" borderId="0" xfId="0" applyFont="1" applyFill="1" applyAlignment="1"/>
    <xf numFmtId="0" fontId="3" fillId="0" borderId="0" xfId="0" applyFont="1" applyFill="1" applyAlignment="1" applyProtection="1">
      <protection locked="0"/>
    </xf>
    <xf numFmtId="178" fontId="3" fillId="5" borderId="0" xfId="0" applyNumberFormat="1" applyFont="1" applyFill="1" applyAlignment="1"/>
    <xf numFmtId="0" fontId="5" fillId="8" borderId="0" xfId="0" applyFont="1" applyFill="1" applyAlignment="1">
      <alignment horizontal="center"/>
    </xf>
    <xf numFmtId="178" fontId="3" fillId="0" borderId="0" xfId="0" applyNumberFormat="1" applyFont="1" applyFill="1" applyAlignment="1"/>
    <xf numFmtId="178" fontId="3" fillId="9" borderId="0" xfId="0" applyNumberFormat="1" applyFont="1" applyFill="1" applyAlignment="1"/>
    <xf numFmtId="178" fontId="3" fillId="4" borderId="0" xfId="0" applyNumberFormat="1" applyFont="1" applyFill="1" applyAlignment="1"/>
    <xf numFmtId="0" fontId="5" fillId="0" borderId="0" xfId="0" applyFont="1" applyFill="1" applyAlignment="1">
      <alignment horizontal="center"/>
    </xf>
    <xf numFmtId="0" fontId="6" fillId="0" borderId="0" xfId="0" applyFont="1" applyFill="1" applyAlignment="1"/>
    <xf numFmtId="2" fontId="7" fillId="0" borderId="1" xfId="0" applyNumberFormat="1" applyFont="1" applyFill="1" applyBorder="1" applyAlignment="1" applyProtection="1"/>
    <xf numFmtId="0" fontId="3" fillId="10" borderId="0" xfId="0" applyFont="1" applyFill="1" applyAlignment="1"/>
    <xf numFmtId="0" fontId="8" fillId="11" borderId="0" xfId="0" applyFont="1" applyFill="1" applyAlignment="1"/>
    <xf numFmtId="0" fontId="0" fillId="10" borderId="0" xfId="0" applyFont="1" applyFill="1" applyAlignment="1"/>
    <xf numFmtId="0" fontId="9" fillId="11" borderId="0" xfId="0" applyFont="1" applyFill="1" applyAlignment="1"/>
    <xf numFmtId="2" fontId="7" fillId="3" borderId="1" xfId="0" applyNumberFormat="1" applyFont="1" applyFill="1" applyBorder="1" applyAlignment="1" applyProtection="1"/>
    <xf numFmtId="0" fontId="3" fillId="11" borderId="0" xfId="0" applyFont="1" applyFill="1" applyAlignment="1"/>
    <xf numFmtId="0" fontId="3" fillId="10" borderId="0" xfId="0" applyFont="1" applyFill="1" applyAlignment="1">
      <alignment horizontal="center"/>
    </xf>
    <xf numFmtId="0" fontId="2" fillId="10" borderId="0" xfId="0" applyFont="1" applyFill="1" applyAlignment="1"/>
    <xf numFmtId="0" fontId="0" fillId="0" borderId="0" xfId="0" applyFont="1" applyFill="1" applyBorder="1" applyAlignment="1"/>
    <xf numFmtId="0" fontId="7" fillId="10" borderId="1" xfId="0" applyNumberFormat="1" applyFont="1" applyFill="1" applyBorder="1" applyAlignment="1" applyProtection="1"/>
    <xf numFmtId="0" fontId="2" fillId="10" borderId="1" xfId="0" applyFont="1" applyFill="1" applyBorder="1" applyAlignment="1"/>
    <xf numFmtId="2" fontId="7" fillId="10" borderId="1" xfId="0" applyNumberFormat="1" applyFont="1" applyFill="1" applyBorder="1" applyAlignment="1" applyProtection="1"/>
    <xf numFmtId="0" fontId="10" fillId="10" borderId="0" xfId="0" applyFont="1" applyFill="1" applyAlignment="1"/>
    <xf numFmtId="179" fontId="7" fillId="10" borderId="1" xfId="0" applyNumberFormat="1" applyFont="1" applyFill="1" applyBorder="1" applyAlignment="1" applyProtection="1"/>
    <xf numFmtId="179" fontId="2" fillId="10" borderId="0" xfId="0" applyNumberFormat="1" applyFont="1" applyFill="1" applyAlignment="1"/>
    <xf numFmtId="0" fontId="7" fillId="0" borderId="1" xfId="0" applyNumberFormat="1" applyFont="1" applyFill="1" applyBorder="1" applyAlignment="1" applyProtection="1"/>
    <xf numFmtId="0" fontId="2" fillId="0" borderId="1" xfId="0" applyFont="1" applyFill="1" applyBorder="1" applyAlignment="1"/>
    <xf numFmtId="0" fontId="10" fillId="0" borderId="0" xfId="0" applyFont="1" applyFill="1" applyAlignment="1"/>
    <xf numFmtId="180" fontId="2" fillId="10" borderId="1" xfId="0" applyNumberFormat="1" applyFont="1" applyFill="1" applyBorder="1" applyAlignment="1"/>
    <xf numFmtId="180" fontId="0" fillId="0" borderId="0" xfId="0" applyNumberFormat="1" applyFont="1" applyFill="1" applyAlignment="1"/>
    <xf numFmtId="0" fontId="3" fillId="12" borderId="0" xfId="0" applyFont="1" applyFill="1" applyAlignment="1">
      <alignment horizontal="center"/>
    </xf>
    <xf numFmtId="0" fontId="3" fillId="12" borderId="0" xfId="0" applyFont="1" applyFill="1" applyAlignment="1"/>
    <xf numFmtId="0" fontId="3" fillId="12" borderId="0" xfId="0" applyFont="1" applyFill="1" applyAlignment="1" applyProtection="1">
      <protection locked="0"/>
    </xf>
    <xf numFmtId="178" fontId="3" fillId="12" borderId="0" xfId="0" applyNumberFormat="1" applyFont="1" applyFill="1" applyAlignment="1"/>
    <xf numFmtId="0" fontId="2" fillId="0" borderId="0" xfId="0" applyFont="1" applyFill="1" applyAlignment="1">
      <alignment horizontal="center"/>
    </xf>
    <xf numFmtId="178" fontId="2" fillId="13" borderId="0" xfId="0" applyNumberFormat="1" applyFont="1" applyFill="1" applyAlignment="1">
      <alignment horizontal="center"/>
    </xf>
    <xf numFmtId="178" fontId="2" fillId="0" borderId="0" xfId="0" applyNumberFormat="1" applyFont="1" applyFill="1" applyAlignment="1">
      <alignment horizontal="center"/>
    </xf>
    <xf numFmtId="0" fontId="3" fillId="0" borderId="0" xfId="0" applyFont="1" applyFill="1" applyAlignment="1" applyProtection="1">
      <alignment horizontal="center"/>
      <protection locked="0"/>
    </xf>
    <xf numFmtId="0" fontId="2" fillId="13" borderId="0" xfId="0" applyFont="1" applyFill="1" applyAlignment="1"/>
    <xf numFmtId="0" fontId="0" fillId="0" borderId="0" xfId="0" applyFont="1"/>
    <xf numFmtId="0" fontId="0" fillId="10" borderId="0" xfId="0" applyFill="1"/>
    <xf numFmtId="0" fontId="0" fillId="14" borderId="0" xfId="49" applyFill="1"/>
    <xf numFmtId="0" fontId="0" fillId="14" borderId="0" xfId="0" applyFill="1"/>
    <xf numFmtId="0" fontId="0" fillId="15" borderId="0" xfId="0" applyFill="1"/>
    <xf numFmtId="0" fontId="0" fillId="16" borderId="0" xfId="0" applyFill="1"/>
    <xf numFmtId="0" fontId="0" fillId="0" borderId="0" xfId="49"/>
    <xf numFmtId="0" fontId="0" fillId="17" borderId="0" xfId="0" applyFill="1"/>
    <xf numFmtId="0" fontId="0" fillId="0" borderId="0" xfId="0" applyFill="1"/>
    <xf numFmtId="0" fontId="11" fillId="0" borderId="0" xfId="0" applyFont="1"/>
    <xf numFmtId="0" fontId="0" fillId="18" borderId="0" xfId="0" applyFill="1"/>
    <xf numFmtId="0" fontId="12" fillId="0" borderId="0" xfId="0" applyFont="1"/>
    <xf numFmtId="0" fontId="0" fillId="19" borderId="0" xfId="0" applyFill="1"/>
    <xf numFmtId="178" fontId="0" fillId="0" borderId="0" xfId="0" applyNumberFormat="1"/>
    <xf numFmtId="3" fontId="0" fillId="0" borderId="0" xfId="0" applyNumberFormat="1"/>
    <xf numFmtId="0" fontId="0" fillId="17" borderId="0" xfId="49" applyFill="1"/>
    <xf numFmtId="0" fontId="0" fillId="14" borderId="1" xfId="49" applyFill="1" applyBorder="1"/>
    <xf numFmtId="0" fontId="0" fillId="0" borderId="1" xfId="49" applyBorder="1"/>
    <xf numFmtId="0" fontId="0" fillId="14" borderId="1" xfId="0" applyFill="1" applyBorder="1"/>
    <xf numFmtId="0" fontId="0" fillId="0" borderId="1" xfId="0" applyBorder="1"/>
    <xf numFmtId="0" fontId="13" fillId="17" borderId="0" xfId="0" applyFont="1" applyFill="1"/>
    <xf numFmtId="0" fontId="14" fillId="0" borderId="0" xfId="0" applyFont="1"/>
    <xf numFmtId="0" fontId="13" fillId="0" borderId="0" xfId="0" applyFont="1"/>
    <xf numFmtId="0" fontId="10" fillId="0" borderId="0" xfId="0" applyFont="1"/>
    <xf numFmtId="0" fontId="13" fillId="15" borderId="0" xfId="0" applyFont="1" applyFill="1"/>
    <xf numFmtId="0" fontId="0" fillId="15" borderId="0" xfId="49" applyFill="1"/>
    <xf numFmtId="0" fontId="15" fillId="15" borderId="0" xfId="0" applyFont="1" applyFill="1"/>
    <xf numFmtId="0" fontId="0" fillId="15" borderId="1" xfId="0" applyFill="1" applyBorder="1"/>
    <xf numFmtId="0" fontId="1" fillId="17" borderId="0" xfId="49" applyFont="1" applyFill="1"/>
    <xf numFmtId="0" fontId="1" fillId="14" borderId="0" xfId="0" applyFont="1" applyFill="1"/>
    <xf numFmtId="0" fontId="15" fillId="14" borderId="0" xfId="0" applyFont="1" applyFill="1"/>
    <xf numFmtId="0" fontId="1" fillId="0" borderId="0" xfId="49" applyFont="1"/>
    <xf numFmtId="0" fontId="13" fillId="16" borderId="0" xfId="0" applyFont="1" applyFill="1"/>
    <xf numFmtId="0" fontId="10" fillId="16" borderId="0" xfId="0" applyFont="1" applyFill="1"/>
    <xf numFmtId="0" fontId="0" fillId="16" borderId="0" xfId="49" applyFill="1"/>
    <xf numFmtId="0" fontId="16" fillId="16" borderId="0" xfId="0" applyFont="1" applyFill="1"/>
    <xf numFmtId="0" fontId="0" fillId="16" borderId="1" xfId="0" applyFill="1" applyBorder="1"/>
    <xf numFmtId="0" fontId="0" fillId="20" borderId="0" xfId="0" applyFill="1"/>
    <xf numFmtId="0" fontId="17" fillId="0" borderId="0" xfId="0" applyFont="1" applyAlignment="1">
      <alignment horizontal="left"/>
    </xf>
    <xf numFmtId="0" fontId="17" fillId="0" borderId="0" xfId="0" applyFont="1" applyAlignment="1">
      <alignment horizontal="right"/>
    </xf>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20" fillId="0" borderId="0" xfId="0" applyFont="1" applyAlignment="1">
      <alignment horizontal="left"/>
    </xf>
    <xf numFmtId="0" fontId="21" fillId="0" borderId="0" xfId="0" applyFont="1" applyAlignment="1">
      <alignment horizontal="right"/>
    </xf>
    <xf numFmtId="0" fontId="19" fillId="0" borderId="0" xfId="0" applyFont="1" applyAlignment="1">
      <alignment horizontal="right"/>
    </xf>
    <xf numFmtId="0" fontId="19" fillId="17" borderId="0" xfId="0" applyFont="1" applyFill="1" applyAlignment="1">
      <alignment horizontal="right"/>
    </xf>
    <xf numFmtId="181" fontId="19" fillId="0" borderId="0" xfId="0" applyNumberFormat="1" applyFont="1" applyAlignment="1">
      <alignment horizontal="right"/>
    </xf>
    <xf numFmtId="181" fontId="17" fillId="0" borderId="0" xfId="0" applyNumberFormat="1" applyFont="1" applyAlignment="1">
      <alignment horizontal="right"/>
    </xf>
    <xf numFmtId="0" fontId="20" fillId="0" borderId="0" xfId="0" applyFont="1" applyAlignment="1">
      <alignment horizontal="right"/>
    </xf>
    <xf numFmtId="3" fontId="20" fillId="0" borderId="0" xfId="0" applyNumberFormat="1" applyFont="1" applyAlignment="1">
      <alignment horizontal="right"/>
    </xf>
    <xf numFmtId="3" fontId="19"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7" fillId="0" borderId="0" xfId="0" applyNumberFormat="1" applyFont="1" applyAlignment="1">
      <alignment horizontal="right"/>
    </xf>
    <xf numFmtId="0" fontId="22" fillId="0" borderId="0" xfId="0" applyFont="1" applyAlignment="1">
      <alignment horizontal="left"/>
    </xf>
    <xf numFmtId="0" fontId="22" fillId="0" borderId="0" xfId="0" applyFont="1" applyAlignment="1">
      <alignment horizontal="right"/>
    </xf>
    <xf numFmtId="3" fontId="22" fillId="0" borderId="0" xfId="0" applyNumberFormat="1" applyFont="1" applyAlignment="1">
      <alignment horizontal="right"/>
    </xf>
    <xf numFmtId="0" fontId="0" fillId="21" borderId="2" xfId="49" applyFill="1" applyBorder="1"/>
    <xf numFmtId="0" fontId="0" fillId="17" borderId="1" xfId="49" applyFill="1" applyBorder="1"/>
    <xf numFmtId="0" fontId="0" fillId="17" borderId="2" xfId="49" applyFill="1" applyBorder="1"/>
    <xf numFmtId="0" fontId="10" fillId="17" borderId="0" xfId="0" applyFont="1" applyFill="1"/>
    <xf numFmtId="0" fontId="2" fillId="0" borderId="0" xfId="0" applyFont="1" applyFill="1" applyAlignment="1">
      <alignment vertical="center"/>
    </xf>
    <xf numFmtId="0" fontId="23" fillId="22" borderId="0" xfId="0" applyFont="1" applyFill="1" applyAlignment="1"/>
    <xf numFmtId="0" fontId="24" fillId="18" borderId="0" xfId="0" applyFont="1" applyFill="1" applyAlignment="1"/>
    <xf numFmtId="0" fontId="25" fillId="0" borderId="0" xfId="0" applyFont="1" applyFill="1" applyAlignment="1">
      <alignment vertical="center"/>
    </xf>
    <xf numFmtId="0" fontId="26" fillId="0" borderId="0" xfId="0" applyFont="1" applyFill="1" applyAlignment="1"/>
    <xf numFmtId="0" fontId="2" fillId="23" borderId="0" xfId="0" applyFont="1" applyFill="1" applyAlignment="1">
      <alignment vertical="center"/>
    </xf>
    <xf numFmtId="0" fontId="2" fillId="23" borderId="0" xfId="0" applyNumberFormat="1" applyFont="1" applyFill="1" applyAlignment="1">
      <alignment vertical="center"/>
    </xf>
    <xf numFmtId="0" fontId="25" fillId="0" borderId="0" xfId="0" applyNumberFormat="1" applyFont="1" applyFill="1" applyAlignment="1">
      <alignment vertical="center"/>
    </xf>
    <xf numFmtId="0" fontId="0" fillId="0" borderId="0" xfId="49" applyAlignment="1">
      <alignment horizontal="center"/>
    </xf>
    <xf numFmtId="0" fontId="2" fillId="17" borderId="0" xfId="0" applyFont="1" applyFill="1" applyAlignment="1"/>
    <xf numFmtId="0" fontId="0" fillId="13" borderId="1" xfId="49" applyFill="1" applyBorder="1"/>
    <xf numFmtId="0" fontId="0" fillId="13" borderId="0" xfId="49" applyFill="1"/>
    <xf numFmtId="0" fontId="0" fillId="0" borderId="1" xfId="49" applyFill="1" applyBorder="1"/>
    <xf numFmtId="0" fontId="2" fillId="0" borderId="0" xfId="0" applyFont="1" applyFill="1" applyAlignment="1">
      <alignment wrapText="1"/>
    </xf>
    <xf numFmtId="0" fontId="16" fillId="22" borderId="0" xfId="49" applyFont="1" applyFill="1" applyAlignment="1">
      <alignment horizontal="center"/>
    </xf>
    <xf numFmtId="0" fontId="27" fillId="18" borderId="0" xfId="0" applyFont="1" applyFill="1" applyAlignment="1"/>
    <xf numFmtId="0" fontId="2" fillId="0" borderId="0" xfId="49" applyFont="1" applyAlignment="1">
      <alignment horizontal="center" vertical="center"/>
    </xf>
    <xf numFmtId="0" fontId="0" fillId="24" borderId="0" xfId="49" applyFill="1" applyAlignment="1">
      <alignment horizontal="center"/>
    </xf>
    <xf numFmtId="0" fontId="28" fillId="0" borderId="0" xfId="49" applyFont="1" applyAlignment="1">
      <alignment horizontal="center"/>
    </xf>
    <xf numFmtId="0" fontId="11" fillId="0" borderId="0" xfId="50" applyFont="1"/>
    <xf numFmtId="0" fontId="0" fillId="0" borderId="0" xfId="0" quotePrefix="1"/>
    <xf numFmtId="0" fontId="0" fillId="2"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5" Type="http://schemas.openxmlformats.org/officeDocument/2006/relationships/styles" Target="styles.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externalLink" Target="externalLinks/externalLink3.xml"/><Relationship Id="rId11" Type="http://schemas.openxmlformats.org/officeDocument/2006/relationships/externalLink" Target="externalLinks/externalLink2.xml"/><Relationship Id="rId10" Type="http://schemas.openxmlformats.org/officeDocument/2006/relationships/externalLink" Target="externalLinks/externalLink1.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41" customWidth="1"/>
    <col min="2" max="2" width="8.85454545454546" style="141" customWidth="1"/>
    <col min="3" max="3" width="4.71818181818182" style="141" customWidth="1"/>
    <col min="4" max="4" width="8.85454545454546" style="141" customWidth="1"/>
    <col min="5" max="5" width="4.42727272727273" style="141" customWidth="1"/>
    <col min="6" max="6" width="4.28181818181818" style="141" customWidth="1"/>
    <col min="7" max="7" width="4.42727272727273" style="141" customWidth="1"/>
    <col min="8" max="8" width="4.57272727272727" style="141" customWidth="1"/>
    <col min="9" max="9" width="4" style="141" customWidth="1"/>
    <col min="10" max="10" width="4.42727272727273" style="141" customWidth="1"/>
    <col min="11" max="11" width="4.57272727272727" style="141" customWidth="1"/>
    <col min="12" max="12" width="4.42727272727273" style="141" customWidth="1"/>
    <col min="13" max="13" width="4" style="141" customWidth="1"/>
    <col min="14" max="14" width="4.28181818181818" style="141" customWidth="1"/>
    <col min="15" max="16" width="4.42727272727273" style="141" customWidth="1"/>
    <col min="17" max="18" width="4.57272727272727" style="141" customWidth="1"/>
    <col min="19" max="19" width="4.42727272727273" style="141" customWidth="1"/>
    <col min="20" max="20" width="5" style="141" customWidth="1"/>
    <col min="21" max="21" width="11.7181818181818" style="141" customWidth="1"/>
    <col min="22" max="22" width="10.7181818181818" style="141" customWidth="1"/>
    <col min="23" max="23" width="13.1454545454545" style="141" customWidth="1"/>
    <col min="24" max="259" width="11.4272727272727" style="141" customWidth="1"/>
    <col min="260" max="16384" width="9.14545454545454" style="141"/>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69"/>
      <c r="W3" s="69"/>
      <c r="X3" s="69"/>
      <c r="Y3" s="69"/>
      <c r="Z3" s="69"/>
      <c r="AA3" s="69"/>
    </row>
    <row r="4" ht="12.5" spans="1:27">
      <c r="A4" t="s">
        <v>1</v>
      </c>
      <c r="B4" t="s">
        <v>2</v>
      </c>
      <c r="C4"/>
      <c r="D4"/>
      <c r="E4"/>
      <c r="F4"/>
      <c r="G4"/>
      <c r="H4"/>
      <c r="I4"/>
      <c r="J4"/>
      <c r="K4"/>
      <c r="L4"/>
      <c r="M4"/>
      <c r="N4"/>
      <c r="O4"/>
      <c r="P4"/>
      <c r="Q4"/>
      <c r="R4"/>
      <c r="S4"/>
      <c r="T4"/>
      <c r="U4"/>
      <c r="V4" s="69"/>
      <c r="W4" s="69"/>
      <c r="X4" s="69"/>
      <c r="Y4" s="69"/>
      <c r="Z4" s="69"/>
      <c r="AA4" s="69"/>
    </row>
    <row r="5" ht="12.5" spans="1:27">
      <c r="A5" t="s">
        <v>3</v>
      </c>
      <c r="B5" t="s">
        <v>4</v>
      </c>
      <c r="C5"/>
      <c r="D5"/>
      <c r="E5"/>
      <c r="F5"/>
      <c r="G5"/>
      <c r="H5"/>
      <c r="I5"/>
      <c r="J5"/>
      <c r="K5"/>
      <c r="L5"/>
      <c r="M5"/>
      <c r="N5"/>
      <c r="O5"/>
      <c r="P5"/>
      <c r="Q5"/>
      <c r="R5"/>
      <c r="S5"/>
      <c r="T5"/>
      <c r="U5"/>
      <c r="V5" s="69"/>
      <c r="W5" s="69"/>
      <c r="X5" s="69"/>
      <c r="Y5" s="69"/>
      <c r="Z5" s="69"/>
      <c r="AA5" s="69"/>
    </row>
    <row r="6" ht="12.5" spans="1:27">
      <c r="A6" t="s">
        <v>5</v>
      </c>
      <c r="B6" t="s">
        <v>4</v>
      </c>
      <c r="C6"/>
      <c r="D6"/>
      <c r="E6"/>
      <c r="F6"/>
      <c r="G6"/>
      <c r="H6"/>
      <c r="I6"/>
      <c r="J6"/>
      <c r="K6"/>
      <c r="L6"/>
      <c r="M6"/>
      <c r="N6"/>
      <c r="O6"/>
      <c r="P6"/>
      <c r="Q6"/>
      <c r="R6"/>
      <c r="S6"/>
      <c r="T6"/>
      <c r="U6"/>
      <c r="V6" s="69"/>
      <c r="W6" s="69"/>
      <c r="X6" s="69"/>
      <c r="Y6" s="69"/>
      <c r="Z6" s="69"/>
      <c r="AA6" s="69"/>
    </row>
    <row r="7" ht="12.5" spans="1:27">
      <c r="A7" t="s">
        <v>6</v>
      </c>
      <c r="B7" t="s">
        <v>4</v>
      </c>
      <c r="C7"/>
      <c r="D7"/>
      <c r="E7"/>
      <c r="F7"/>
      <c r="G7"/>
      <c r="H7"/>
      <c r="I7"/>
      <c r="J7"/>
      <c r="K7"/>
      <c r="L7"/>
      <c r="M7"/>
      <c r="N7"/>
      <c r="O7"/>
      <c r="P7"/>
      <c r="Q7"/>
      <c r="R7"/>
      <c r="S7"/>
      <c r="T7"/>
      <c r="U7"/>
      <c r="V7" s="69"/>
      <c r="W7" s="69"/>
      <c r="X7" s="69"/>
      <c r="Y7" s="69"/>
      <c r="Z7" s="69"/>
      <c r="AA7" s="69"/>
    </row>
    <row r="8" ht="12.5" spans="1:27">
      <c r="A8" t="s">
        <v>7</v>
      </c>
      <c r="B8" t="s">
        <v>4</v>
      </c>
      <c r="C8"/>
      <c r="D8"/>
      <c r="E8"/>
      <c r="F8"/>
      <c r="G8"/>
      <c r="H8"/>
      <c r="I8"/>
      <c r="J8"/>
      <c r="K8"/>
      <c r="L8"/>
      <c r="M8"/>
      <c r="N8"/>
      <c r="O8"/>
      <c r="P8"/>
      <c r="Q8"/>
      <c r="R8"/>
      <c r="S8"/>
      <c r="T8"/>
      <c r="U8"/>
      <c r="V8" s="69"/>
      <c r="W8" s="69"/>
      <c r="X8" s="69"/>
      <c r="Y8" s="69"/>
      <c r="Z8" s="69"/>
      <c r="AA8" s="69"/>
    </row>
    <row r="9" ht="12.5" spans="1:27">
      <c r="A9" t="s">
        <v>8</v>
      </c>
      <c r="B9" t="s">
        <v>4</v>
      </c>
      <c r="C9"/>
      <c r="D9"/>
      <c r="E9"/>
      <c r="F9"/>
      <c r="G9"/>
      <c r="H9"/>
      <c r="I9"/>
      <c r="J9"/>
      <c r="K9"/>
      <c r="L9"/>
      <c r="M9"/>
      <c r="N9"/>
      <c r="O9"/>
      <c r="P9"/>
      <c r="Q9"/>
      <c r="R9"/>
      <c r="S9"/>
      <c r="T9"/>
      <c r="U9"/>
      <c r="V9" s="69"/>
      <c r="W9" s="69"/>
      <c r="X9" s="69"/>
      <c r="Y9" s="69"/>
      <c r="Z9" s="69"/>
      <c r="AA9" s="69"/>
    </row>
    <row r="10" ht="12.5" spans="1:27">
      <c r="A10" t="s">
        <v>9</v>
      </c>
      <c r="B10" t="s">
        <v>4</v>
      </c>
      <c r="C10"/>
      <c r="D10"/>
      <c r="E10"/>
      <c r="F10"/>
      <c r="G10"/>
      <c r="H10"/>
      <c r="I10"/>
      <c r="J10"/>
      <c r="K10"/>
      <c r="L10"/>
      <c r="M10"/>
      <c r="N10"/>
      <c r="O10"/>
      <c r="P10"/>
      <c r="Q10"/>
      <c r="R10"/>
      <c r="S10"/>
      <c r="T10"/>
      <c r="U10"/>
      <c r="V10" s="69"/>
      <c r="W10" s="69"/>
      <c r="X10" s="69"/>
      <c r="Y10" s="69"/>
      <c r="Z10" s="69"/>
      <c r="AA10" s="69"/>
    </row>
    <row r="11" ht="12.5" spans="1:27">
      <c r="A11" t="s">
        <v>10</v>
      </c>
      <c r="B11" t="s">
        <v>4</v>
      </c>
      <c r="C11"/>
      <c r="D11"/>
      <c r="E11"/>
      <c r="F11"/>
      <c r="G11"/>
      <c r="H11"/>
      <c r="I11"/>
      <c r="J11"/>
      <c r="K11"/>
      <c r="L11"/>
      <c r="M11"/>
      <c r="N11"/>
      <c r="O11"/>
      <c r="P11"/>
      <c r="Q11"/>
      <c r="R11"/>
      <c r="S11"/>
      <c r="T11"/>
      <c r="U11"/>
      <c r="V11" s="69"/>
      <c r="W11" s="69"/>
      <c r="X11" s="69"/>
      <c r="Y11" s="69"/>
      <c r="Z11" s="69"/>
      <c r="AA11" s="69"/>
    </row>
    <row r="12" ht="12.5" spans="1:27">
      <c r="A12" t="s">
        <v>11</v>
      </c>
      <c r="B12" t="s">
        <v>4</v>
      </c>
      <c r="C12"/>
      <c r="D12"/>
      <c r="E12"/>
      <c r="F12"/>
      <c r="G12"/>
      <c r="H12"/>
      <c r="I12"/>
      <c r="J12"/>
      <c r="K12"/>
      <c r="L12"/>
      <c r="M12"/>
      <c r="N12"/>
      <c r="O12"/>
      <c r="P12"/>
      <c r="Q12"/>
      <c r="R12"/>
      <c r="S12"/>
      <c r="T12"/>
      <c r="U12"/>
      <c r="V12" s="69"/>
      <c r="W12" s="69"/>
      <c r="X12" s="69"/>
      <c r="Y12" s="69"/>
      <c r="Z12" s="69"/>
      <c r="AA12" s="69"/>
    </row>
    <row r="13" ht="12.5" spans="1:27">
      <c r="A13" t="s">
        <v>12</v>
      </c>
      <c r="B13" t="s">
        <v>4</v>
      </c>
      <c r="C13"/>
      <c r="D13"/>
      <c r="E13"/>
      <c r="F13"/>
      <c r="G13"/>
      <c r="H13"/>
      <c r="I13"/>
      <c r="J13"/>
      <c r="K13"/>
      <c r="L13"/>
      <c r="M13"/>
      <c r="N13"/>
      <c r="O13"/>
      <c r="P13"/>
      <c r="Q13"/>
      <c r="R13"/>
      <c r="S13"/>
      <c r="T13"/>
      <c r="U13"/>
      <c r="V13" s="69"/>
      <c r="W13" s="69"/>
      <c r="X13" s="69"/>
      <c r="Y13" s="69"/>
      <c r="Z13" s="69"/>
      <c r="AA13" s="69"/>
    </row>
    <row r="14" ht="12.5" spans="1:27">
      <c r="A14" t="s">
        <v>13</v>
      </c>
      <c r="B14" t="s">
        <v>4</v>
      </c>
      <c r="C14"/>
      <c r="D14"/>
      <c r="E14"/>
      <c r="F14"/>
      <c r="G14"/>
      <c r="H14"/>
      <c r="I14"/>
      <c r="J14"/>
      <c r="K14"/>
      <c r="L14"/>
      <c r="M14"/>
      <c r="N14"/>
      <c r="O14"/>
      <c r="P14"/>
      <c r="Q14"/>
      <c r="R14"/>
      <c r="S14"/>
      <c r="T14"/>
      <c r="U14"/>
      <c r="V14" s="69"/>
      <c r="W14" s="69"/>
      <c r="X14" s="69"/>
      <c r="Y14" s="69"/>
      <c r="Z14" s="69"/>
      <c r="AA14" s="69"/>
    </row>
    <row r="15" ht="12.5" spans="1:27">
      <c r="A15" t="s">
        <v>14</v>
      </c>
      <c r="B15" t="s">
        <v>4</v>
      </c>
      <c r="C15"/>
      <c r="D15"/>
      <c r="E15"/>
      <c r="F15"/>
      <c r="G15"/>
      <c r="H15"/>
      <c r="I15"/>
      <c r="J15"/>
      <c r="K15"/>
      <c r="L15"/>
      <c r="M15"/>
      <c r="N15"/>
      <c r="O15"/>
      <c r="P15"/>
      <c r="Q15"/>
      <c r="R15"/>
      <c r="S15"/>
      <c r="T15"/>
      <c r="U15"/>
      <c r="V15" s="69"/>
      <c r="W15" s="69"/>
      <c r="X15" s="69"/>
      <c r="Y15" s="69"/>
      <c r="Z15" s="69"/>
      <c r="AA15" s="69"/>
    </row>
    <row r="16" ht="12.5" spans="1:27">
      <c r="A16" t="s">
        <v>15</v>
      </c>
      <c r="B16" t="s">
        <v>4</v>
      </c>
      <c r="C16"/>
      <c r="D16"/>
      <c r="E16"/>
      <c r="F16"/>
      <c r="G16"/>
      <c r="H16"/>
      <c r="I16"/>
      <c r="J16"/>
      <c r="K16"/>
      <c r="L16"/>
      <c r="M16"/>
      <c r="N16"/>
      <c r="O16"/>
      <c r="P16"/>
      <c r="Q16"/>
      <c r="R16"/>
      <c r="S16"/>
      <c r="T16"/>
      <c r="U16"/>
      <c r="V16" s="69"/>
      <c r="W16" s="69"/>
      <c r="X16" s="69"/>
      <c r="Y16" s="69"/>
      <c r="Z16" s="69"/>
      <c r="AA16" s="69"/>
    </row>
    <row r="17" ht="12.5" spans="1:27">
      <c r="A17" t="s">
        <v>16</v>
      </c>
      <c r="B17" t="s">
        <v>4</v>
      </c>
      <c r="C17"/>
      <c r="D17"/>
      <c r="E17"/>
      <c r="F17"/>
      <c r="G17"/>
      <c r="H17"/>
      <c r="I17"/>
      <c r="J17"/>
      <c r="K17"/>
      <c r="L17"/>
      <c r="M17"/>
      <c r="N17"/>
      <c r="O17"/>
      <c r="P17"/>
      <c r="Q17"/>
      <c r="R17"/>
      <c r="S17"/>
      <c r="T17"/>
      <c r="U17"/>
      <c r="V17" s="69"/>
      <c r="W17" s="69"/>
      <c r="X17" s="69"/>
      <c r="Y17" s="69"/>
      <c r="Z17" s="69"/>
      <c r="AA17" s="69"/>
    </row>
    <row r="18" ht="12.5" spans="1:27">
      <c r="A18" t="s">
        <v>17</v>
      </c>
      <c r="B18" t="s">
        <v>4</v>
      </c>
      <c r="C18"/>
      <c r="D18"/>
      <c r="E18"/>
      <c r="F18"/>
      <c r="G18"/>
      <c r="H18"/>
      <c r="I18"/>
      <c r="J18"/>
      <c r="K18"/>
      <c r="L18"/>
      <c r="M18"/>
      <c r="N18"/>
      <c r="O18"/>
      <c r="P18"/>
      <c r="Q18"/>
      <c r="R18"/>
      <c r="S18"/>
      <c r="T18"/>
      <c r="U18"/>
      <c r="V18" s="69"/>
      <c r="W18" s="69"/>
      <c r="X18" s="69"/>
      <c r="Y18" s="69"/>
      <c r="Z18" s="69"/>
      <c r="AA18" s="69"/>
    </row>
    <row r="19" ht="12.5" spans="1:27">
      <c r="A19" t="s">
        <v>18</v>
      </c>
      <c r="B19" t="s">
        <v>4</v>
      </c>
      <c r="C19"/>
      <c r="D19"/>
      <c r="E19"/>
      <c r="F19"/>
      <c r="G19"/>
      <c r="H19"/>
      <c r="I19"/>
      <c r="J19"/>
      <c r="K19"/>
      <c r="L19"/>
      <c r="M19"/>
      <c r="N19"/>
      <c r="O19"/>
      <c r="P19"/>
      <c r="Q19"/>
      <c r="R19"/>
      <c r="S19"/>
      <c r="T19"/>
      <c r="U19"/>
      <c r="V19" s="69"/>
      <c r="W19" s="69"/>
      <c r="X19" s="69"/>
      <c r="Y19" s="69"/>
      <c r="Z19" s="69"/>
      <c r="AA19" s="69"/>
    </row>
    <row r="20" ht="12.5" spans="1:27">
      <c r="A20" t="s">
        <v>19</v>
      </c>
      <c r="B20" t="s">
        <v>4</v>
      </c>
      <c r="C20"/>
      <c r="D20"/>
      <c r="E20"/>
      <c r="F20"/>
      <c r="G20"/>
      <c r="H20"/>
      <c r="I20"/>
      <c r="J20"/>
      <c r="K20"/>
      <c r="L20"/>
      <c r="M20"/>
      <c r="N20"/>
      <c r="O20"/>
      <c r="P20"/>
      <c r="Q20"/>
      <c r="R20"/>
      <c r="S20"/>
      <c r="T20"/>
      <c r="U20"/>
      <c r="V20" s="69"/>
      <c r="W20" s="69"/>
      <c r="X20" s="69"/>
      <c r="Y20" s="69"/>
      <c r="Z20" s="69"/>
      <c r="AA20" s="69"/>
    </row>
    <row r="21" ht="12.5" spans="1:27">
      <c r="A21" t="s">
        <v>20</v>
      </c>
      <c r="B21" t="s">
        <v>4</v>
      </c>
      <c r="C21"/>
      <c r="D21"/>
      <c r="E21"/>
      <c r="F21"/>
      <c r="G21"/>
      <c r="H21"/>
      <c r="I21"/>
      <c r="J21"/>
      <c r="K21"/>
      <c r="L21"/>
      <c r="M21"/>
      <c r="N21"/>
      <c r="O21"/>
      <c r="P21"/>
      <c r="Q21"/>
      <c r="R21"/>
      <c r="S21"/>
      <c r="T21"/>
      <c r="U21"/>
      <c r="V21" s="69"/>
      <c r="W21" s="69"/>
      <c r="X21" s="69"/>
      <c r="Y21" s="69"/>
      <c r="Z21" s="69"/>
      <c r="AA21" s="69"/>
    </row>
    <row r="22" ht="12.5" spans="1:27">
      <c r="A22" t="s">
        <v>21</v>
      </c>
      <c r="B22" t="s">
        <v>4</v>
      </c>
      <c r="C22"/>
      <c r="D22"/>
      <c r="E22"/>
      <c r="F22"/>
      <c r="G22"/>
      <c r="H22"/>
      <c r="I22"/>
      <c r="J22"/>
      <c r="K22"/>
      <c r="L22"/>
      <c r="M22"/>
      <c r="N22"/>
      <c r="O22"/>
      <c r="P22"/>
      <c r="Q22"/>
      <c r="R22"/>
      <c r="S22"/>
      <c r="T22"/>
      <c r="U22"/>
      <c r="V22" s="69"/>
      <c r="W22" s="69"/>
      <c r="X22" s="69"/>
      <c r="Y22" s="69"/>
      <c r="Z22" s="69"/>
      <c r="AA22" s="69"/>
    </row>
    <row r="23" ht="12.5" spans="1:27">
      <c r="A23" t="s">
        <v>22</v>
      </c>
      <c r="B23" t="s">
        <v>4</v>
      </c>
      <c r="C23"/>
      <c r="D23"/>
      <c r="E23"/>
      <c r="F23"/>
      <c r="G23"/>
      <c r="H23"/>
      <c r="I23"/>
      <c r="J23"/>
      <c r="K23"/>
      <c r="L23"/>
      <c r="M23"/>
      <c r="N23"/>
      <c r="O23"/>
      <c r="P23"/>
      <c r="Q23"/>
      <c r="R23"/>
      <c r="S23"/>
      <c r="T23"/>
      <c r="U23"/>
      <c r="V23" s="69"/>
      <c r="W23" s="69"/>
      <c r="X23" s="69"/>
      <c r="Y23" s="69"/>
      <c r="Z23" s="69"/>
      <c r="AA23" s="69"/>
    </row>
    <row r="24" ht="12.5" spans="1:27">
      <c r="A24" t="s">
        <v>23</v>
      </c>
      <c r="B24" t="s">
        <v>4</v>
      </c>
      <c r="C24"/>
      <c r="D24"/>
      <c r="E24"/>
      <c r="F24"/>
      <c r="G24"/>
      <c r="H24"/>
      <c r="I24"/>
      <c r="J24"/>
      <c r="K24"/>
      <c r="L24"/>
      <c r="M24"/>
      <c r="N24"/>
      <c r="O24"/>
      <c r="P24"/>
      <c r="Q24"/>
      <c r="R24"/>
      <c r="S24"/>
      <c r="T24"/>
      <c r="U24"/>
      <c r="V24" s="69"/>
      <c r="W24" s="69"/>
      <c r="X24" s="69"/>
      <c r="Y24" s="69"/>
      <c r="Z24" s="69"/>
      <c r="AA24" s="69"/>
    </row>
    <row r="25" ht="12.5" spans="1:27">
      <c r="A25" t="s">
        <v>24</v>
      </c>
      <c r="B25" t="s">
        <v>4</v>
      </c>
      <c r="C25"/>
      <c r="D25"/>
      <c r="E25"/>
      <c r="F25"/>
      <c r="G25"/>
      <c r="H25"/>
      <c r="I25"/>
      <c r="J25"/>
      <c r="K25"/>
      <c r="L25"/>
      <c r="M25"/>
      <c r="N25"/>
      <c r="O25"/>
      <c r="P25"/>
      <c r="Q25"/>
      <c r="R25"/>
      <c r="S25"/>
      <c r="T25"/>
      <c r="U25"/>
      <c r="V25" s="69"/>
      <c r="W25" s="69"/>
      <c r="X25" s="69"/>
      <c r="Y25" s="69"/>
      <c r="Z25" s="69"/>
      <c r="AA25" s="69"/>
    </row>
    <row r="26" ht="12.5" spans="1:27">
      <c r="A26" t="s">
        <v>25</v>
      </c>
      <c r="B26" t="s">
        <v>4</v>
      </c>
      <c r="C26"/>
      <c r="D26"/>
      <c r="E26"/>
      <c r="F26"/>
      <c r="G26"/>
      <c r="H26"/>
      <c r="I26"/>
      <c r="J26"/>
      <c r="K26"/>
      <c r="L26"/>
      <c r="M26"/>
      <c r="N26"/>
      <c r="O26"/>
      <c r="P26"/>
      <c r="Q26"/>
      <c r="R26"/>
      <c r="S26"/>
      <c r="T26"/>
      <c r="U26"/>
      <c r="V26" s="69"/>
      <c r="W26" s="69"/>
      <c r="X26" s="69"/>
      <c r="Y26" s="69"/>
      <c r="Z26" s="69"/>
      <c r="AA26" s="69"/>
    </row>
    <row r="27" ht="12.5" spans="1:27">
      <c r="A27" t="s">
        <v>26</v>
      </c>
      <c r="B27" t="s">
        <v>4</v>
      </c>
      <c r="C27"/>
      <c r="D27"/>
      <c r="E27"/>
      <c r="F27"/>
      <c r="G27"/>
      <c r="H27"/>
      <c r="I27"/>
      <c r="J27"/>
      <c r="K27"/>
      <c r="L27"/>
      <c r="M27"/>
      <c r="N27"/>
      <c r="O27"/>
      <c r="P27"/>
      <c r="Q27"/>
      <c r="R27"/>
      <c r="S27"/>
      <c r="T27"/>
      <c r="U27"/>
      <c r="V27" s="69"/>
      <c r="W27" s="69"/>
      <c r="X27" s="69"/>
      <c r="Y27" s="69"/>
      <c r="Z27" s="69"/>
      <c r="AA27" s="69"/>
    </row>
    <row r="28" ht="12.5" spans="1:27">
      <c r="A28" t="s">
        <v>27</v>
      </c>
      <c r="B28" t="s">
        <v>4</v>
      </c>
      <c r="C28"/>
      <c r="D28"/>
      <c r="E28"/>
      <c r="F28"/>
      <c r="G28"/>
      <c r="H28"/>
      <c r="I28"/>
      <c r="J28"/>
      <c r="K28"/>
      <c r="L28"/>
      <c r="M28"/>
      <c r="N28"/>
      <c r="O28"/>
      <c r="P28"/>
      <c r="Q28"/>
      <c r="R28"/>
      <c r="S28"/>
      <c r="T28"/>
      <c r="U28"/>
      <c r="V28" s="69"/>
      <c r="W28" s="69"/>
      <c r="X28" s="69"/>
      <c r="Y28" s="69"/>
      <c r="Z28" s="69"/>
      <c r="AA28" s="69"/>
    </row>
    <row r="29" ht="12.5" spans="1:27">
      <c r="A29" t="s">
        <v>28</v>
      </c>
      <c r="B29" t="s">
        <v>4</v>
      </c>
      <c r="C29"/>
      <c r="D29"/>
      <c r="E29"/>
      <c r="F29"/>
      <c r="G29"/>
      <c r="H29"/>
      <c r="I29"/>
      <c r="J29"/>
      <c r="K29"/>
      <c r="L29"/>
      <c r="M29"/>
      <c r="N29"/>
      <c r="O29"/>
      <c r="P29"/>
      <c r="Q29"/>
      <c r="R29"/>
      <c r="S29"/>
      <c r="T29"/>
      <c r="U29"/>
      <c r="V29" s="69"/>
      <c r="W29" s="69"/>
      <c r="X29" s="69"/>
      <c r="Y29" s="69"/>
      <c r="Z29" s="69"/>
      <c r="AA29" s="69"/>
    </row>
    <row r="30" ht="12.5" spans="1:27">
      <c r="A30" t="s">
        <v>29</v>
      </c>
      <c r="B30" t="s">
        <v>4</v>
      </c>
      <c r="H30" s="69"/>
      <c r="I30" s="69"/>
      <c r="J30" s="69"/>
      <c r="K30" s="69"/>
      <c r="L30" s="69"/>
      <c r="M30" s="69"/>
      <c r="N30" s="69"/>
      <c r="O30" s="69"/>
      <c r="P30" s="69"/>
      <c r="Q30" s="69"/>
      <c r="R30" s="69"/>
      <c r="S30" s="69"/>
      <c r="T30" s="69"/>
      <c r="U30" s="69"/>
      <c r="V30" s="69"/>
      <c r="W30" s="69"/>
      <c r="X30" s="69"/>
      <c r="Y30" s="69"/>
      <c r="Z30" s="69"/>
      <c r="AA30" s="69"/>
    </row>
    <row r="31" ht="12.5" spans="1:27">
      <c r="A31" t="s">
        <v>30</v>
      </c>
      <c r="B31" t="s">
        <v>4</v>
      </c>
      <c r="H31" s="69"/>
      <c r="I31" s="69"/>
      <c r="J31" s="69"/>
      <c r="K31" s="69"/>
      <c r="L31" s="69"/>
      <c r="M31" s="69"/>
      <c r="N31" s="69"/>
      <c r="O31" s="69"/>
      <c r="P31" s="69"/>
      <c r="Q31" s="69"/>
      <c r="R31" s="69"/>
      <c r="S31" s="69"/>
      <c r="T31" s="69"/>
      <c r="U31" s="69"/>
      <c r="V31" s="69"/>
      <c r="W31" s="69"/>
      <c r="X31" s="69"/>
      <c r="Y31" s="69"/>
      <c r="Z31" s="69"/>
      <c r="AA31" s="69"/>
    </row>
    <row r="32" ht="12.5" spans="1:27">
      <c r="A32" t="s">
        <v>31</v>
      </c>
      <c r="B32" t="s">
        <v>4</v>
      </c>
      <c r="H32" s="69"/>
      <c r="I32" s="69"/>
      <c r="J32" s="69"/>
      <c r="K32" s="69"/>
      <c r="L32" s="69"/>
      <c r="M32" s="69"/>
      <c r="N32" s="69"/>
      <c r="O32" s="69"/>
      <c r="P32" s="69"/>
      <c r="Q32" s="69"/>
      <c r="R32" s="69"/>
      <c r="S32" s="69"/>
      <c r="T32" s="69"/>
      <c r="U32" s="69"/>
      <c r="V32" s="69"/>
      <c r="W32" s="69"/>
      <c r="X32" s="69"/>
      <c r="Y32" s="69"/>
      <c r="Z32" s="69"/>
      <c r="AA32" s="69"/>
    </row>
    <row r="33" ht="12.5" spans="1:27">
      <c r="A33" t="s">
        <v>32</v>
      </c>
      <c r="B33" t="s">
        <v>4</v>
      </c>
      <c r="H33" s="69"/>
      <c r="I33" s="69"/>
      <c r="J33" s="69"/>
      <c r="K33" s="69"/>
      <c r="L33" s="69"/>
      <c r="M33" s="69"/>
      <c r="N33" s="69"/>
      <c r="O33" s="69"/>
      <c r="P33" s="69"/>
      <c r="Q33" s="69"/>
      <c r="R33" s="69"/>
      <c r="S33" s="69"/>
      <c r="T33" s="69"/>
      <c r="U33" s="69"/>
      <c r="V33" s="69"/>
      <c r="W33" s="69"/>
      <c r="X33" s="69"/>
      <c r="Y33" s="69"/>
      <c r="Z33" s="69"/>
      <c r="AA33" s="69"/>
    </row>
    <row r="34" ht="12.5" spans="1:27">
      <c r="A34" t="s">
        <v>33</v>
      </c>
      <c r="B34" t="s">
        <v>4</v>
      </c>
      <c r="H34" s="69"/>
      <c r="I34" s="69"/>
      <c r="J34" s="69"/>
      <c r="K34" s="69"/>
      <c r="L34" s="69"/>
      <c r="M34" s="69"/>
      <c r="N34" s="69"/>
      <c r="O34" s="69"/>
      <c r="P34" s="69"/>
      <c r="Q34" s="69"/>
      <c r="R34" s="69"/>
      <c r="S34" s="69"/>
      <c r="T34" s="69"/>
      <c r="U34" s="69"/>
      <c r="V34" s="69"/>
      <c r="W34" s="69"/>
      <c r="X34" s="69"/>
      <c r="Y34" s="69"/>
      <c r="Z34" s="69"/>
      <c r="AA34" s="69"/>
    </row>
    <row r="35" ht="12.5" spans="1:27">
      <c r="A35" s="141" t="s">
        <v>34</v>
      </c>
      <c r="B35" t="s">
        <v>4</v>
      </c>
      <c r="H35" s="69"/>
      <c r="I35" s="69"/>
      <c r="J35" s="69"/>
      <c r="K35" s="69"/>
      <c r="L35" s="69"/>
      <c r="M35" s="69"/>
      <c r="N35" s="69"/>
      <c r="O35" s="69"/>
      <c r="P35" s="69"/>
      <c r="Q35" s="69"/>
      <c r="R35" s="69"/>
      <c r="S35" s="69"/>
      <c r="T35" s="69"/>
      <c r="U35" s="69"/>
      <c r="V35" s="69"/>
      <c r="W35" s="69"/>
      <c r="X35" s="69"/>
      <c r="Y35" s="69"/>
      <c r="Z35" s="69"/>
      <c r="AA35" s="69"/>
    </row>
    <row r="36" ht="12.5" spans="1:27">
      <c r="A36" s="141" t="s">
        <v>35</v>
      </c>
      <c r="B36" t="s">
        <v>4</v>
      </c>
      <c r="H36" s="69"/>
      <c r="I36" s="69"/>
      <c r="J36" s="69"/>
      <c r="K36" s="69"/>
      <c r="L36" s="69"/>
      <c r="M36" s="69"/>
      <c r="N36" s="69"/>
      <c r="O36" s="69"/>
      <c r="P36" s="69"/>
      <c r="Q36" s="69"/>
      <c r="R36" s="69"/>
      <c r="S36" s="69"/>
      <c r="T36" s="69"/>
      <c r="U36" s="69"/>
      <c r="V36" s="69"/>
      <c r="W36" s="69"/>
      <c r="X36" s="69"/>
      <c r="Y36" s="69"/>
      <c r="Z36" s="69"/>
      <c r="AA36" s="69"/>
    </row>
    <row r="37" ht="12.5" spans="1:27">
      <c r="A37" s="141" t="s">
        <v>36</v>
      </c>
      <c r="B37" t="s">
        <v>4</v>
      </c>
      <c r="H37" s="69"/>
      <c r="I37" s="69"/>
      <c r="J37" s="69"/>
      <c r="K37" s="69"/>
      <c r="L37" s="69"/>
      <c r="M37" s="69"/>
      <c r="N37" s="69"/>
      <c r="O37" s="69"/>
      <c r="P37" s="69"/>
      <c r="Q37" s="69"/>
      <c r="R37" s="69"/>
      <c r="S37" s="69"/>
      <c r="T37" s="69"/>
      <c r="U37" s="69"/>
      <c r="V37" s="69"/>
      <c r="W37" s="69"/>
      <c r="X37" s="69"/>
      <c r="Y37" s="69"/>
      <c r="Z37" s="69"/>
      <c r="AA37" s="69"/>
    </row>
    <row r="38" ht="12.5" spans="1:27">
      <c r="A38" s="141" t="s">
        <v>37</v>
      </c>
      <c r="B38" t="s">
        <v>4</v>
      </c>
      <c r="H38" s="69"/>
      <c r="I38" s="69"/>
      <c r="J38" s="69"/>
      <c r="K38" s="69"/>
      <c r="L38" s="69"/>
      <c r="M38" s="69"/>
      <c r="N38" s="69"/>
      <c r="O38" s="69"/>
      <c r="P38" s="69"/>
      <c r="Q38" s="69"/>
      <c r="R38" s="69"/>
      <c r="S38" s="69"/>
      <c r="T38" s="69"/>
      <c r="U38" s="69"/>
      <c r="V38" s="69"/>
      <c r="W38" s="69"/>
      <c r="X38" s="69"/>
      <c r="Y38" s="69"/>
      <c r="Z38" s="69"/>
      <c r="AA38" s="69"/>
    </row>
    <row r="39" ht="12.5" spans="1:27">
      <c r="A39" s="141" t="s">
        <v>38</v>
      </c>
      <c r="B39" t="s">
        <v>4</v>
      </c>
      <c r="H39" s="69"/>
      <c r="I39" s="69"/>
      <c r="J39" s="69"/>
      <c r="K39" s="69"/>
      <c r="L39" s="69"/>
      <c r="M39" s="69"/>
      <c r="N39" s="69"/>
      <c r="O39" s="69"/>
      <c r="P39" s="69"/>
      <c r="Q39" s="69"/>
      <c r="R39" s="69"/>
      <c r="S39" s="69"/>
      <c r="T39" s="69"/>
      <c r="U39" s="69"/>
      <c r="V39" s="69"/>
      <c r="W39" s="69"/>
      <c r="X39" s="69"/>
      <c r="Y39" s="69"/>
      <c r="Z39" s="69"/>
      <c r="AA39" s="69"/>
    </row>
    <row r="40" spans="1:27">
      <c r="H40" s="69"/>
      <c r="I40" s="69"/>
      <c r="J40" s="69"/>
      <c r="K40" s="69"/>
      <c r="L40" s="69"/>
      <c r="M40" s="69"/>
      <c r="N40" s="69"/>
      <c r="O40" s="69"/>
      <c r="P40" s="69"/>
      <c r="Q40" s="69"/>
      <c r="R40" s="69"/>
      <c r="S40" s="69"/>
      <c r="T40" s="69"/>
      <c r="U40" s="69"/>
      <c r="V40" s="69"/>
      <c r="W40" s="69"/>
      <c r="X40" s="69"/>
      <c r="Y40" s="69"/>
      <c r="Z40" s="69"/>
      <c r="AA40" s="69"/>
    </row>
    <row r="41" spans="1:27">
      <c r="H41" s="69"/>
      <c r="I41" s="69"/>
      <c r="J41" s="69"/>
      <c r="K41" s="69"/>
      <c r="L41" s="69"/>
      <c r="M41" s="69"/>
      <c r="N41" s="69"/>
      <c r="O41" s="69"/>
      <c r="P41" s="69"/>
      <c r="Q41" s="69"/>
      <c r="R41" s="69"/>
      <c r="S41" s="69"/>
      <c r="T41" s="69"/>
      <c r="U41" s="69"/>
      <c r="V41" s="69"/>
      <c r="W41" s="69"/>
      <c r="X41" s="69"/>
      <c r="Y41" s="69"/>
      <c r="Z41" s="69"/>
      <c r="AA41" s="69"/>
    </row>
    <row r="42" spans="1:27">
      <c r="H42" s="69"/>
      <c r="I42" s="69"/>
      <c r="J42" s="69"/>
      <c r="K42" s="69"/>
      <c r="L42" s="69"/>
      <c r="M42" s="69"/>
      <c r="N42" s="69"/>
      <c r="O42" s="69"/>
      <c r="P42" s="69"/>
      <c r="Q42" s="69"/>
      <c r="R42" s="69"/>
      <c r="S42" s="69"/>
      <c r="T42" s="69"/>
      <c r="U42" s="69"/>
      <c r="V42" s="69"/>
      <c r="W42" s="69"/>
      <c r="X42" s="69"/>
      <c r="Y42" s="69"/>
      <c r="Z42" s="69"/>
      <c r="AA42" s="69"/>
    </row>
    <row r="43" spans="1:27">
      <c r="H43" s="69"/>
      <c r="I43" s="69"/>
      <c r="J43" s="69"/>
      <c r="K43" s="69"/>
      <c r="L43" s="69"/>
      <c r="M43" s="69"/>
      <c r="N43" s="69"/>
      <c r="O43" s="69"/>
      <c r="P43" s="69"/>
      <c r="Q43" s="69"/>
      <c r="R43" s="69"/>
      <c r="S43" s="69"/>
      <c r="T43" s="69"/>
      <c r="U43" s="69"/>
      <c r="V43" s="69"/>
      <c r="W43" s="69"/>
      <c r="X43" s="69"/>
      <c r="Y43" s="69"/>
      <c r="Z43" s="69"/>
      <c r="AA43" s="69"/>
    </row>
    <row r="44" spans="1:27">
      <c r="H44" s="69"/>
      <c r="I44" s="69"/>
      <c r="J44" s="69"/>
      <c r="K44" s="69"/>
      <c r="L44" s="69"/>
      <c r="M44" s="69"/>
      <c r="N44" s="69"/>
      <c r="O44" s="69"/>
      <c r="P44" s="69"/>
      <c r="Q44" s="69"/>
      <c r="R44" s="69"/>
      <c r="S44" s="69"/>
      <c r="T44" s="69"/>
      <c r="U44" s="69"/>
      <c r="V44" s="69"/>
      <c r="W44" s="69"/>
      <c r="X44" s="69"/>
      <c r="Y44" s="69"/>
      <c r="Z44" s="69"/>
      <c r="AA44" s="69"/>
    </row>
    <row r="45" spans="1:27">
      <c r="H45" s="69"/>
      <c r="I45" s="69"/>
      <c r="J45" s="69"/>
      <c r="K45" s="69"/>
      <c r="L45" s="69"/>
      <c r="M45" s="69"/>
      <c r="N45" s="69"/>
      <c r="O45" s="69"/>
      <c r="P45" s="69"/>
      <c r="Q45" s="69"/>
      <c r="R45" s="69"/>
      <c r="S45" s="69"/>
      <c r="T45" s="69"/>
      <c r="U45" s="69"/>
      <c r="V45" s="69"/>
      <c r="W45" s="69"/>
      <c r="X45" s="69"/>
      <c r="Y45" s="69"/>
      <c r="Z45" s="69"/>
      <c r="AA45" s="69"/>
    </row>
    <row r="46" spans="1:27">
      <c r="H46" s="69"/>
      <c r="I46" s="69"/>
      <c r="J46" s="69"/>
      <c r="K46" s="69"/>
      <c r="L46" s="69"/>
      <c r="M46" s="69"/>
      <c r="N46" s="69"/>
      <c r="O46" s="69"/>
      <c r="P46" s="69"/>
      <c r="Q46" s="69"/>
      <c r="R46" s="69"/>
      <c r="S46" s="69"/>
      <c r="T46" s="69"/>
      <c r="U46" s="69"/>
      <c r="V46" s="69"/>
      <c r="W46" s="69"/>
      <c r="X46" s="69"/>
      <c r="Y46" s="69"/>
      <c r="Z46" s="69"/>
      <c r="AA46" s="69"/>
    </row>
    <row r="47" spans="1:27">
      <c r="H47" s="69"/>
      <c r="I47" s="69"/>
      <c r="J47" s="69"/>
      <c r="K47" s="69"/>
      <c r="L47" s="69"/>
      <c r="M47" s="69"/>
      <c r="N47" s="69"/>
      <c r="O47" s="69"/>
      <c r="P47" s="69"/>
      <c r="Q47" s="69"/>
      <c r="R47" s="69"/>
      <c r="S47" s="69"/>
      <c r="T47" s="69"/>
      <c r="U47" s="69"/>
      <c r="V47" s="69"/>
      <c r="W47" s="69"/>
      <c r="X47" s="69"/>
      <c r="Y47" s="69"/>
      <c r="Z47" s="69"/>
      <c r="AA47" s="69"/>
    </row>
    <row r="48" spans="1:27">
      <c r="H48" s="69"/>
      <c r="I48" s="69"/>
      <c r="J48" s="69"/>
      <c r="K48" s="69"/>
      <c r="L48" s="69"/>
      <c r="M48" s="69"/>
      <c r="N48" s="69"/>
      <c r="O48" s="69"/>
      <c r="P48" s="69"/>
      <c r="Q48" s="69"/>
      <c r="R48" s="69"/>
      <c r="S48" s="69"/>
      <c r="T48" s="69"/>
      <c r="U48" s="69"/>
      <c r="V48" s="69"/>
      <c r="W48" s="69"/>
      <c r="X48" s="69"/>
      <c r="Y48" s="69"/>
      <c r="Z48" s="69"/>
      <c r="AA48" s="69"/>
    </row>
    <row r="49" spans="8:27">
      <c r="H49" s="69"/>
      <c r="I49" s="69"/>
      <c r="J49" s="69"/>
      <c r="K49" s="69"/>
      <c r="L49" s="69"/>
      <c r="M49" s="69"/>
      <c r="N49" s="69"/>
      <c r="O49" s="69"/>
      <c r="P49" s="69"/>
      <c r="Q49" s="69"/>
      <c r="R49" s="69"/>
      <c r="S49" s="69"/>
      <c r="T49" s="69"/>
      <c r="U49" s="69"/>
      <c r="V49" s="69"/>
      <c r="W49" s="69"/>
      <c r="X49" s="69"/>
      <c r="Y49" s="69"/>
      <c r="Z49" s="69"/>
      <c r="AA49" s="69"/>
    </row>
    <row r="50" spans="8:27">
      <c r="H50" s="69"/>
      <c r="I50" s="69"/>
      <c r="J50" s="69"/>
      <c r="K50" s="69"/>
      <c r="L50" s="69"/>
      <c r="M50" s="69"/>
      <c r="N50" s="69"/>
      <c r="O50" s="69"/>
      <c r="P50" s="69"/>
      <c r="Q50" s="69"/>
      <c r="R50" s="69"/>
      <c r="S50" s="69"/>
      <c r="T50" s="69"/>
      <c r="U50" s="69"/>
      <c r="V50" s="69"/>
      <c r="W50" s="69"/>
      <c r="X50" s="69"/>
      <c r="Y50" s="69"/>
      <c r="Z50" s="69"/>
      <c r="AA50" s="69"/>
    </row>
    <row r="51" spans="8:27">
      <c r="H51" s="69"/>
      <c r="I51" s="69"/>
      <c r="J51" s="69"/>
      <c r="K51" s="69"/>
      <c r="L51" s="69"/>
      <c r="M51" s="69"/>
      <c r="N51" s="69"/>
      <c r="O51" s="69"/>
      <c r="P51" s="69"/>
      <c r="Q51" s="69"/>
      <c r="R51" s="69"/>
      <c r="S51" s="69"/>
      <c r="T51" s="69"/>
      <c r="U51" s="69"/>
      <c r="V51" s="69"/>
      <c r="W51" s="69"/>
      <c r="X51" s="69"/>
      <c r="Y51" s="69"/>
      <c r="Z51" s="69"/>
      <c r="AA51" s="69"/>
    </row>
    <row r="52" spans="8:27">
      <c r="H52" s="69"/>
      <c r="I52" s="69"/>
      <c r="J52" s="69"/>
      <c r="K52" s="69"/>
      <c r="L52" s="69"/>
      <c r="M52" s="69"/>
      <c r="N52" s="69"/>
      <c r="O52" s="69"/>
      <c r="P52" s="69"/>
      <c r="Q52" s="69"/>
      <c r="R52" s="69"/>
      <c r="S52" s="69"/>
      <c r="T52" s="69"/>
      <c r="U52" s="69"/>
      <c r="V52" s="69"/>
      <c r="W52" s="69"/>
      <c r="X52" s="69"/>
      <c r="Y52" s="69"/>
      <c r="Z52" s="69"/>
      <c r="AA52" s="69"/>
    </row>
    <row r="53" spans="8:27">
      <c r="H53" s="69"/>
      <c r="I53" s="69"/>
      <c r="J53" s="69"/>
      <c r="K53" s="69"/>
      <c r="L53" s="69"/>
      <c r="M53" s="69"/>
      <c r="N53" s="69"/>
      <c r="O53" s="69"/>
      <c r="P53" s="69"/>
      <c r="Q53" s="69"/>
      <c r="R53" s="69"/>
      <c r="S53" s="69"/>
      <c r="T53" s="69"/>
      <c r="U53" s="69"/>
      <c r="V53" s="69"/>
      <c r="W53" s="69"/>
      <c r="X53" s="69"/>
      <c r="Y53" s="69"/>
      <c r="Z53" s="69"/>
      <c r="AA53" s="69"/>
    </row>
    <row r="54" spans="8:27">
      <c r="H54" s="69"/>
      <c r="I54" s="69"/>
      <c r="J54" s="69"/>
      <c r="K54" s="69"/>
      <c r="L54" s="69"/>
      <c r="M54" s="69"/>
      <c r="N54" s="69"/>
      <c r="O54" s="69"/>
      <c r="P54" s="69"/>
      <c r="Q54" s="69"/>
      <c r="R54" s="69"/>
      <c r="S54" s="69"/>
      <c r="T54" s="69"/>
      <c r="U54" s="69"/>
      <c r="V54" s="69"/>
      <c r="W54" s="69"/>
      <c r="X54" s="69"/>
      <c r="Y54" s="69"/>
      <c r="Z54" s="69"/>
      <c r="AA54" s="69"/>
    </row>
    <row r="55" spans="8:27">
      <c r="H55" s="69"/>
      <c r="I55" s="69"/>
      <c r="J55" s="69"/>
      <c r="K55" s="69"/>
      <c r="L55" s="69"/>
      <c r="M55" s="69"/>
      <c r="N55" s="69"/>
      <c r="O55" s="69"/>
      <c r="P55" s="69"/>
      <c r="Q55" s="69"/>
      <c r="R55" s="69"/>
      <c r="S55" s="69"/>
      <c r="T55" s="69"/>
      <c r="U55" s="69"/>
      <c r="V55" s="69"/>
      <c r="W55" s="69"/>
      <c r="X55" s="69"/>
      <c r="Y55" s="69"/>
      <c r="Z55" s="69"/>
      <c r="AA55" s="69"/>
    </row>
    <row r="56" spans="8:27">
      <c r="H56" s="69"/>
      <c r="I56" s="69"/>
      <c r="J56" s="69"/>
      <c r="K56" s="69"/>
      <c r="L56" s="69"/>
      <c r="M56" s="69"/>
      <c r="N56" s="69"/>
      <c r="O56" s="69"/>
      <c r="P56" s="69"/>
      <c r="Q56" s="69"/>
      <c r="R56" s="69"/>
      <c r="S56" s="69"/>
      <c r="T56" s="69"/>
      <c r="U56" s="69"/>
      <c r="V56" s="69"/>
      <c r="W56" s="69"/>
      <c r="X56" s="69"/>
      <c r="Y56" s="69"/>
      <c r="Z56" s="69"/>
      <c r="AA56" s="69"/>
    </row>
    <row r="57" spans="8:27">
      <c r="H57" s="69"/>
      <c r="I57" s="69"/>
      <c r="J57" s="69"/>
      <c r="K57" s="69"/>
      <c r="L57" s="69"/>
      <c r="M57" s="69"/>
      <c r="N57" s="69"/>
      <c r="O57" s="69"/>
      <c r="P57" s="69"/>
      <c r="Q57" s="69"/>
      <c r="R57" s="69"/>
      <c r="S57" s="69"/>
      <c r="T57" s="69"/>
      <c r="U57" s="69"/>
      <c r="V57" s="69"/>
      <c r="W57" s="69"/>
      <c r="X57" s="69"/>
      <c r="Y57" s="69"/>
      <c r="Z57" s="69"/>
      <c r="AA57" s="69"/>
    </row>
    <row r="58" spans="8:27">
      <c r="H58" s="69"/>
      <c r="I58" s="69"/>
      <c r="J58" s="69"/>
      <c r="K58" s="69"/>
      <c r="L58" s="69"/>
      <c r="M58" s="69"/>
      <c r="N58" s="69"/>
      <c r="O58" s="69"/>
      <c r="P58" s="69"/>
      <c r="Q58" s="69"/>
      <c r="R58" s="69"/>
      <c r="S58" s="69"/>
      <c r="T58" s="69"/>
      <c r="U58" s="69"/>
      <c r="V58" s="69"/>
      <c r="W58" s="69"/>
      <c r="X58" s="69"/>
      <c r="Y58" s="69"/>
      <c r="Z58" s="69"/>
      <c r="AA58" s="69"/>
    </row>
    <row r="59" spans="8:27">
      <c r="H59" s="69"/>
      <c r="I59" s="69"/>
      <c r="J59" s="69"/>
      <c r="K59" s="69"/>
      <c r="L59" s="69"/>
      <c r="M59" s="69"/>
      <c r="N59" s="69"/>
      <c r="O59" s="69"/>
      <c r="P59" s="69"/>
      <c r="Q59" s="69"/>
      <c r="R59" s="69"/>
      <c r="S59" s="69"/>
      <c r="T59" s="69"/>
      <c r="U59" s="69"/>
      <c r="V59" s="69"/>
      <c r="W59" s="69"/>
      <c r="X59" s="69"/>
      <c r="Y59" s="69"/>
      <c r="Z59" s="69"/>
      <c r="AA59" s="69"/>
    </row>
    <row r="60" spans="8:27">
      <c r="H60" s="69"/>
      <c r="I60" s="69"/>
      <c r="J60" s="69"/>
      <c r="K60" s="69"/>
      <c r="L60" s="69"/>
      <c r="M60" s="69"/>
      <c r="N60" s="69"/>
      <c r="O60" s="69"/>
      <c r="P60" s="69"/>
      <c r="Q60" s="69"/>
      <c r="R60" s="69"/>
      <c r="S60" s="69"/>
      <c r="T60" s="69"/>
      <c r="U60" s="69"/>
      <c r="V60" s="69"/>
      <c r="W60" s="69"/>
      <c r="X60" s="69"/>
      <c r="Y60" s="69"/>
      <c r="Z60" s="69"/>
      <c r="AA60" s="69"/>
    </row>
    <row r="61" spans="8:27">
      <c r="H61" s="69"/>
      <c r="I61" s="69"/>
      <c r="J61" s="69"/>
      <c r="K61" s="69"/>
      <c r="L61" s="69"/>
      <c r="M61" s="69"/>
      <c r="N61" s="69"/>
      <c r="O61" s="69"/>
      <c r="P61" s="69"/>
      <c r="Q61" s="69"/>
      <c r="R61" s="69"/>
      <c r="S61" s="69"/>
      <c r="T61" s="69"/>
      <c r="U61" s="69"/>
      <c r="V61" s="69"/>
      <c r="W61" s="69"/>
      <c r="X61" s="69"/>
      <c r="Y61" s="69"/>
      <c r="Z61" s="69"/>
      <c r="AA61" s="69"/>
    </row>
    <row r="62" spans="8:27">
      <c r="H62" s="69"/>
      <c r="I62" s="69"/>
      <c r="J62" s="69"/>
      <c r="K62" s="69"/>
      <c r="L62" s="69"/>
      <c r="M62" s="69"/>
      <c r="N62" s="69"/>
      <c r="O62" s="69"/>
      <c r="P62" s="69"/>
      <c r="Q62" s="69"/>
      <c r="R62" s="69"/>
      <c r="S62" s="69"/>
      <c r="T62" s="69"/>
      <c r="U62" s="69"/>
      <c r="V62" s="69"/>
      <c r="W62" s="69"/>
      <c r="X62" s="69"/>
      <c r="Y62" s="69"/>
      <c r="Z62" s="69"/>
      <c r="AA62" s="69"/>
    </row>
    <row r="63" spans="8:27">
      <c r="H63" s="69"/>
      <c r="I63" s="69"/>
      <c r="J63" s="69"/>
      <c r="K63" s="69"/>
      <c r="L63" s="69"/>
      <c r="M63" s="69"/>
      <c r="N63" s="69"/>
      <c r="O63" s="69"/>
      <c r="P63" s="69"/>
      <c r="Q63" s="69"/>
      <c r="R63" s="69"/>
      <c r="S63" s="69"/>
      <c r="T63" s="69"/>
      <c r="U63" s="69"/>
      <c r="V63" s="69"/>
      <c r="W63" s="69"/>
      <c r="X63" s="69"/>
      <c r="Y63" s="69"/>
      <c r="Z63" s="69"/>
      <c r="AA63" s="69"/>
    </row>
    <row r="64" spans="8:27">
      <c r="H64" s="69"/>
      <c r="I64" s="69"/>
      <c r="J64" s="69"/>
      <c r="K64" s="69"/>
      <c r="L64" s="69"/>
      <c r="M64" s="69"/>
      <c r="N64" s="69"/>
      <c r="O64" s="69"/>
      <c r="P64" s="69"/>
      <c r="Q64" s="69"/>
      <c r="R64" s="69"/>
      <c r="S64" s="69"/>
      <c r="T64" s="69"/>
      <c r="U64" s="69"/>
      <c r="V64" s="69"/>
      <c r="W64" s="69"/>
      <c r="X64" s="69"/>
      <c r="Y64" s="69"/>
      <c r="Z64" s="69"/>
      <c r="AA64" s="69"/>
    </row>
    <row r="65" spans="8:27">
      <c r="H65" s="69"/>
      <c r="I65" s="69"/>
      <c r="J65" s="69"/>
      <c r="K65" s="69"/>
      <c r="L65" s="69"/>
      <c r="M65" s="69"/>
      <c r="N65" s="69"/>
      <c r="O65" s="69"/>
      <c r="P65" s="69"/>
      <c r="Q65" s="69"/>
      <c r="R65" s="69"/>
      <c r="S65" s="69"/>
      <c r="T65" s="69"/>
      <c r="U65" s="69"/>
      <c r="V65" s="69"/>
      <c r="W65" s="69"/>
      <c r="X65" s="69"/>
      <c r="Y65" s="69"/>
      <c r="Z65" s="69"/>
      <c r="AA65" s="69"/>
    </row>
    <row r="66" spans="8:27">
      <c r="H66" s="69"/>
      <c r="I66" s="69"/>
      <c r="J66" s="69"/>
      <c r="K66" s="69"/>
      <c r="L66" s="69"/>
      <c r="M66" s="69"/>
      <c r="N66" s="69"/>
      <c r="O66" s="69"/>
      <c r="P66" s="69"/>
      <c r="Q66" s="69"/>
      <c r="R66" s="69"/>
      <c r="S66" s="69"/>
      <c r="T66" s="69"/>
      <c r="U66" s="69"/>
      <c r="V66" s="69"/>
      <c r="W66" s="69"/>
      <c r="X66" s="69"/>
      <c r="Y66" s="69"/>
      <c r="Z66" s="69"/>
      <c r="AA66" s="69"/>
    </row>
    <row r="67" spans="8:27">
      <c r="H67" s="69"/>
      <c r="I67" s="69"/>
      <c r="J67" s="69"/>
      <c r="K67" s="69"/>
      <c r="L67" s="69"/>
      <c r="M67" s="69"/>
      <c r="N67" s="69"/>
      <c r="O67" s="69"/>
      <c r="P67" s="69"/>
      <c r="Q67" s="69"/>
      <c r="R67" s="69"/>
      <c r="S67" s="69"/>
      <c r="T67" s="69"/>
      <c r="U67" s="69"/>
      <c r="V67" s="69"/>
      <c r="W67" s="69"/>
      <c r="X67" s="69"/>
      <c r="Y67" s="69"/>
      <c r="Z67" s="69"/>
      <c r="AA67" s="69"/>
    </row>
    <row r="68" spans="8:27">
      <c r="H68" s="69"/>
      <c r="I68" s="69"/>
      <c r="J68" s="69"/>
      <c r="K68" s="69"/>
      <c r="L68" s="69"/>
      <c r="M68" s="69"/>
      <c r="N68" s="69"/>
      <c r="O68" s="69"/>
      <c r="P68" s="69"/>
      <c r="Q68" s="69"/>
      <c r="R68" s="69"/>
      <c r="S68" s="69"/>
      <c r="T68" s="69"/>
      <c r="U68" s="69"/>
      <c r="V68" s="69"/>
      <c r="W68" s="69"/>
      <c r="X68" s="69"/>
      <c r="Y68" s="69"/>
      <c r="Z68" s="69"/>
      <c r="AA68" s="69"/>
    </row>
    <row r="69" spans="8:27">
      <c r="H69" s="69"/>
      <c r="I69" s="69"/>
      <c r="J69" s="69"/>
      <c r="K69" s="69"/>
      <c r="L69" s="69"/>
      <c r="M69" s="69"/>
      <c r="N69" s="69"/>
      <c r="O69" s="69"/>
      <c r="P69" s="69"/>
      <c r="Q69" s="69"/>
      <c r="R69" s="69"/>
      <c r="S69" s="69"/>
      <c r="T69" s="69"/>
      <c r="U69" s="69"/>
      <c r="V69" s="69"/>
      <c r="W69" s="69"/>
      <c r="X69" s="69"/>
      <c r="Y69" s="69"/>
      <c r="Z69" s="69"/>
      <c r="AA69" s="69"/>
    </row>
    <row r="70" spans="8:27">
      <c r="H70" s="69"/>
      <c r="I70" s="69"/>
      <c r="J70" s="69"/>
      <c r="K70" s="69"/>
      <c r="L70" s="69"/>
      <c r="M70" s="69"/>
      <c r="N70" s="69"/>
      <c r="O70" s="69"/>
      <c r="P70" s="69"/>
      <c r="Q70" s="69"/>
      <c r="R70" s="69"/>
      <c r="S70" s="69"/>
      <c r="T70" s="69"/>
      <c r="U70" s="69"/>
      <c r="V70" s="69"/>
      <c r="W70" s="69"/>
      <c r="X70" s="69"/>
      <c r="Y70" s="69"/>
      <c r="Z70" s="69"/>
      <c r="AA70" s="69"/>
    </row>
    <row r="71" spans="8:27">
      <c r="H71" s="69"/>
      <c r="I71" s="69"/>
      <c r="J71" s="69"/>
      <c r="K71" s="69"/>
      <c r="L71" s="69"/>
      <c r="M71" s="69"/>
      <c r="N71" s="69"/>
      <c r="O71" s="69"/>
      <c r="P71" s="69"/>
      <c r="Q71" s="69"/>
      <c r="R71" s="69"/>
      <c r="S71" s="69"/>
      <c r="T71" s="69"/>
      <c r="U71" s="69"/>
      <c r="V71" s="69"/>
      <c r="W71" s="69"/>
      <c r="X71" s="69"/>
      <c r="Y71" s="69"/>
      <c r="Z71" s="69"/>
      <c r="AA71" s="69"/>
    </row>
    <row r="72" spans="8:27">
      <c r="H72" s="69"/>
      <c r="I72" s="69"/>
      <c r="J72" s="69"/>
      <c r="K72" s="69"/>
      <c r="L72" s="69"/>
      <c r="M72" s="69"/>
      <c r="N72" s="69"/>
      <c r="O72" s="69"/>
      <c r="P72" s="69"/>
      <c r="Q72" s="69"/>
      <c r="R72" s="69"/>
      <c r="S72" s="69"/>
      <c r="T72" s="69"/>
      <c r="U72" s="69"/>
      <c r="V72" s="69"/>
      <c r="W72" s="69"/>
      <c r="X72" s="69"/>
      <c r="Y72" s="69"/>
      <c r="Z72" s="69"/>
      <c r="AA72" s="69"/>
    </row>
    <row r="73" spans="8:27">
      <c r="H73" s="69"/>
      <c r="I73" s="69"/>
      <c r="J73" s="69"/>
      <c r="K73" s="69"/>
      <c r="L73" s="69"/>
      <c r="M73" s="69"/>
      <c r="N73" s="69"/>
      <c r="O73" s="69"/>
      <c r="P73" s="69"/>
      <c r="Q73" s="69"/>
      <c r="R73" s="69"/>
      <c r="S73" s="69"/>
      <c r="T73" s="69"/>
      <c r="U73" s="69"/>
      <c r="V73" s="69"/>
      <c r="W73" s="69"/>
      <c r="X73" s="69"/>
      <c r="Y73" s="69"/>
      <c r="Z73" s="69"/>
      <c r="AA73" s="69"/>
    </row>
    <row r="74" spans="8:27">
      <c r="H74" s="69"/>
      <c r="I74" s="69"/>
      <c r="J74" s="69"/>
      <c r="K74" s="69"/>
      <c r="L74" s="69"/>
      <c r="M74" s="69"/>
      <c r="N74" s="69"/>
      <c r="O74" s="69"/>
      <c r="P74" s="69"/>
      <c r="Q74" s="69"/>
      <c r="R74" s="69"/>
      <c r="S74" s="69"/>
      <c r="T74" s="69"/>
      <c r="U74" s="69"/>
      <c r="V74" s="69"/>
      <c r="W74" s="69"/>
      <c r="X74" s="69"/>
      <c r="Y74" s="69"/>
      <c r="Z74" s="69"/>
      <c r="AA74" s="69"/>
    </row>
    <row r="75" spans="8:27">
      <c r="H75" s="69"/>
      <c r="I75" s="69"/>
      <c r="J75" s="69"/>
      <c r="K75" s="69"/>
      <c r="L75" s="69"/>
      <c r="M75" s="69"/>
      <c r="N75" s="69"/>
      <c r="O75" s="69"/>
      <c r="P75" s="69"/>
      <c r="Q75" s="69"/>
      <c r="R75" s="69"/>
      <c r="S75" s="69"/>
      <c r="T75" s="69"/>
      <c r="U75" s="69"/>
      <c r="V75" s="69"/>
      <c r="W75" s="69"/>
      <c r="X75" s="69"/>
      <c r="Y75" s="69"/>
      <c r="Z75" s="69"/>
      <c r="AA75" s="69"/>
    </row>
    <row r="76" spans="8:27">
      <c r="H76" s="69"/>
      <c r="I76" s="69"/>
      <c r="J76" s="69"/>
      <c r="K76" s="69"/>
      <c r="L76" s="69"/>
      <c r="M76" s="69"/>
      <c r="N76" s="69"/>
      <c r="O76" s="69"/>
      <c r="P76" s="69"/>
      <c r="Q76" s="69"/>
      <c r="R76" s="69"/>
      <c r="S76" s="69"/>
      <c r="T76" s="69"/>
      <c r="U76" s="69"/>
      <c r="V76" s="69"/>
      <c r="W76" s="69"/>
      <c r="X76" s="69"/>
      <c r="Y76" s="69"/>
      <c r="Z76" s="69"/>
      <c r="AA76" s="69"/>
    </row>
    <row r="77" spans="8:27">
      <c r="H77" s="69"/>
      <c r="I77" s="69"/>
      <c r="J77" s="69"/>
      <c r="K77" s="69"/>
      <c r="L77" s="69"/>
      <c r="M77" s="69"/>
      <c r="N77" s="69"/>
      <c r="O77" s="69"/>
      <c r="P77" s="69"/>
      <c r="Q77" s="69"/>
      <c r="R77" s="69"/>
      <c r="S77" s="69"/>
      <c r="T77" s="69"/>
      <c r="U77" s="69"/>
      <c r="V77" s="69"/>
      <c r="W77" s="69"/>
      <c r="X77" s="69"/>
      <c r="Y77" s="69"/>
      <c r="Z77" s="69"/>
      <c r="AA77" s="69"/>
    </row>
    <row r="78" spans="8:27">
      <c r="H78" s="69"/>
      <c r="I78" s="69"/>
      <c r="J78" s="69"/>
      <c r="K78" s="69"/>
      <c r="L78" s="69"/>
      <c r="M78" s="69"/>
      <c r="N78" s="69"/>
      <c r="O78" s="69"/>
      <c r="P78" s="69"/>
      <c r="Q78" s="69"/>
      <c r="R78" s="69"/>
      <c r="S78" s="69"/>
      <c r="T78" s="69"/>
      <c r="U78" s="69"/>
      <c r="V78" s="69"/>
      <c r="W78" s="69"/>
      <c r="X78" s="69"/>
      <c r="Y78" s="69"/>
      <c r="Z78" s="69"/>
      <c r="AA78" s="69"/>
    </row>
    <row r="79" spans="8:27">
      <c r="H79" s="69"/>
      <c r="I79" s="69"/>
      <c r="J79" s="69"/>
      <c r="K79" s="69"/>
      <c r="L79" s="69"/>
      <c r="M79" s="69"/>
      <c r="N79" s="69"/>
      <c r="O79" s="69"/>
      <c r="P79" s="69"/>
      <c r="Q79" s="69"/>
      <c r="R79" s="69"/>
      <c r="S79" s="69"/>
      <c r="T79" s="69"/>
      <c r="U79" s="69"/>
      <c r="V79" s="69"/>
      <c r="W79" s="69"/>
      <c r="X79" s="69"/>
      <c r="Y79" s="69"/>
      <c r="Z79" s="69"/>
      <c r="AA79" s="69"/>
    </row>
    <row r="80" spans="8:27">
      <c r="H80" s="69"/>
      <c r="I80" s="69"/>
      <c r="J80" s="69"/>
      <c r="K80" s="69"/>
      <c r="L80" s="69"/>
      <c r="M80" s="69"/>
      <c r="N80" s="69"/>
      <c r="O80" s="69"/>
      <c r="P80" s="69"/>
      <c r="Q80" s="69"/>
      <c r="R80" s="69"/>
      <c r="S80" s="69"/>
      <c r="T80" s="69"/>
      <c r="U80" s="69"/>
      <c r="V80" s="69"/>
      <c r="W80" s="69"/>
      <c r="X80" s="69"/>
      <c r="Y80" s="69"/>
      <c r="Z80" s="69"/>
      <c r="AA80" s="69"/>
    </row>
    <row r="81" spans="8:27">
      <c r="H81" s="69"/>
      <c r="I81" s="69"/>
      <c r="J81" s="69"/>
      <c r="K81" s="69"/>
      <c r="L81" s="69"/>
      <c r="M81" s="69"/>
      <c r="N81" s="69"/>
      <c r="O81" s="69"/>
      <c r="P81" s="69"/>
      <c r="Q81" s="69"/>
      <c r="R81" s="69"/>
      <c r="S81" s="69"/>
      <c r="T81" s="69"/>
      <c r="U81" s="69"/>
      <c r="V81" s="69"/>
      <c r="W81" s="69"/>
      <c r="X81" s="69"/>
      <c r="Y81" s="69"/>
      <c r="Z81" s="69"/>
      <c r="AA81" s="69"/>
    </row>
    <row r="82" spans="8:27">
      <c r="H82" s="69"/>
      <c r="I82" s="69"/>
      <c r="J82" s="69"/>
      <c r="K82" s="69"/>
      <c r="L82" s="69"/>
      <c r="M82" s="69"/>
      <c r="N82" s="69"/>
      <c r="O82" s="69"/>
      <c r="P82" s="69"/>
      <c r="Q82" s="69"/>
      <c r="R82" s="69"/>
      <c r="S82" s="69"/>
      <c r="T82" s="69"/>
      <c r="U82" s="69"/>
      <c r="V82" s="69"/>
      <c r="W82" s="69"/>
      <c r="X82" s="69"/>
      <c r="Y82" s="69"/>
      <c r="Z82" s="69"/>
      <c r="AA82" s="69"/>
    </row>
    <row r="83" spans="8:27">
      <c r="H83" s="69"/>
      <c r="I83" s="69"/>
      <c r="J83" s="69"/>
      <c r="K83" s="69"/>
      <c r="L83" s="69"/>
      <c r="M83" s="69"/>
      <c r="N83" s="69"/>
      <c r="O83" s="69"/>
      <c r="P83" s="69"/>
      <c r="Q83" s="69"/>
      <c r="R83" s="69"/>
      <c r="S83" s="69"/>
      <c r="T83" s="69"/>
      <c r="U83" s="69"/>
      <c r="V83" s="69"/>
      <c r="W83" s="69"/>
      <c r="X83" s="69"/>
      <c r="Y83" s="69"/>
      <c r="Z83" s="69"/>
      <c r="AA83" s="69"/>
    </row>
    <row r="84" spans="8:27">
      <c r="H84" s="69"/>
      <c r="I84" s="69"/>
      <c r="J84" s="69"/>
      <c r="K84" s="69"/>
      <c r="L84" s="69"/>
      <c r="M84" s="69"/>
      <c r="N84" s="69"/>
      <c r="O84" s="69"/>
      <c r="P84" s="69"/>
      <c r="Q84" s="69"/>
      <c r="R84" s="69"/>
      <c r="S84" s="69"/>
      <c r="T84" s="69"/>
      <c r="U84" s="69"/>
      <c r="V84" s="69"/>
      <c r="W84" s="69"/>
      <c r="X84" s="69"/>
      <c r="Y84" s="69"/>
      <c r="Z84" s="69"/>
      <c r="AA84" s="69"/>
    </row>
    <row r="85" spans="8:27">
      <c r="H85" s="69"/>
      <c r="I85" s="69"/>
      <c r="J85" s="69"/>
      <c r="K85" s="69"/>
      <c r="L85" s="69"/>
      <c r="M85" s="69"/>
      <c r="N85" s="69"/>
      <c r="O85" s="69"/>
      <c r="P85" s="69"/>
      <c r="Q85" s="69"/>
      <c r="R85" s="69"/>
      <c r="S85" s="69"/>
      <c r="T85" s="69"/>
      <c r="U85" s="69"/>
      <c r="V85" s="69"/>
      <c r="W85" s="69"/>
      <c r="X85" s="69"/>
      <c r="Y85" s="69"/>
      <c r="Z85" s="69"/>
      <c r="AA85" s="69"/>
    </row>
    <row r="86" spans="8:27">
      <c r="H86" s="69"/>
      <c r="I86" s="69"/>
      <c r="J86" s="69"/>
      <c r="K86" s="69"/>
      <c r="L86" s="69"/>
      <c r="M86" s="69"/>
      <c r="N86" s="69"/>
      <c r="O86" s="69"/>
      <c r="P86" s="69"/>
      <c r="Q86" s="69"/>
      <c r="R86" s="69"/>
      <c r="S86" s="69"/>
      <c r="T86" s="69"/>
      <c r="U86" s="69"/>
      <c r="V86" s="69"/>
      <c r="W86" s="69"/>
      <c r="X86" s="69"/>
      <c r="Y86" s="69"/>
      <c r="Z86" s="69"/>
      <c r="AA86" s="69"/>
    </row>
    <row r="87" spans="8:27">
      <c r="H87" s="69"/>
      <c r="I87" s="69"/>
      <c r="J87" s="69"/>
      <c r="K87" s="69"/>
      <c r="L87" s="69"/>
      <c r="M87" s="69"/>
      <c r="N87" s="69"/>
      <c r="O87" s="69"/>
      <c r="P87" s="69"/>
      <c r="Q87" s="69"/>
      <c r="R87" s="69"/>
      <c r="S87" s="69"/>
      <c r="T87" s="69"/>
      <c r="U87" s="69"/>
      <c r="V87" s="69"/>
      <c r="W87" s="69"/>
      <c r="X87" s="69"/>
      <c r="Y87" s="69"/>
      <c r="Z87" s="69"/>
      <c r="AA87" s="69"/>
    </row>
    <row r="88" spans="8:27">
      <c r="H88" s="69"/>
      <c r="I88" s="69"/>
      <c r="J88" s="69"/>
      <c r="K88" s="69"/>
      <c r="L88" s="69"/>
      <c r="M88" s="69"/>
      <c r="N88" s="69"/>
      <c r="O88" s="69"/>
      <c r="P88" s="69"/>
      <c r="Q88" s="69"/>
      <c r="R88" s="69"/>
      <c r="S88" s="69"/>
      <c r="T88" s="69"/>
      <c r="U88" s="69"/>
      <c r="V88" s="69"/>
      <c r="W88" s="69"/>
      <c r="X88" s="69"/>
      <c r="Y88" s="69"/>
      <c r="Z88" s="69"/>
      <c r="AA88" s="69"/>
    </row>
    <row r="89" spans="8:27">
      <c r="H89" s="69"/>
      <c r="I89" s="69"/>
      <c r="J89" s="69"/>
      <c r="K89" s="69"/>
      <c r="L89" s="69"/>
      <c r="M89" s="69"/>
      <c r="N89" s="69"/>
      <c r="O89" s="69"/>
      <c r="P89" s="69"/>
      <c r="Q89" s="69"/>
      <c r="R89" s="69"/>
      <c r="S89" s="69"/>
      <c r="T89" s="69"/>
      <c r="U89" s="69"/>
      <c r="V89" s="69"/>
      <c r="W89" s="69"/>
      <c r="X89" s="69"/>
      <c r="Y89" s="69"/>
      <c r="Z89" s="69"/>
      <c r="AA89" s="69"/>
    </row>
    <row r="90" spans="8:27">
      <c r="H90" s="69"/>
      <c r="I90" s="69"/>
      <c r="J90" s="69"/>
      <c r="K90" s="69"/>
      <c r="L90" s="69"/>
      <c r="M90" s="69"/>
      <c r="N90" s="69"/>
      <c r="O90" s="69"/>
      <c r="P90" s="69"/>
      <c r="Q90" s="69"/>
      <c r="R90" s="69"/>
      <c r="S90" s="69"/>
      <c r="T90" s="69"/>
      <c r="U90" s="69"/>
      <c r="V90" s="69"/>
      <c r="W90" s="69"/>
      <c r="X90" s="69"/>
      <c r="Y90" s="69"/>
      <c r="Z90" s="69"/>
      <c r="AA90" s="69"/>
    </row>
    <row r="91" spans="8:27">
      <c r="H91" s="69"/>
      <c r="I91" s="69"/>
      <c r="J91" s="69"/>
      <c r="K91" s="69"/>
      <c r="L91" s="69"/>
      <c r="M91" s="69"/>
      <c r="N91" s="69"/>
      <c r="O91" s="69"/>
      <c r="P91" s="69"/>
      <c r="Q91" s="69"/>
      <c r="R91" s="69"/>
      <c r="S91" s="69"/>
      <c r="T91" s="69"/>
      <c r="U91" s="69"/>
      <c r="V91" s="69"/>
      <c r="W91" s="69"/>
      <c r="X91" s="69"/>
      <c r="Y91" s="69"/>
      <c r="Z91" s="69"/>
      <c r="AA91" s="69"/>
    </row>
    <row r="92" spans="8:27">
      <c r="H92" s="69"/>
      <c r="I92" s="69"/>
      <c r="J92" s="69"/>
      <c r="K92" s="69"/>
      <c r="L92" s="69"/>
      <c r="M92" s="69"/>
      <c r="N92" s="69"/>
      <c r="O92" s="69"/>
      <c r="P92" s="69"/>
      <c r="Q92" s="69"/>
      <c r="R92" s="69"/>
      <c r="S92" s="69"/>
      <c r="T92" s="69"/>
      <c r="U92" s="69"/>
      <c r="V92" s="69"/>
      <c r="W92" s="69"/>
      <c r="X92" s="69"/>
      <c r="Y92" s="69"/>
      <c r="Z92" s="69"/>
      <c r="AA92" s="69"/>
    </row>
    <row r="93" spans="8:27">
      <c r="H93" s="69"/>
      <c r="I93" s="69"/>
      <c r="J93" s="69"/>
      <c r="K93" s="69"/>
      <c r="L93" s="69"/>
      <c r="M93" s="69"/>
      <c r="N93" s="69"/>
      <c r="O93" s="69"/>
      <c r="P93" s="69"/>
      <c r="Q93" s="69"/>
      <c r="R93" s="69"/>
      <c r="S93" s="69"/>
      <c r="T93" s="69"/>
      <c r="U93" s="69"/>
      <c r="V93" s="69"/>
      <c r="W93" s="69"/>
      <c r="X93" s="69"/>
      <c r="Y93" s="69"/>
      <c r="Z93" s="69"/>
      <c r="AA93" s="69"/>
    </row>
    <row r="94" spans="8:27">
      <c r="H94" s="69"/>
      <c r="I94" s="69"/>
      <c r="J94" s="69"/>
      <c r="K94" s="69"/>
      <c r="L94" s="69"/>
      <c r="M94" s="69"/>
      <c r="N94" s="69"/>
      <c r="O94" s="69"/>
      <c r="P94" s="69"/>
      <c r="Q94" s="69"/>
      <c r="R94" s="69"/>
      <c r="S94" s="69"/>
      <c r="T94" s="69"/>
      <c r="U94" s="69"/>
      <c r="V94" s="69"/>
      <c r="W94" s="69"/>
      <c r="X94" s="69"/>
      <c r="Y94" s="69"/>
      <c r="Z94" s="69"/>
      <c r="AA94" s="69"/>
    </row>
    <row r="95" spans="8:27">
      <c r="H95" s="69"/>
      <c r="I95" s="69"/>
      <c r="J95" s="69"/>
      <c r="K95" s="69"/>
      <c r="L95" s="69"/>
      <c r="M95" s="69"/>
      <c r="N95" s="69"/>
      <c r="O95" s="69"/>
      <c r="P95" s="69"/>
      <c r="Q95" s="69"/>
      <c r="R95" s="69"/>
      <c r="S95" s="69"/>
      <c r="T95" s="69"/>
      <c r="U95" s="69"/>
      <c r="V95" s="69"/>
      <c r="W95" s="69"/>
      <c r="X95" s="69"/>
      <c r="Y95" s="69"/>
      <c r="Z95" s="69"/>
      <c r="AA95" s="69"/>
    </row>
    <row r="96" spans="8:27">
      <c r="H96" s="69"/>
      <c r="I96" s="69"/>
      <c r="J96" s="69"/>
      <c r="K96" s="69"/>
      <c r="L96" s="69"/>
      <c r="M96" s="69"/>
      <c r="N96" s="69"/>
      <c r="O96" s="69"/>
      <c r="P96" s="69"/>
      <c r="Q96" s="69"/>
      <c r="R96" s="69"/>
      <c r="S96" s="69"/>
      <c r="T96" s="69"/>
      <c r="U96" s="69"/>
      <c r="V96" s="69"/>
      <c r="W96" s="69"/>
      <c r="X96" s="69"/>
      <c r="Y96" s="69"/>
      <c r="Z96" s="69"/>
      <c r="AA96" s="69"/>
    </row>
    <row r="97" spans="8:27">
      <c r="H97" s="69"/>
      <c r="I97" s="69"/>
      <c r="J97" s="69"/>
      <c r="K97" s="69"/>
      <c r="L97" s="69"/>
      <c r="M97" s="69"/>
      <c r="N97" s="69"/>
      <c r="O97" s="69"/>
      <c r="P97" s="69"/>
      <c r="Q97" s="69"/>
      <c r="R97" s="69"/>
      <c r="S97" s="69"/>
      <c r="T97" s="69"/>
      <c r="U97" s="69"/>
      <c r="V97" s="69"/>
      <c r="W97" s="69"/>
      <c r="X97" s="69"/>
      <c r="Y97" s="69"/>
      <c r="Z97" s="69"/>
      <c r="AA97" s="69"/>
    </row>
    <row r="98" spans="8:27">
      <c r="H98" s="69"/>
      <c r="I98" s="69"/>
      <c r="J98" s="69"/>
      <c r="K98" s="69"/>
      <c r="L98" s="69"/>
      <c r="M98" s="69"/>
      <c r="N98" s="69"/>
      <c r="O98" s="69"/>
      <c r="P98" s="69"/>
      <c r="Q98" s="69"/>
      <c r="R98" s="69"/>
      <c r="S98" s="69"/>
      <c r="T98" s="69"/>
      <c r="U98" s="69"/>
      <c r="V98" s="69"/>
      <c r="W98" s="69"/>
      <c r="X98" s="69"/>
      <c r="Y98" s="69"/>
      <c r="Z98" s="69"/>
      <c r="AA98" s="69"/>
    </row>
    <row r="99" spans="8:27">
      <c r="H99" s="69"/>
      <c r="I99" s="69"/>
      <c r="J99" s="69"/>
      <c r="K99" s="69"/>
      <c r="L99" s="69"/>
      <c r="M99" s="69"/>
      <c r="N99" s="69"/>
      <c r="O99" s="69"/>
      <c r="P99" s="69"/>
      <c r="Q99" s="69"/>
      <c r="R99" s="69"/>
      <c r="S99" s="69"/>
      <c r="T99" s="69"/>
      <c r="U99" s="69"/>
      <c r="V99" s="69"/>
      <c r="W99" s="69"/>
      <c r="X99" s="69"/>
      <c r="Y99" s="69"/>
      <c r="Z99" s="69"/>
      <c r="AA99" s="69"/>
    </row>
    <row r="100" spans="8:27">
      <c r="H100" s="69"/>
      <c r="I100" s="69"/>
      <c r="J100" s="69"/>
      <c r="K100" s="69"/>
      <c r="L100" s="69"/>
      <c r="M100" s="69"/>
      <c r="N100" s="69"/>
      <c r="O100" s="69"/>
      <c r="P100" s="69"/>
      <c r="Q100" s="69"/>
      <c r="R100" s="69"/>
      <c r="S100" s="69"/>
      <c r="T100" s="69"/>
      <c r="U100" s="69"/>
      <c r="V100" s="69"/>
      <c r="W100" s="69"/>
      <c r="X100" s="69"/>
      <c r="Y100" s="69"/>
      <c r="Z100" s="69"/>
      <c r="AA100" s="69"/>
    </row>
    <row r="101" spans="8:27">
      <c r="H101" s="69"/>
      <c r="I101" s="69"/>
      <c r="J101" s="69"/>
      <c r="K101" s="69"/>
      <c r="L101" s="69"/>
      <c r="M101" s="69"/>
      <c r="N101" s="69"/>
      <c r="O101" s="69"/>
      <c r="P101" s="69"/>
      <c r="Q101" s="69"/>
      <c r="R101" s="69"/>
      <c r="S101" s="69"/>
      <c r="T101" s="69"/>
      <c r="U101" s="69"/>
      <c r="V101" s="69"/>
      <c r="W101" s="69"/>
      <c r="X101" s="69"/>
      <c r="Y101" s="69"/>
      <c r="Z101" s="69"/>
      <c r="AA101" s="69"/>
    </row>
    <row r="102" spans="8:27">
      <c r="H102" s="69"/>
      <c r="I102" s="69"/>
      <c r="J102" s="69"/>
      <c r="K102" s="69"/>
      <c r="L102" s="69"/>
      <c r="M102" s="69"/>
      <c r="N102" s="69"/>
      <c r="O102" s="69"/>
      <c r="P102" s="69"/>
      <c r="Q102" s="69"/>
      <c r="R102" s="69"/>
      <c r="S102" s="69"/>
      <c r="T102" s="69"/>
      <c r="U102" s="69"/>
      <c r="V102" s="69"/>
      <c r="W102" s="69"/>
      <c r="X102" s="69"/>
      <c r="Y102" s="69"/>
      <c r="Z102" s="69"/>
      <c r="AA102" s="69"/>
    </row>
    <row r="103" spans="8:27">
      <c r="H103" s="69"/>
      <c r="I103" s="69"/>
      <c r="J103" s="69"/>
      <c r="K103" s="69"/>
      <c r="L103" s="69"/>
      <c r="M103" s="69"/>
      <c r="N103" s="69"/>
      <c r="O103" s="69"/>
      <c r="P103" s="69"/>
      <c r="Q103" s="69"/>
      <c r="R103" s="69"/>
      <c r="S103" s="69"/>
      <c r="T103" s="69"/>
      <c r="U103" s="69"/>
      <c r="V103" s="69"/>
      <c r="W103" s="69"/>
      <c r="X103" s="69"/>
      <c r="Y103" s="69"/>
      <c r="Z103" s="69"/>
      <c r="AA103" s="69"/>
    </row>
    <row r="104" spans="8:27">
      <c r="H104" s="69"/>
      <c r="I104" s="69"/>
      <c r="J104" s="69"/>
      <c r="K104" s="69"/>
      <c r="L104" s="69"/>
      <c r="M104" s="69"/>
      <c r="N104" s="69"/>
      <c r="O104" s="69"/>
      <c r="P104" s="69"/>
      <c r="Q104" s="69"/>
      <c r="R104" s="69"/>
      <c r="S104" s="69"/>
      <c r="T104" s="69"/>
      <c r="U104" s="69"/>
      <c r="V104" s="69"/>
      <c r="W104" s="69"/>
      <c r="X104" s="69"/>
      <c r="Y104" s="69"/>
      <c r="Z104" s="69"/>
      <c r="AA104" s="69"/>
    </row>
    <row r="105" spans="8:27">
      <c r="H105" s="69"/>
      <c r="I105" s="69"/>
      <c r="J105" s="69"/>
      <c r="K105" s="69"/>
      <c r="L105" s="69"/>
      <c r="M105" s="69"/>
      <c r="N105" s="69"/>
      <c r="O105" s="69"/>
      <c r="P105" s="69"/>
      <c r="Q105" s="69"/>
      <c r="R105" s="69"/>
      <c r="S105" s="69"/>
      <c r="T105" s="69"/>
      <c r="U105" s="69"/>
      <c r="V105" s="69"/>
      <c r="W105" s="69"/>
      <c r="X105" s="69"/>
      <c r="Y105" s="69"/>
      <c r="Z105" s="69"/>
      <c r="AA105" s="69"/>
    </row>
    <row r="106" spans="8:27">
      <c r="H106" s="69"/>
      <c r="I106" s="69"/>
      <c r="J106" s="69"/>
      <c r="K106" s="69"/>
      <c r="L106" s="69"/>
      <c r="M106" s="69"/>
      <c r="N106" s="69"/>
      <c r="O106" s="69"/>
      <c r="P106" s="69"/>
      <c r="Q106" s="69"/>
      <c r="R106" s="69"/>
      <c r="S106" s="69"/>
      <c r="T106" s="69"/>
      <c r="U106" s="69"/>
      <c r="V106" s="69"/>
      <c r="W106" s="69"/>
      <c r="X106" s="69"/>
      <c r="Y106" s="69"/>
      <c r="Z106" s="69"/>
      <c r="AA106" s="69"/>
    </row>
    <row r="107" spans="8:27">
      <c r="H107" s="69"/>
      <c r="I107" s="69"/>
      <c r="J107" s="69"/>
      <c r="K107" s="69"/>
      <c r="L107" s="69"/>
      <c r="M107" s="69"/>
      <c r="N107" s="69"/>
      <c r="O107" s="69"/>
      <c r="P107" s="69"/>
      <c r="Q107" s="69"/>
      <c r="R107" s="69"/>
      <c r="S107" s="69"/>
      <c r="T107" s="69"/>
      <c r="U107" s="69"/>
      <c r="V107" s="69"/>
      <c r="W107" s="69"/>
      <c r="X107" s="69"/>
      <c r="Y107" s="69"/>
      <c r="Z107" s="69"/>
      <c r="AA107" s="69"/>
    </row>
    <row r="108" spans="8:27">
      <c r="H108" s="69"/>
      <c r="I108" s="69"/>
      <c r="J108" s="69"/>
      <c r="K108" s="69"/>
      <c r="L108" s="69"/>
      <c r="M108" s="69"/>
      <c r="N108" s="69"/>
      <c r="O108" s="69"/>
      <c r="P108" s="69"/>
      <c r="Q108" s="69"/>
      <c r="R108" s="69"/>
      <c r="S108" s="69"/>
      <c r="T108" s="69"/>
      <c r="U108" s="69"/>
      <c r="V108" s="69"/>
      <c r="W108" s="69"/>
      <c r="X108" s="69"/>
      <c r="Y108" s="69"/>
      <c r="Z108" s="69"/>
      <c r="AA108" s="69"/>
    </row>
    <row r="109" spans="8:27">
      <c r="H109" s="69"/>
      <c r="I109" s="69"/>
      <c r="J109" s="69"/>
      <c r="K109" s="69"/>
      <c r="L109" s="69"/>
      <c r="M109" s="69"/>
      <c r="N109" s="69"/>
      <c r="O109" s="69"/>
      <c r="P109" s="69"/>
      <c r="Q109" s="69"/>
      <c r="R109" s="69"/>
      <c r="S109" s="69"/>
      <c r="T109" s="69"/>
      <c r="U109" s="69"/>
      <c r="V109" s="69"/>
      <c r="W109" s="69"/>
      <c r="X109" s="69"/>
      <c r="Y109" s="69"/>
      <c r="Z109" s="69"/>
      <c r="AA109" s="69"/>
    </row>
    <row r="110" spans="8:27">
      <c r="H110" s="69"/>
      <c r="I110" s="69"/>
      <c r="J110" s="69"/>
      <c r="K110" s="69"/>
      <c r="L110" s="69"/>
      <c r="M110" s="69"/>
      <c r="N110" s="69"/>
      <c r="O110" s="69"/>
      <c r="P110" s="69"/>
      <c r="Q110" s="69"/>
      <c r="R110" s="69"/>
      <c r="S110" s="69"/>
      <c r="T110" s="69"/>
      <c r="U110" s="69"/>
      <c r="V110" s="69"/>
      <c r="W110" s="69"/>
      <c r="X110" s="69"/>
      <c r="Y110" s="69"/>
      <c r="Z110" s="69"/>
      <c r="AA110" s="69"/>
    </row>
    <row r="111" spans="8:27">
      <c r="H111" s="69"/>
      <c r="I111" s="69"/>
      <c r="J111" s="69"/>
      <c r="K111" s="69"/>
      <c r="L111" s="69"/>
      <c r="M111" s="69"/>
      <c r="N111" s="69"/>
      <c r="O111" s="69"/>
      <c r="P111" s="69"/>
      <c r="Q111" s="69"/>
      <c r="R111" s="69"/>
      <c r="S111" s="69"/>
      <c r="T111" s="69"/>
      <c r="U111" s="69"/>
      <c r="V111" s="69"/>
      <c r="W111" s="69"/>
      <c r="X111" s="69"/>
      <c r="Y111" s="69"/>
      <c r="Z111" s="69"/>
      <c r="AA111" s="69"/>
    </row>
    <row r="112" spans="8:27">
      <c r="H112" s="69"/>
      <c r="I112" s="69"/>
      <c r="J112" s="69"/>
      <c r="K112" s="69"/>
      <c r="L112" s="69"/>
      <c r="M112" s="69"/>
      <c r="N112" s="69"/>
      <c r="O112" s="69"/>
      <c r="P112" s="69"/>
      <c r="Q112" s="69"/>
      <c r="R112" s="69"/>
      <c r="S112" s="69"/>
      <c r="T112" s="69"/>
      <c r="U112" s="69"/>
      <c r="V112" s="69"/>
      <c r="W112" s="69"/>
      <c r="X112" s="69"/>
      <c r="Y112" s="69"/>
      <c r="Z112" s="69"/>
      <c r="AA112" s="69"/>
    </row>
    <row r="113" spans="8:27">
      <c r="H113" s="69"/>
      <c r="I113" s="69"/>
      <c r="J113" s="69"/>
      <c r="K113" s="69"/>
      <c r="L113" s="69"/>
      <c r="M113" s="69"/>
      <c r="N113" s="69"/>
      <c r="O113" s="69"/>
      <c r="P113" s="69"/>
      <c r="Q113" s="69"/>
      <c r="R113" s="69"/>
      <c r="S113" s="69"/>
      <c r="T113" s="69"/>
      <c r="U113" s="69"/>
      <c r="V113" s="69"/>
      <c r="W113" s="69"/>
      <c r="X113" s="69"/>
      <c r="Y113" s="69"/>
      <c r="Z113" s="69"/>
      <c r="AA113" s="69"/>
    </row>
    <row r="114" spans="8:27">
      <c r="H114" s="69"/>
      <c r="I114" s="69"/>
      <c r="J114" s="69"/>
      <c r="K114" s="69"/>
      <c r="L114" s="69"/>
      <c r="M114" s="69"/>
      <c r="N114" s="69"/>
      <c r="O114" s="69"/>
      <c r="P114" s="69"/>
      <c r="Q114" s="69"/>
      <c r="R114" s="69"/>
      <c r="S114" s="69"/>
      <c r="T114" s="69"/>
      <c r="U114" s="69"/>
      <c r="V114" s="69"/>
      <c r="W114" s="69"/>
      <c r="X114" s="69"/>
      <c r="Y114" s="69"/>
      <c r="Z114" s="69"/>
      <c r="AA114" s="69"/>
    </row>
    <row r="115" spans="8:27">
      <c r="H115" s="69"/>
      <c r="I115" s="69"/>
      <c r="J115" s="69"/>
      <c r="K115" s="69"/>
      <c r="L115" s="69"/>
      <c r="M115" s="69"/>
      <c r="N115" s="69"/>
      <c r="O115" s="69"/>
      <c r="P115" s="69"/>
      <c r="Q115" s="69"/>
      <c r="R115" s="69"/>
      <c r="S115" s="69"/>
      <c r="T115" s="69"/>
      <c r="U115" s="69"/>
      <c r="V115" s="69"/>
      <c r="W115" s="69"/>
      <c r="X115" s="69"/>
      <c r="Y115" s="69"/>
      <c r="Z115" s="69"/>
      <c r="AA115" s="69"/>
    </row>
    <row r="116" spans="8:27">
      <c r="H116" s="69"/>
      <c r="I116" s="69"/>
      <c r="J116" s="69"/>
      <c r="K116" s="69"/>
      <c r="L116" s="69"/>
      <c r="M116" s="69"/>
      <c r="N116" s="69"/>
      <c r="O116" s="69"/>
      <c r="P116" s="69"/>
      <c r="Q116" s="69"/>
      <c r="R116" s="69"/>
      <c r="S116" s="69"/>
      <c r="T116" s="69"/>
      <c r="U116" s="69"/>
      <c r="V116" s="69"/>
      <c r="W116" s="69"/>
      <c r="X116" s="69"/>
      <c r="Y116" s="69"/>
      <c r="Z116" s="69"/>
      <c r="AA116" s="69"/>
    </row>
    <row r="117" spans="8:27">
      <c r="H117" s="69"/>
      <c r="I117" s="69"/>
      <c r="J117" s="69"/>
      <c r="K117" s="69"/>
      <c r="L117" s="69"/>
      <c r="M117" s="69"/>
      <c r="N117" s="69"/>
      <c r="O117" s="69"/>
      <c r="P117" s="69"/>
      <c r="Q117" s="69"/>
      <c r="R117" s="69"/>
      <c r="S117" s="69"/>
      <c r="T117" s="69"/>
      <c r="U117" s="69"/>
      <c r="V117" s="69"/>
      <c r="W117" s="69"/>
      <c r="X117" s="69"/>
      <c r="Y117" s="69"/>
      <c r="Z117" s="69"/>
      <c r="AA117" s="69"/>
    </row>
    <row r="118" spans="8:27">
      <c r="H118" s="69"/>
      <c r="I118" s="69"/>
      <c r="J118" s="69"/>
      <c r="K118" s="69"/>
      <c r="L118" s="69"/>
      <c r="M118" s="69"/>
      <c r="N118" s="69"/>
      <c r="O118" s="69"/>
      <c r="P118" s="69"/>
      <c r="Q118" s="69"/>
      <c r="R118" s="69"/>
      <c r="S118" s="69"/>
      <c r="T118" s="69"/>
      <c r="U118" s="69"/>
      <c r="V118" s="69"/>
      <c r="W118" s="69"/>
      <c r="X118" s="69"/>
      <c r="Y118" s="69"/>
      <c r="Z118" s="69"/>
      <c r="AA118" s="69"/>
    </row>
    <row r="119" spans="8:27">
      <c r="H119" s="69"/>
      <c r="I119" s="69"/>
      <c r="J119" s="69"/>
      <c r="K119" s="69"/>
      <c r="L119" s="69"/>
      <c r="M119" s="69"/>
      <c r="N119" s="69"/>
      <c r="O119" s="69"/>
      <c r="P119" s="69"/>
      <c r="Q119" s="69"/>
      <c r="R119" s="69"/>
      <c r="S119" s="69"/>
      <c r="T119" s="69"/>
      <c r="U119" s="69"/>
      <c r="V119" s="69"/>
      <c r="W119" s="69"/>
      <c r="X119" s="69"/>
      <c r="Y119" s="69"/>
      <c r="Z119" s="69"/>
      <c r="AA119" s="69"/>
    </row>
    <row r="120" spans="8:27">
      <c r="H120" s="69"/>
      <c r="I120" s="69"/>
      <c r="J120" s="69"/>
      <c r="K120" s="69"/>
      <c r="L120" s="69"/>
      <c r="M120" s="69"/>
      <c r="N120" s="69"/>
      <c r="O120" s="69"/>
      <c r="P120" s="69"/>
      <c r="Q120" s="69"/>
      <c r="R120" s="69"/>
      <c r="S120" s="69"/>
      <c r="T120" s="69"/>
      <c r="U120" s="69"/>
      <c r="V120" s="69"/>
      <c r="W120" s="69"/>
      <c r="X120" s="69"/>
      <c r="Y120" s="69"/>
      <c r="Z120" s="69"/>
      <c r="AA120" s="69"/>
    </row>
    <row r="121" spans="8:27">
      <c r="H121" s="69"/>
      <c r="I121" s="69"/>
      <c r="J121" s="69"/>
      <c r="K121" s="69"/>
      <c r="L121" s="69"/>
      <c r="M121" s="69"/>
      <c r="N121" s="69"/>
      <c r="O121" s="69"/>
      <c r="P121" s="69"/>
      <c r="Q121" s="69"/>
      <c r="R121" s="69"/>
      <c r="S121" s="69"/>
      <c r="T121" s="69"/>
      <c r="U121" s="69"/>
      <c r="V121" s="69"/>
      <c r="W121" s="69"/>
      <c r="X121" s="69"/>
      <c r="Y121" s="69"/>
      <c r="Z121" s="69"/>
      <c r="AA121" s="69"/>
    </row>
    <row r="122" spans="8:27">
      <c r="H122" s="69"/>
      <c r="I122" s="69"/>
      <c r="J122" s="69"/>
      <c r="K122" s="69"/>
      <c r="L122" s="69"/>
      <c r="M122" s="69"/>
      <c r="N122" s="69"/>
      <c r="O122" s="69"/>
      <c r="P122" s="69"/>
      <c r="Q122" s="69"/>
      <c r="R122" s="69"/>
      <c r="S122" s="69"/>
      <c r="T122" s="69"/>
      <c r="U122" s="69"/>
      <c r="V122" s="69"/>
      <c r="W122" s="69"/>
      <c r="X122" s="69"/>
      <c r="Y122" s="69"/>
      <c r="Z122" s="69"/>
      <c r="AA122" s="69"/>
    </row>
    <row r="123" spans="8:27">
      <c r="H123" s="69"/>
      <c r="I123" s="69"/>
      <c r="J123" s="69"/>
      <c r="K123" s="69"/>
      <c r="L123" s="69"/>
      <c r="M123" s="69"/>
      <c r="N123" s="69"/>
      <c r="O123" s="69"/>
      <c r="P123" s="69"/>
      <c r="Q123" s="69"/>
      <c r="R123" s="69"/>
      <c r="S123" s="69"/>
      <c r="T123" s="69"/>
      <c r="U123" s="69"/>
      <c r="V123" s="69"/>
      <c r="W123" s="69"/>
      <c r="X123" s="69"/>
      <c r="Y123" s="69"/>
      <c r="Z123" s="69"/>
      <c r="AA123" s="69"/>
    </row>
    <row r="124" spans="8:27">
      <c r="H124" s="69"/>
      <c r="I124" s="69"/>
      <c r="J124" s="69"/>
      <c r="K124" s="69"/>
      <c r="L124" s="69"/>
      <c r="M124" s="69"/>
      <c r="N124" s="69"/>
      <c r="O124" s="69"/>
      <c r="P124" s="69"/>
      <c r="Q124" s="69"/>
      <c r="R124" s="69"/>
      <c r="S124" s="69"/>
      <c r="T124" s="69"/>
      <c r="U124" s="69"/>
      <c r="V124" s="69"/>
      <c r="W124" s="69"/>
      <c r="X124" s="69"/>
      <c r="Y124" s="69"/>
      <c r="Z124" s="69"/>
      <c r="AA124" s="69"/>
    </row>
    <row r="125" spans="8:27">
      <c r="H125" s="69"/>
      <c r="I125" s="69"/>
      <c r="J125" s="69"/>
      <c r="K125" s="69"/>
      <c r="L125" s="69"/>
      <c r="M125" s="69"/>
      <c r="N125" s="69"/>
      <c r="O125" s="69"/>
      <c r="P125" s="69"/>
      <c r="Q125" s="69"/>
      <c r="R125" s="69"/>
      <c r="S125" s="69"/>
      <c r="T125" s="69"/>
      <c r="U125" s="69"/>
      <c r="V125" s="69"/>
      <c r="W125" s="69"/>
      <c r="X125" s="69"/>
      <c r="Y125" s="69"/>
      <c r="Z125" s="69"/>
      <c r="AA125" s="69"/>
    </row>
    <row r="126" spans="8:27">
      <c r="H126" s="69"/>
      <c r="I126" s="69"/>
      <c r="J126" s="69"/>
      <c r="K126" s="69"/>
      <c r="L126" s="69"/>
      <c r="M126" s="69"/>
      <c r="N126" s="69"/>
      <c r="O126" s="69"/>
      <c r="P126" s="69"/>
      <c r="Q126" s="69"/>
      <c r="R126" s="69"/>
      <c r="S126" s="69"/>
      <c r="T126" s="69"/>
      <c r="U126" s="69"/>
      <c r="V126" s="69"/>
      <c r="W126" s="69"/>
      <c r="X126" s="69"/>
      <c r="Y126" s="69"/>
      <c r="Z126" s="69"/>
      <c r="AA126" s="69"/>
    </row>
    <row r="127" spans="8:27">
      <c r="H127" s="69"/>
      <c r="I127" s="69"/>
      <c r="J127" s="69"/>
      <c r="K127" s="69"/>
      <c r="L127" s="69"/>
      <c r="M127" s="69"/>
      <c r="N127" s="69"/>
      <c r="O127" s="69"/>
      <c r="P127" s="69"/>
      <c r="Q127" s="69"/>
      <c r="R127" s="69"/>
      <c r="S127" s="69"/>
      <c r="T127" s="69"/>
      <c r="U127" s="69"/>
      <c r="V127" s="69"/>
      <c r="W127" s="69"/>
      <c r="X127" s="69"/>
      <c r="Y127" s="69"/>
      <c r="Z127" s="69"/>
      <c r="AA127" s="69"/>
    </row>
    <row r="128" spans="8:27">
      <c r="H128" s="69"/>
      <c r="I128" s="69"/>
      <c r="J128" s="69"/>
      <c r="K128" s="69"/>
      <c r="L128" s="69"/>
      <c r="M128" s="69"/>
      <c r="N128" s="69"/>
      <c r="O128" s="69"/>
      <c r="P128" s="69"/>
      <c r="Q128" s="69"/>
      <c r="R128" s="69"/>
      <c r="S128" s="69"/>
      <c r="T128" s="69"/>
      <c r="U128" s="69"/>
      <c r="V128" s="69"/>
      <c r="W128" s="69"/>
      <c r="X128" s="69"/>
      <c r="Y128" s="69"/>
      <c r="Z128" s="69"/>
      <c r="AA128" s="69"/>
    </row>
    <row r="129" spans="8:27">
      <c r="H129" s="69"/>
      <c r="I129" s="69"/>
      <c r="J129" s="69"/>
      <c r="K129" s="69"/>
      <c r="L129" s="69"/>
      <c r="M129" s="69"/>
      <c r="N129" s="69"/>
      <c r="O129" s="69"/>
      <c r="P129" s="69"/>
      <c r="Q129" s="69"/>
      <c r="R129" s="69"/>
      <c r="S129" s="69"/>
      <c r="T129" s="69"/>
      <c r="U129" s="69"/>
      <c r="V129" s="69"/>
      <c r="W129" s="69"/>
      <c r="X129" s="69"/>
      <c r="Y129" s="69"/>
      <c r="Z129" s="69"/>
      <c r="AA129" s="69"/>
    </row>
    <row r="130" spans="8:27">
      <c r="H130" s="69"/>
      <c r="I130" s="69"/>
      <c r="J130" s="69"/>
      <c r="K130" s="69"/>
      <c r="L130" s="69"/>
      <c r="M130" s="69"/>
      <c r="N130" s="69"/>
      <c r="O130" s="69"/>
      <c r="P130" s="69"/>
      <c r="Q130" s="69"/>
      <c r="R130" s="69"/>
      <c r="S130" s="69"/>
      <c r="T130" s="69"/>
      <c r="U130" s="69"/>
      <c r="V130" s="69"/>
      <c r="W130" s="69"/>
      <c r="X130" s="69"/>
      <c r="Y130" s="69"/>
      <c r="Z130" s="69"/>
      <c r="AA130" s="69"/>
    </row>
    <row r="131" spans="8:27">
      <c r="H131" s="69"/>
      <c r="I131" s="69"/>
      <c r="J131" s="69"/>
      <c r="K131" s="69"/>
      <c r="L131" s="69"/>
      <c r="M131" s="69"/>
      <c r="N131" s="69"/>
      <c r="O131" s="69"/>
      <c r="P131" s="69"/>
      <c r="Q131" s="69"/>
      <c r="R131" s="69"/>
      <c r="S131" s="69"/>
      <c r="T131" s="69"/>
      <c r="U131" s="69"/>
      <c r="V131" s="69"/>
      <c r="W131" s="69"/>
      <c r="X131" s="69"/>
      <c r="Y131" s="69"/>
      <c r="Z131" s="69"/>
      <c r="AA131" s="69"/>
    </row>
    <row r="132" spans="8:27">
      <c r="H132" s="69"/>
      <c r="I132" s="69"/>
      <c r="J132" s="69"/>
      <c r="K132" s="69"/>
      <c r="L132" s="69"/>
      <c r="M132" s="69"/>
      <c r="N132" s="69"/>
      <c r="O132" s="69"/>
      <c r="P132" s="69"/>
      <c r="Q132" s="69"/>
      <c r="R132" s="69"/>
      <c r="S132" s="69"/>
      <c r="T132" s="69"/>
      <c r="U132" s="69"/>
      <c r="V132" s="69"/>
      <c r="W132" s="69"/>
      <c r="X132" s="69"/>
      <c r="Y132" s="69"/>
      <c r="Z132" s="69"/>
      <c r="AA132" s="69"/>
    </row>
    <row r="133" spans="8:27">
      <c r="H133" s="69"/>
      <c r="I133" s="69"/>
      <c r="J133" s="69"/>
      <c r="K133" s="69"/>
      <c r="L133" s="69"/>
      <c r="M133" s="69"/>
      <c r="N133" s="69"/>
      <c r="O133" s="69"/>
      <c r="P133" s="69"/>
      <c r="Q133" s="69"/>
      <c r="R133" s="69"/>
      <c r="S133" s="69"/>
      <c r="T133" s="69"/>
      <c r="U133" s="69"/>
      <c r="V133" s="69"/>
      <c r="W133" s="69"/>
      <c r="X133" s="69"/>
      <c r="Y133" s="69"/>
      <c r="Z133" s="69"/>
      <c r="AA133" s="69"/>
    </row>
    <row r="134" spans="8:27">
      <c r="H134" s="69"/>
      <c r="I134" s="69"/>
      <c r="J134" s="69"/>
      <c r="K134" s="69"/>
      <c r="L134" s="69"/>
      <c r="M134" s="69"/>
      <c r="N134" s="69"/>
      <c r="O134" s="69"/>
      <c r="P134" s="69"/>
      <c r="Q134" s="69"/>
      <c r="R134" s="69"/>
      <c r="S134" s="69"/>
      <c r="T134" s="69"/>
      <c r="U134" s="69"/>
      <c r="V134" s="69"/>
      <c r="W134" s="69"/>
      <c r="X134" s="69"/>
      <c r="Y134" s="69"/>
      <c r="Z134" s="69"/>
      <c r="AA134" s="69"/>
    </row>
    <row r="135" spans="8:27">
      <c r="H135" s="69"/>
      <c r="I135" s="69"/>
      <c r="J135" s="69"/>
      <c r="K135" s="69"/>
      <c r="L135" s="69"/>
      <c r="M135" s="69"/>
      <c r="N135" s="69"/>
      <c r="O135" s="69"/>
      <c r="P135" s="69"/>
      <c r="Q135" s="69"/>
      <c r="R135" s="69"/>
      <c r="S135" s="69"/>
      <c r="T135" s="69"/>
      <c r="U135" s="69"/>
      <c r="V135" s="69"/>
      <c r="W135" s="69"/>
      <c r="X135" s="69"/>
      <c r="Y135" s="69"/>
      <c r="Z135" s="69"/>
      <c r="AA135" s="69"/>
    </row>
    <row r="136" spans="8:27">
      <c r="H136" s="69"/>
      <c r="I136" s="69"/>
      <c r="J136" s="69"/>
      <c r="K136" s="69"/>
      <c r="L136" s="69"/>
      <c r="M136" s="69"/>
      <c r="N136" s="69"/>
      <c r="O136" s="69"/>
      <c r="P136" s="69"/>
      <c r="Q136" s="69"/>
      <c r="R136" s="69"/>
      <c r="S136" s="69"/>
      <c r="T136" s="69"/>
      <c r="U136" s="69"/>
      <c r="V136" s="69"/>
      <c r="W136" s="69"/>
      <c r="X136" s="69"/>
      <c r="Y136" s="69"/>
      <c r="Z136" s="69"/>
      <c r="AA136" s="69"/>
    </row>
    <row r="137" spans="8:27">
      <c r="H137" s="69"/>
      <c r="I137" s="69"/>
      <c r="J137" s="69"/>
      <c r="K137" s="69"/>
      <c r="L137" s="69"/>
      <c r="M137" s="69"/>
      <c r="N137" s="69"/>
      <c r="O137" s="69"/>
      <c r="P137" s="69"/>
      <c r="Q137" s="69"/>
      <c r="R137" s="69"/>
      <c r="S137" s="69"/>
      <c r="T137" s="69"/>
      <c r="U137" s="69"/>
      <c r="V137" s="69"/>
      <c r="W137" s="69"/>
      <c r="X137" s="69"/>
      <c r="Y137" s="69"/>
      <c r="Z137" s="69"/>
      <c r="AA137" s="69"/>
    </row>
    <row r="138" spans="8:27">
      <c r="H138" s="69"/>
      <c r="I138" s="69"/>
      <c r="J138" s="69"/>
      <c r="K138" s="69"/>
      <c r="L138" s="69"/>
      <c r="M138" s="69"/>
      <c r="N138" s="69"/>
      <c r="O138" s="69"/>
      <c r="P138" s="69"/>
      <c r="Q138" s="69"/>
      <c r="R138" s="69"/>
      <c r="S138" s="69"/>
      <c r="T138" s="69"/>
      <c r="U138" s="69"/>
      <c r="V138" s="69"/>
      <c r="W138" s="69"/>
      <c r="X138" s="69"/>
      <c r="Y138" s="69"/>
      <c r="Z138" s="69"/>
      <c r="AA138" s="69"/>
    </row>
    <row r="139" spans="8:27">
      <c r="H139" s="69"/>
      <c r="I139" s="69"/>
      <c r="J139" s="69"/>
      <c r="K139" s="69"/>
      <c r="L139" s="69"/>
      <c r="M139" s="69"/>
      <c r="N139" s="69"/>
      <c r="O139" s="69"/>
      <c r="P139" s="69"/>
      <c r="Q139" s="69"/>
      <c r="R139" s="69"/>
      <c r="S139" s="69"/>
      <c r="T139" s="69"/>
      <c r="U139" s="69"/>
      <c r="V139" s="69"/>
      <c r="W139" s="69"/>
      <c r="X139" s="69"/>
      <c r="Y139" s="69"/>
      <c r="Z139" s="69"/>
      <c r="AA139" s="69"/>
    </row>
    <row r="140" spans="8:27">
      <c r="H140" s="69"/>
      <c r="I140" s="69"/>
      <c r="J140" s="69"/>
      <c r="K140" s="69"/>
      <c r="L140" s="69"/>
      <c r="M140" s="69"/>
      <c r="N140" s="69"/>
      <c r="O140" s="69"/>
      <c r="P140" s="69"/>
      <c r="Q140" s="69"/>
      <c r="R140" s="69"/>
      <c r="S140" s="69"/>
      <c r="T140" s="69"/>
      <c r="U140" s="69"/>
      <c r="V140" s="69"/>
      <c r="W140" s="69"/>
      <c r="X140" s="69"/>
      <c r="Y140" s="69"/>
      <c r="Z140" s="69"/>
      <c r="AA140" s="69"/>
    </row>
    <row r="141" spans="8:27">
      <c r="H141" s="69"/>
      <c r="I141" s="69"/>
      <c r="J141" s="69"/>
      <c r="K141" s="69"/>
      <c r="L141" s="69"/>
      <c r="M141" s="69"/>
      <c r="N141" s="69"/>
      <c r="O141" s="69"/>
      <c r="P141" s="69"/>
      <c r="Q141" s="69"/>
      <c r="R141" s="69"/>
      <c r="S141" s="69"/>
      <c r="T141" s="69"/>
      <c r="U141" s="69"/>
      <c r="V141" s="69"/>
      <c r="W141" s="69"/>
      <c r="X141" s="69"/>
      <c r="Y141" s="69"/>
      <c r="Z141" s="69"/>
      <c r="AA141" s="69"/>
    </row>
    <row r="142" spans="8:27">
      <c r="H142" s="69"/>
      <c r="I142" s="69"/>
      <c r="J142" s="69"/>
      <c r="K142" s="69"/>
      <c r="L142" s="69"/>
      <c r="M142" s="69"/>
      <c r="N142" s="69"/>
      <c r="O142" s="69"/>
      <c r="P142" s="69"/>
      <c r="Q142" s="69"/>
      <c r="R142" s="69"/>
      <c r="S142" s="69"/>
      <c r="T142" s="69"/>
      <c r="U142" s="69"/>
      <c r="V142" s="69"/>
      <c r="W142" s="69"/>
      <c r="X142" s="69"/>
      <c r="Y142" s="69"/>
      <c r="Z142" s="69"/>
      <c r="AA142" s="69"/>
    </row>
    <row r="143" spans="8:27">
      <c r="H143" s="69"/>
      <c r="I143" s="69"/>
      <c r="J143" s="69"/>
      <c r="K143" s="69"/>
      <c r="L143" s="69"/>
      <c r="M143" s="69"/>
      <c r="N143" s="69"/>
      <c r="O143" s="69"/>
      <c r="P143" s="69"/>
      <c r="Q143" s="69"/>
      <c r="R143" s="69"/>
      <c r="S143" s="69"/>
      <c r="T143" s="69"/>
      <c r="U143" s="69"/>
      <c r="V143" s="69"/>
      <c r="W143" s="69"/>
      <c r="X143" s="69"/>
      <c r="Y143" s="69"/>
      <c r="Z143" s="69"/>
      <c r="AA143" s="69"/>
    </row>
    <row r="144" spans="8:27">
      <c r="H144" s="69"/>
      <c r="I144" s="69"/>
      <c r="J144" s="69"/>
      <c r="K144" s="69"/>
      <c r="L144" s="69"/>
      <c r="M144" s="69"/>
      <c r="N144" s="69"/>
      <c r="O144" s="69"/>
      <c r="P144" s="69"/>
      <c r="Q144" s="69"/>
      <c r="R144" s="69"/>
      <c r="S144" s="69"/>
      <c r="T144" s="69"/>
      <c r="U144" s="69"/>
      <c r="V144" s="69"/>
      <c r="W144" s="69"/>
      <c r="X144" s="69"/>
      <c r="Y144" s="69"/>
      <c r="Z144" s="69"/>
      <c r="AA144" s="69"/>
    </row>
    <row r="145" spans="8:27">
      <c r="H145" s="69"/>
      <c r="I145" s="69"/>
      <c r="J145" s="69"/>
      <c r="K145" s="69"/>
      <c r="L145" s="69"/>
      <c r="M145" s="69"/>
      <c r="N145" s="69"/>
      <c r="O145" s="69"/>
      <c r="P145" s="69"/>
      <c r="Q145" s="69"/>
      <c r="R145" s="69"/>
      <c r="S145" s="69"/>
      <c r="T145" s="69"/>
      <c r="U145" s="69"/>
      <c r="V145" s="69"/>
      <c r="W145" s="69"/>
      <c r="X145" s="69"/>
      <c r="Y145" s="69"/>
      <c r="Z145" s="69"/>
      <c r="AA145" s="69"/>
    </row>
    <row r="146" spans="8:27">
      <c r="H146" s="69"/>
      <c r="I146" s="69"/>
      <c r="J146" s="69"/>
      <c r="K146" s="69"/>
      <c r="L146" s="69"/>
      <c r="M146" s="69"/>
      <c r="N146" s="69"/>
      <c r="O146" s="69"/>
      <c r="P146" s="69"/>
      <c r="Q146" s="69"/>
      <c r="R146" s="69"/>
      <c r="S146" s="69"/>
      <c r="T146" s="69"/>
      <c r="U146" s="69"/>
      <c r="V146" s="69"/>
      <c r="W146" s="69"/>
      <c r="X146" s="69"/>
      <c r="Y146" s="69"/>
      <c r="Z146" s="69"/>
      <c r="AA146" s="69"/>
    </row>
    <row r="147" spans="8:27">
      <c r="H147" s="69"/>
      <c r="I147" s="69"/>
      <c r="J147" s="69"/>
      <c r="K147" s="69"/>
      <c r="L147" s="69"/>
      <c r="M147" s="69"/>
      <c r="N147" s="69"/>
      <c r="O147" s="69"/>
      <c r="P147" s="69"/>
      <c r="Q147" s="69"/>
      <c r="R147" s="69"/>
      <c r="S147" s="69"/>
      <c r="T147" s="69"/>
      <c r="U147" s="69"/>
      <c r="V147" s="69"/>
      <c r="W147" s="69"/>
      <c r="X147" s="69"/>
      <c r="Y147" s="69"/>
      <c r="Z147" s="69"/>
      <c r="AA147" s="69"/>
    </row>
    <row r="148" spans="8:27">
      <c r="H148" s="69"/>
      <c r="I148" s="69"/>
      <c r="J148" s="69"/>
      <c r="K148" s="69"/>
      <c r="L148" s="69"/>
      <c r="M148" s="69"/>
      <c r="N148" s="69"/>
      <c r="O148" s="69"/>
      <c r="P148" s="69"/>
      <c r="Q148" s="69"/>
      <c r="R148" s="69"/>
      <c r="S148" s="69"/>
      <c r="T148" s="69"/>
      <c r="U148" s="69"/>
      <c r="V148" s="69"/>
      <c r="W148" s="69"/>
      <c r="X148" s="69"/>
      <c r="Y148" s="69"/>
      <c r="Z148" s="69"/>
      <c r="AA148" s="69"/>
    </row>
    <row r="149" spans="8:27">
      <c r="H149" s="69"/>
      <c r="I149" s="69"/>
      <c r="J149" s="69"/>
      <c r="K149" s="69"/>
      <c r="L149" s="69"/>
      <c r="M149" s="69"/>
      <c r="N149" s="69"/>
      <c r="O149" s="69"/>
      <c r="P149" s="69"/>
      <c r="Q149" s="69"/>
      <c r="R149" s="69"/>
      <c r="S149" s="69"/>
      <c r="T149" s="69"/>
      <c r="U149" s="69"/>
      <c r="V149" s="69"/>
      <c r="W149" s="69"/>
      <c r="X149" s="69"/>
      <c r="Y149" s="69"/>
      <c r="Z149" s="69"/>
      <c r="AA149" s="69"/>
    </row>
    <row r="150" spans="8:27">
      <c r="H150" s="69"/>
      <c r="I150" s="69"/>
      <c r="J150" s="69"/>
      <c r="K150" s="69"/>
      <c r="L150" s="69"/>
      <c r="M150" s="69"/>
      <c r="N150" s="69"/>
      <c r="O150" s="69"/>
      <c r="P150" s="69"/>
      <c r="Q150" s="69"/>
      <c r="R150" s="69"/>
      <c r="S150" s="69"/>
      <c r="T150" s="69"/>
      <c r="U150" s="69"/>
      <c r="V150" s="69"/>
      <c r="W150" s="69"/>
      <c r="X150" s="69"/>
      <c r="Y150" s="69"/>
      <c r="Z150" s="69"/>
      <c r="AA150" s="69"/>
    </row>
    <row r="151" spans="8:27">
      <c r="H151" s="69"/>
      <c r="I151" s="69"/>
      <c r="J151" s="69"/>
      <c r="K151" s="69"/>
      <c r="L151" s="69"/>
      <c r="M151" s="69"/>
      <c r="N151" s="69"/>
      <c r="O151" s="69"/>
      <c r="P151" s="69"/>
      <c r="Q151" s="69"/>
      <c r="R151" s="69"/>
      <c r="S151" s="69"/>
      <c r="T151" s="69"/>
      <c r="U151" s="69"/>
      <c r="V151" s="69"/>
      <c r="W151" s="69"/>
      <c r="X151" s="69"/>
      <c r="Y151" s="69"/>
      <c r="Z151" s="69"/>
      <c r="AA151" s="69"/>
    </row>
    <row r="152" spans="8:27">
      <c r="H152" s="69"/>
      <c r="I152" s="69"/>
      <c r="J152" s="69"/>
      <c r="K152" s="69"/>
      <c r="L152" s="69"/>
      <c r="M152" s="69"/>
      <c r="N152" s="69"/>
      <c r="O152" s="69"/>
      <c r="P152" s="69"/>
      <c r="Q152" s="69"/>
      <c r="R152" s="69"/>
      <c r="S152" s="69"/>
      <c r="T152" s="69"/>
      <c r="U152" s="69"/>
      <c r="V152" s="69"/>
      <c r="W152" s="69"/>
      <c r="X152" s="69"/>
      <c r="Y152" s="69"/>
      <c r="Z152" s="69"/>
      <c r="AA152" s="69"/>
    </row>
    <row r="153" spans="8:27">
      <c r="H153" s="69"/>
      <c r="I153" s="69"/>
      <c r="J153" s="69"/>
      <c r="K153" s="69"/>
      <c r="L153" s="69"/>
      <c r="M153" s="69"/>
      <c r="N153" s="69"/>
      <c r="O153" s="69"/>
      <c r="P153" s="69"/>
      <c r="Q153" s="69"/>
      <c r="R153" s="69"/>
      <c r="S153" s="69"/>
      <c r="T153" s="69"/>
      <c r="U153" s="69"/>
      <c r="V153" s="69"/>
      <c r="W153" s="69"/>
      <c r="X153" s="69"/>
      <c r="Y153" s="69"/>
      <c r="Z153" s="69"/>
      <c r="AA153" s="69"/>
    </row>
    <row r="154" spans="8:27">
      <c r="H154" s="69"/>
      <c r="I154" s="69"/>
      <c r="J154" s="69"/>
      <c r="K154" s="69"/>
      <c r="L154" s="69"/>
      <c r="M154" s="69"/>
      <c r="N154" s="69"/>
      <c r="O154" s="69"/>
      <c r="P154" s="69"/>
      <c r="Q154" s="69"/>
      <c r="R154" s="69"/>
      <c r="S154" s="69"/>
      <c r="T154" s="69"/>
      <c r="U154" s="69"/>
      <c r="V154" s="69"/>
      <c r="W154" s="69"/>
      <c r="X154" s="69"/>
      <c r="Y154" s="69"/>
      <c r="Z154" s="69"/>
      <c r="AA154" s="69"/>
    </row>
    <row r="155" spans="8:27">
      <c r="H155" s="69"/>
      <c r="I155" s="69"/>
      <c r="J155" s="69"/>
      <c r="K155" s="69"/>
      <c r="L155" s="69"/>
      <c r="M155" s="69"/>
      <c r="N155" s="69"/>
      <c r="O155" s="69"/>
      <c r="P155" s="69"/>
      <c r="Q155" s="69"/>
      <c r="R155" s="69"/>
      <c r="S155" s="69"/>
      <c r="T155" s="69"/>
      <c r="U155" s="69"/>
      <c r="V155" s="69"/>
      <c r="W155" s="69"/>
      <c r="X155" s="69"/>
      <c r="Y155" s="69"/>
      <c r="Z155" s="69"/>
      <c r="AA155" s="69"/>
    </row>
    <row r="156" spans="8:27">
      <c r="H156" s="69"/>
      <c r="I156" s="69"/>
      <c r="J156" s="69"/>
      <c r="K156" s="69"/>
      <c r="L156" s="69"/>
      <c r="M156" s="69"/>
      <c r="N156" s="69"/>
      <c r="O156" s="69"/>
      <c r="P156" s="69"/>
      <c r="Q156" s="69"/>
      <c r="R156" s="69"/>
      <c r="S156" s="69"/>
      <c r="T156" s="69"/>
      <c r="U156" s="69"/>
      <c r="V156" s="69"/>
      <c r="W156" s="69"/>
      <c r="X156" s="69"/>
      <c r="Y156" s="69"/>
      <c r="Z156" s="69"/>
      <c r="AA156" s="69"/>
    </row>
    <row r="157" spans="8:27">
      <c r="H157" s="69"/>
      <c r="I157" s="69"/>
      <c r="J157" s="69"/>
      <c r="K157" s="69"/>
      <c r="L157" s="69"/>
      <c r="M157" s="69"/>
      <c r="N157" s="69"/>
      <c r="O157" s="69"/>
      <c r="P157" s="69"/>
      <c r="Q157" s="69"/>
      <c r="R157" s="69"/>
      <c r="S157" s="69"/>
      <c r="T157" s="69"/>
      <c r="U157" s="69"/>
      <c r="V157" s="69"/>
      <c r="W157" s="69"/>
      <c r="X157" s="69"/>
      <c r="Y157" s="69"/>
      <c r="Z157" s="69"/>
      <c r="AA157" s="69"/>
    </row>
    <row r="158" spans="8:27">
      <c r="H158" s="69"/>
      <c r="I158" s="69"/>
      <c r="J158" s="69"/>
      <c r="K158" s="69"/>
      <c r="L158" s="69"/>
      <c r="M158" s="69"/>
      <c r="N158" s="69"/>
      <c r="O158" s="69"/>
      <c r="P158" s="69"/>
      <c r="Q158" s="69"/>
      <c r="R158" s="69"/>
      <c r="S158" s="69"/>
      <c r="T158" s="69"/>
      <c r="U158" s="69"/>
      <c r="V158" s="69"/>
      <c r="W158" s="69"/>
      <c r="X158" s="69"/>
      <c r="Y158" s="69"/>
      <c r="Z158" s="69"/>
      <c r="AA158" s="69"/>
    </row>
    <row r="159" spans="8:27">
      <c r="H159" s="69"/>
      <c r="I159" s="69"/>
      <c r="J159" s="69"/>
      <c r="K159" s="69"/>
      <c r="L159" s="69"/>
      <c r="M159" s="69"/>
      <c r="N159" s="69"/>
      <c r="O159" s="69"/>
      <c r="P159" s="69"/>
      <c r="Q159" s="69"/>
      <c r="R159" s="69"/>
      <c r="S159" s="69"/>
      <c r="T159" s="69"/>
      <c r="U159" s="69"/>
      <c r="V159" s="69"/>
      <c r="W159" s="69"/>
      <c r="X159" s="69"/>
      <c r="Y159" s="69"/>
      <c r="Z159" s="69"/>
      <c r="AA159" s="69"/>
    </row>
    <row r="160" spans="8:27">
      <c r="H160" s="69"/>
      <c r="I160" s="69"/>
      <c r="J160" s="69"/>
      <c r="K160" s="69"/>
      <c r="L160" s="69"/>
      <c r="M160" s="69"/>
      <c r="N160" s="69"/>
      <c r="O160" s="69"/>
      <c r="P160" s="69"/>
      <c r="Q160" s="69"/>
      <c r="R160" s="69"/>
      <c r="S160" s="69"/>
      <c r="T160" s="69"/>
      <c r="U160" s="69"/>
      <c r="V160" s="69"/>
      <c r="W160" s="69"/>
      <c r="X160" s="69"/>
      <c r="Y160" s="69"/>
      <c r="Z160" s="69"/>
      <c r="AA160" s="69"/>
    </row>
    <row r="161" spans="8:27">
      <c r="H161" s="69"/>
      <c r="I161" s="69"/>
      <c r="J161" s="69"/>
      <c r="K161" s="69"/>
      <c r="L161" s="69"/>
      <c r="M161" s="69"/>
      <c r="N161" s="69"/>
      <c r="O161" s="69"/>
      <c r="P161" s="69"/>
      <c r="Q161" s="69"/>
      <c r="R161" s="69"/>
      <c r="S161" s="69"/>
      <c r="T161" s="69"/>
      <c r="U161" s="69"/>
      <c r="V161" s="69"/>
      <c r="W161" s="69"/>
      <c r="X161" s="69"/>
      <c r="Y161" s="69"/>
      <c r="Z161" s="69"/>
      <c r="AA161" s="69"/>
    </row>
    <row r="162" spans="8:27">
      <c r="H162" s="69"/>
      <c r="I162" s="69"/>
      <c r="J162" s="69"/>
      <c r="K162" s="69"/>
      <c r="L162" s="69"/>
      <c r="M162" s="69"/>
      <c r="N162" s="69"/>
      <c r="O162" s="69"/>
      <c r="P162" s="69"/>
      <c r="Q162" s="69"/>
      <c r="R162" s="69"/>
      <c r="S162" s="69"/>
      <c r="T162" s="69"/>
      <c r="U162" s="69"/>
      <c r="V162" s="69"/>
      <c r="W162" s="69"/>
      <c r="X162" s="69"/>
      <c r="Y162" s="69"/>
      <c r="Z162" s="69"/>
      <c r="AA162" s="69"/>
    </row>
    <row r="163" spans="8:27">
      <c r="H163" s="69"/>
      <c r="I163" s="69"/>
      <c r="J163" s="69"/>
      <c r="K163" s="69"/>
      <c r="L163" s="69"/>
      <c r="M163" s="69"/>
      <c r="N163" s="69"/>
      <c r="O163" s="69"/>
      <c r="P163" s="69"/>
      <c r="Q163" s="69"/>
      <c r="R163" s="69"/>
      <c r="S163" s="69"/>
      <c r="T163" s="69"/>
      <c r="U163" s="69"/>
      <c r="V163" s="69"/>
      <c r="W163" s="69"/>
      <c r="X163" s="69"/>
      <c r="Y163" s="69"/>
      <c r="Z163" s="69"/>
      <c r="AA163" s="69"/>
    </row>
    <row r="164" spans="8:27">
      <c r="H164" s="69"/>
      <c r="I164" s="69"/>
      <c r="J164" s="69"/>
      <c r="K164" s="69"/>
      <c r="L164" s="69"/>
      <c r="M164" s="69"/>
      <c r="N164" s="69"/>
      <c r="O164" s="69"/>
      <c r="P164" s="69"/>
      <c r="Q164" s="69"/>
      <c r="R164" s="69"/>
      <c r="S164" s="69"/>
      <c r="T164" s="69"/>
      <c r="U164" s="69"/>
      <c r="V164" s="69"/>
      <c r="W164" s="69"/>
      <c r="X164" s="69"/>
      <c r="Y164" s="69"/>
      <c r="Z164" s="69"/>
      <c r="AA164" s="69"/>
    </row>
    <row r="165" spans="8:27">
      <c r="H165" s="69"/>
      <c r="I165" s="69"/>
      <c r="J165" s="69"/>
      <c r="K165" s="69"/>
      <c r="L165" s="69"/>
      <c r="M165" s="69"/>
      <c r="N165" s="69"/>
      <c r="O165" s="69"/>
      <c r="P165" s="69"/>
      <c r="Q165" s="69"/>
      <c r="R165" s="69"/>
      <c r="S165" s="69"/>
      <c r="T165" s="69"/>
      <c r="U165" s="69"/>
      <c r="V165" s="69"/>
      <c r="W165" s="69"/>
      <c r="X165" s="69"/>
      <c r="Y165" s="69"/>
      <c r="Z165" s="69"/>
      <c r="AA165" s="69"/>
    </row>
    <row r="166" spans="8:27">
      <c r="H166" s="69"/>
      <c r="I166" s="69"/>
      <c r="J166" s="69"/>
      <c r="K166" s="69"/>
      <c r="L166" s="69"/>
      <c r="M166" s="69"/>
      <c r="N166" s="69"/>
      <c r="O166" s="69"/>
      <c r="P166" s="69"/>
      <c r="Q166" s="69"/>
      <c r="R166" s="69"/>
      <c r="S166" s="69"/>
      <c r="T166" s="69"/>
      <c r="U166" s="69"/>
      <c r="V166" s="69"/>
      <c r="W166" s="69"/>
      <c r="X166" s="69"/>
      <c r="Y166" s="69"/>
      <c r="Z166" s="69"/>
      <c r="AA166" s="69"/>
    </row>
    <row r="167" spans="8:27">
      <c r="H167" s="69"/>
      <c r="I167" s="69"/>
      <c r="J167" s="69"/>
      <c r="K167" s="69"/>
      <c r="L167" s="69"/>
      <c r="M167" s="69"/>
      <c r="N167" s="69"/>
      <c r="O167" s="69"/>
      <c r="P167" s="69"/>
      <c r="Q167" s="69"/>
      <c r="R167" s="69"/>
      <c r="S167" s="69"/>
      <c r="T167" s="69"/>
      <c r="U167" s="69"/>
      <c r="V167" s="69"/>
      <c r="W167" s="69"/>
      <c r="X167" s="69"/>
      <c r="Y167" s="69"/>
      <c r="Z167" s="69"/>
      <c r="AA167" s="69"/>
    </row>
    <row r="168" spans="8:27">
      <c r="H168" s="69"/>
      <c r="I168" s="69"/>
      <c r="J168" s="69"/>
      <c r="K168" s="69"/>
      <c r="L168" s="69"/>
      <c r="M168" s="69"/>
      <c r="N168" s="69"/>
      <c r="O168" s="69"/>
      <c r="P168" s="69"/>
      <c r="Q168" s="69"/>
      <c r="R168" s="69"/>
      <c r="S168" s="69"/>
      <c r="T168" s="69"/>
      <c r="U168" s="69"/>
      <c r="V168" s="69"/>
      <c r="W168" s="69"/>
      <c r="X168" s="69"/>
      <c r="Y168" s="69"/>
      <c r="Z168" s="69"/>
      <c r="AA168" s="69"/>
    </row>
    <row r="169" spans="8:27">
      <c r="H169" s="69"/>
      <c r="I169" s="69"/>
      <c r="J169" s="69"/>
      <c r="K169" s="69"/>
      <c r="L169" s="69"/>
      <c r="M169" s="69"/>
      <c r="N169" s="69"/>
      <c r="O169" s="69"/>
      <c r="P169" s="69"/>
      <c r="Q169" s="69"/>
      <c r="R169" s="69"/>
      <c r="S169" s="69"/>
      <c r="T169" s="69"/>
      <c r="U169" s="69"/>
      <c r="V169" s="69"/>
      <c r="W169" s="69"/>
      <c r="X169" s="69"/>
      <c r="Y169" s="69"/>
      <c r="Z169" s="69"/>
      <c r="AA169" s="69"/>
    </row>
    <row r="170" spans="8:27">
      <c r="H170" s="69"/>
      <c r="I170" s="69"/>
      <c r="J170" s="69"/>
      <c r="K170" s="69"/>
      <c r="L170" s="69"/>
      <c r="M170" s="69"/>
      <c r="N170" s="69"/>
      <c r="O170" s="69"/>
      <c r="P170" s="69"/>
      <c r="Q170" s="69"/>
      <c r="R170" s="69"/>
      <c r="S170" s="69"/>
      <c r="T170" s="69"/>
      <c r="U170" s="69"/>
      <c r="V170" s="69"/>
      <c r="W170" s="69"/>
      <c r="X170" s="69"/>
      <c r="Y170" s="69"/>
      <c r="Z170" s="69"/>
      <c r="AA170" s="69"/>
    </row>
    <row r="171" spans="8:27">
      <c r="H171" s="69"/>
      <c r="I171" s="69"/>
      <c r="J171" s="69"/>
      <c r="K171" s="69"/>
      <c r="L171" s="69"/>
      <c r="M171" s="69"/>
      <c r="N171" s="69"/>
      <c r="O171" s="69"/>
      <c r="P171" s="69"/>
      <c r="Q171" s="69"/>
      <c r="R171" s="69"/>
      <c r="S171" s="69"/>
      <c r="T171" s="69"/>
      <c r="U171" s="69"/>
      <c r="V171" s="69"/>
      <c r="W171" s="69"/>
      <c r="X171" s="69"/>
      <c r="Y171" s="69"/>
      <c r="Z171" s="69"/>
      <c r="AA171" s="69"/>
    </row>
    <row r="172" spans="8:27">
      <c r="H172" s="69"/>
      <c r="I172" s="69"/>
      <c r="J172" s="69"/>
      <c r="K172" s="69"/>
      <c r="L172" s="69"/>
      <c r="M172" s="69"/>
      <c r="N172" s="69"/>
      <c r="O172" s="69"/>
      <c r="P172" s="69"/>
      <c r="Q172" s="69"/>
      <c r="R172" s="69"/>
      <c r="S172" s="69"/>
      <c r="T172" s="69"/>
      <c r="U172" s="69"/>
      <c r="V172" s="69"/>
      <c r="W172" s="69"/>
      <c r="X172" s="69"/>
      <c r="Y172" s="69"/>
      <c r="Z172" s="69"/>
      <c r="AA172" s="69"/>
    </row>
    <row r="173" spans="8:27">
      <c r="H173" s="69"/>
      <c r="I173" s="69"/>
      <c r="J173" s="69"/>
      <c r="K173" s="69"/>
      <c r="L173" s="69"/>
      <c r="M173" s="69"/>
      <c r="N173" s="69"/>
      <c r="O173" s="69"/>
      <c r="P173" s="69"/>
      <c r="Q173" s="69"/>
      <c r="R173" s="69"/>
      <c r="S173" s="69"/>
      <c r="T173" s="69"/>
      <c r="U173" s="69"/>
      <c r="V173" s="69"/>
      <c r="W173" s="69"/>
      <c r="X173" s="69"/>
      <c r="Y173" s="69"/>
      <c r="Z173" s="69"/>
      <c r="AA173" s="69"/>
    </row>
    <row r="174" spans="8:27">
      <c r="H174" s="69"/>
      <c r="I174" s="69"/>
      <c r="J174" s="69"/>
      <c r="K174" s="69"/>
      <c r="L174" s="69"/>
      <c r="M174" s="69"/>
      <c r="N174" s="69"/>
      <c r="O174" s="69"/>
      <c r="P174" s="69"/>
      <c r="Q174" s="69"/>
      <c r="R174" s="69"/>
      <c r="S174" s="69"/>
      <c r="T174" s="69"/>
      <c r="U174" s="69"/>
      <c r="V174" s="69"/>
      <c r="W174" s="69"/>
      <c r="X174" s="69"/>
      <c r="Y174" s="69"/>
      <c r="Z174" s="69"/>
      <c r="AA174" s="69"/>
    </row>
    <row r="175" spans="8:27">
      <c r="H175" s="69"/>
      <c r="I175" s="69"/>
      <c r="J175" s="69"/>
      <c r="K175" s="69"/>
      <c r="L175" s="69"/>
      <c r="M175" s="69"/>
      <c r="N175" s="69"/>
      <c r="O175" s="69"/>
      <c r="P175" s="69"/>
      <c r="Q175" s="69"/>
      <c r="R175" s="69"/>
      <c r="S175" s="69"/>
      <c r="T175" s="69"/>
      <c r="U175" s="69"/>
      <c r="V175" s="69"/>
      <c r="W175" s="69"/>
      <c r="X175" s="69"/>
      <c r="Y175" s="69"/>
      <c r="Z175" s="69"/>
      <c r="AA175" s="69"/>
    </row>
    <row r="176" spans="8:27">
      <c r="H176" s="69"/>
      <c r="I176" s="69"/>
      <c r="J176" s="69"/>
      <c r="K176" s="69"/>
      <c r="L176" s="69"/>
      <c r="M176" s="69"/>
      <c r="N176" s="69"/>
      <c r="O176" s="69"/>
      <c r="P176" s="69"/>
      <c r="Q176" s="69"/>
      <c r="R176" s="69"/>
      <c r="S176" s="69"/>
      <c r="T176" s="69"/>
      <c r="U176" s="69"/>
      <c r="V176" s="69"/>
      <c r="W176" s="69"/>
      <c r="X176" s="69"/>
      <c r="Y176" s="69"/>
      <c r="Z176" s="69"/>
      <c r="AA176" s="69"/>
    </row>
    <row r="177" spans="8:27">
      <c r="H177" s="69"/>
      <c r="I177" s="69"/>
      <c r="J177" s="69"/>
      <c r="K177" s="69"/>
      <c r="L177" s="69"/>
      <c r="M177" s="69"/>
      <c r="N177" s="69"/>
      <c r="O177" s="69"/>
      <c r="P177" s="69"/>
      <c r="Q177" s="69"/>
      <c r="R177" s="69"/>
      <c r="S177" s="69"/>
      <c r="T177" s="69"/>
      <c r="U177" s="69"/>
      <c r="V177" s="69"/>
      <c r="W177" s="69"/>
      <c r="X177" s="69"/>
      <c r="Y177" s="69"/>
      <c r="Z177" s="69"/>
      <c r="AA177" s="69"/>
    </row>
    <row r="178" spans="8:27">
      <c r="H178" s="69"/>
      <c r="I178" s="69"/>
      <c r="J178" s="69"/>
      <c r="K178" s="69"/>
      <c r="L178" s="69"/>
      <c r="M178" s="69"/>
      <c r="N178" s="69"/>
      <c r="O178" s="69"/>
      <c r="P178" s="69"/>
      <c r="Q178" s="69"/>
      <c r="R178" s="69"/>
      <c r="S178" s="69"/>
      <c r="T178" s="69"/>
      <c r="U178" s="69"/>
      <c r="V178" s="69"/>
      <c r="W178" s="69"/>
      <c r="X178" s="69"/>
      <c r="Y178" s="69"/>
      <c r="Z178" s="69"/>
      <c r="AA178" s="69"/>
    </row>
    <row r="179" spans="8:27">
      <c r="H179" s="69"/>
      <c r="I179" s="69"/>
      <c r="J179" s="69"/>
      <c r="K179" s="69"/>
      <c r="L179" s="69"/>
      <c r="M179" s="69"/>
      <c r="N179" s="69"/>
      <c r="O179" s="69"/>
      <c r="P179" s="69"/>
      <c r="Q179" s="69"/>
      <c r="R179" s="69"/>
      <c r="S179" s="69"/>
      <c r="T179" s="69"/>
      <c r="U179" s="69"/>
      <c r="V179" s="69"/>
      <c r="W179" s="69"/>
      <c r="X179" s="69"/>
      <c r="Y179" s="69"/>
      <c r="Z179" s="69"/>
      <c r="AA179" s="69"/>
    </row>
    <row r="180" spans="8:27">
      <c r="H180" s="69"/>
      <c r="I180" s="69"/>
      <c r="J180" s="69"/>
      <c r="K180" s="69"/>
      <c r="L180" s="69"/>
      <c r="M180" s="69"/>
      <c r="N180" s="69"/>
      <c r="O180" s="69"/>
      <c r="P180" s="69"/>
      <c r="Q180" s="69"/>
      <c r="R180" s="69"/>
      <c r="S180" s="69"/>
      <c r="T180" s="69"/>
      <c r="U180" s="69"/>
      <c r="V180" s="69"/>
      <c r="W180" s="69"/>
      <c r="X180" s="69"/>
      <c r="Y180" s="69"/>
      <c r="Z180" s="69"/>
      <c r="AA180" s="69"/>
    </row>
    <row r="181" spans="8:27">
      <c r="H181" s="69"/>
      <c r="I181" s="69"/>
      <c r="J181" s="69"/>
      <c r="K181" s="69"/>
      <c r="L181" s="69"/>
      <c r="M181" s="69"/>
      <c r="N181" s="69"/>
      <c r="O181" s="69"/>
      <c r="P181" s="69"/>
      <c r="Q181" s="69"/>
      <c r="R181" s="69"/>
      <c r="S181" s="69"/>
      <c r="T181" s="69"/>
      <c r="U181" s="69"/>
      <c r="V181" s="69"/>
      <c r="W181" s="69"/>
      <c r="X181" s="69"/>
      <c r="Y181" s="69"/>
      <c r="Z181" s="69"/>
      <c r="AA181" s="69"/>
    </row>
    <row r="182" spans="8:27">
      <c r="H182" s="69"/>
      <c r="I182" s="69"/>
      <c r="J182" s="69"/>
      <c r="K182" s="69"/>
      <c r="L182" s="69"/>
      <c r="M182" s="69"/>
      <c r="N182" s="69"/>
      <c r="O182" s="69"/>
      <c r="P182" s="69"/>
      <c r="Q182" s="69"/>
      <c r="R182" s="69"/>
      <c r="S182" s="69"/>
      <c r="T182" s="69"/>
      <c r="U182" s="69"/>
      <c r="V182" s="69"/>
      <c r="W182" s="69"/>
      <c r="X182" s="69"/>
      <c r="Y182" s="69"/>
      <c r="Z182" s="69"/>
      <c r="AA182" s="69"/>
    </row>
    <row r="183" spans="8:27">
      <c r="H183" s="69"/>
      <c r="I183" s="69"/>
      <c r="J183" s="69"/>
      <c r="K183" s="69"/>
      <c r="L183" s="69"/>
      <c r="M183" s="69"/>
      <c r="N183" s="69"/>
      <c r="O183" s="69"/>
      <c r="P183" s="69"/>
      <c r="Q183" s="69"/>
      <c r="R183" s="69"/>
      <c r="S183" s="69"/>
      <c r="T183" s="69"/>
      <c r="U183" s="69"/>
      <c r="V183" s="69"/>
      <c r="W183" s="69"/>
      <c r="X183" s="69"/>
      <c r="Y183" s="69"/>
      <c r="Z183" s="69"/>
      <c r="AA183" s="69"/>
    </row>
    <row r="184" spans="8:27">
      <c r="H184" s="69"/>
      <c r="I184" s="69"/>
      <c r="J184" s="69"/>
      <c r="K184" s="69"/>
      <c r="L184" s="69"/>
      <c r="M184" s="69"/>
      <c r="N184" s="69"/>
      <c r="O184" s="69"/>
      <c r="P184" s="69"/>
      <c r="Q184" s="69"/>
      <c r="R184" s="69"/>
      <c r="S184" s="69"/>
      <c r="T184" s="69"/>
      <c r="U184" s="69"/>
      <c r="V184" s="69"/>
      <c r="W184" s="69"/>
      <c r="X184" s="69"/>
      <c r="Y184" s="69"/>
      <c r="Z184" s="69"/>
      <c r="AA184" s="69"/>
    </row>
    <row r="185" spans="8:27">
      <c r="H185" s="69"/>
      <c r="I185" s="69"/>
      <c r="J185" s="69"/>
      <c r="K185" s="69"/>
      <c r="L185" s="69"/>
      <c r="M185" s="69"/>
      <c r="N185" s="69"/>
      <c r="O185" s="69"/>
      <c r="P185" s="69"/>
      <c r="Q185" s="69"/>
      <c r="R185" s="69"/>
      <c r="S185" s="69"/>
      <c r="T185" s="69"/>
      <c r="U185" s="69"/>
      <c r="V185" s="69"/>
      <c r="W185" s="69"/>
      <c r="X185" s="69"/>
      <c r="Y185" s="69"/>
      <c r="Z185" s="69"/>
      <c r="AA185" s="69"/>
    </row>
    <row r="186" spans="8:27">
      <c r="H186" s="69"/>
      <c r="I186" s="69"/>
      <c r="J186" s="69"/>
      <c r="K186" s="69"/>
      <c r="L186" s="69"/>
      <c r="M186" s="69"/>
      <c r="N186" s="69"/>
      <c r="O186" s="69"/>
      <c r="P186" s="69"/>
      <c r="Q186" s="69"/>
      <c r="R186" s="69"/>
      <c r="S186" s="69"/>
      <c r="T186" s="69"/>
      <c r="U186" s="69"/>
      <c r="V186" s="69"/>
      <c r="W186" s="69"/>
      <c r="X186" s="69"/>
      <c r="Y186" s="69"/>
      <c r="Z186" s="69"/>
      <c r="AA186" s="69"/>
    </row>
    <row r="187" spans="8:27">
      <c r="H187" s="69"/>
      <c r="I187" s="69"/>
      <c r="J187" s="69"/>
      <c r="K187" s="69"/>
      <c r="L187" s="69"/>
      <c r="M187" s="69"/>
      <c r="N187" s="69"/>
      <c r="O187" s="69"/>
      <c r="P187" s="69"/>
      <c r="Q187" s="69"/>
      <c r="R187" s="69"/>
      <c r="S187" s="69"/>
      <c r="T187" s="69"/>
      <c r="U187" s="69"/>
      <c r="V187" s="69"/>
      <c r="W187" s="69"/>
      <c r="X187" s="69"/>
      <c r="Y187" s="69"/>
      <c r="Z187" s="69"/>
      <c r="AA187" s="69"/>
    </row>
    <row r="188" spans="8:27">
      <c r="H188" s="69"/>
      <c r="I188" s="69"/>
      <c r="J188" s="69"/>
      <c r="K188" s="69"/>
      <c r="L188" s="69"/>
      <c r="M188" s="69"/>
      <c r="N188" s="69"/>
      <c r="O188" s="69"/>
      <c r="P188" s="69"/>
      <c r="Q188" s="69"/>
      <c r="R188" s="69"/>
      <c r="S188" s="69"/>
      <c r="T188" s="69"/>
      <c r="U188" s="69"/>
      <c r="V188" s="69"/>
      <c r="W188" s="69"/>
      <c r="X188" s="69"/>
      <c r="Y188" s="69"/>
      <c r="Z188" s="69"/>
      <c r="AA188" s="69"/>
    </row>
    <row r="189" spans="8:27">
      <c r="H189" s="69"/>
      <c r="I189" s="69"/>
      <c r="J189" s="69"/>
      <c r="K189" s="69"/>
      <c r="L189" s="69"/>
      <c r="M189" s="69"/>
      <c r="N189" s="69"/>
      <c r="O189" s="69"/>
      <c r="P189" s="69"/>
      <c r="Q189" s="69"/>
      <c r="R189" s="69"/>
      <c r="S189" s="69"/>
      <c r="T189" s="69"/>
      <c r="U189" s="69"/>
      <c r="V189" s="69"/>
      <c r="W189" s="69"/>
      <c r="X189" s="69"/>
      <c r="Y189" s="69"/>
      <c r="Z189" s="69"/>
      <c r="AA189" s="69"/>
    </row>
    <row r="190" spans="8:27">
      <c r="H190" s="69"/>
      <c r="I190" s="69"/>
      <c r="J190" s="69"/>
      <c r="K190" s="69"/>
      <c r="L190" s="69"/>
      <c r="M190" s="69"/>
      <c r="N190" s="69"/>
      <c r="O190" s="69"/>
      <c r="P190" s="69"/>
      <c r="Q190" s="69"/>
      <c r="R190" s="69"/>
      <c r="S190" s="69"/>
      <c r="T190" s="69"/>
      <c r="U190" s="69"/>
      <c r="V190" s="69"/>
      <c r="W190" s="69"/>
      <c r="X190" s="69"/>
      <c r="Y190" s="69"/>
      <c r="Z190" s="69"/>
      <c r="AA190" s="69"/>
    </row>
    <row r="191" spans="8:27">
      <c r="H191" s="69"/>
      <c r="I191" s="69"/>
      <c r="J191" s="69"/>
      <c r="K191" s="69"/>
      <c r="L191" s="69"/>
      <c r="M191" s="69"/>
      <c r="N191" s="69"/>
      <c r="O191" s="69"/>
      <c r="P191" s="69"/>
      <c r="Q191" s="69"/>
      <c r="R191" s="69"/>
      <c r="S191" s="69"/>
      <c r="T191" s="69"/>
      <c r="U191" s="69"/>
      <c r="V191" s="69"/>
      <c r="W191" s="69"/>
      <c r="X191" s="69"/>
      <c r="Y191" s="69"/>
      <c r="Z191" s="69"/>
      <c r="AA191" s="69"/>
    </row>
    <row r="192" spans="8:27">
      <c r="H192" s="69"/>
      <c r="I192" s="69"/>
      <c r="J192" s="69"/>
      <c r="K192" s="69"/>
      <c r="L192" s="69"/>
      <c r="M192" s="69"/>
      <c r="N192" s="69"/>
      <c r="O192" s="69"/>
      <c r="P192" s="69"/>
      <c r="Q192" s="69"/>
      <c r="R192" s="69"/>
      <c r="S192" s="69"/>
      <c r="T192" s="69"/>
      <c r="U192" s="69"/>
      <c r="V192" s="69"/>
      <c r="W192" s="69"/>
      <c r="X192" s="69"/>
      <c r="Y192" s="69"/>
      <c r="Z192" s="69"/>
      <c r="AA192" s="69"/>
    </row>
    <row r="193" spans="8:27">
      <c r="H193" s="69"/>
      <c r="I193" s="69"/>
      <c r="J193" s="69"/>
      <c r="K193" s="69"/>
      <c r="L193" s="69"/>
      <c r="M193" s="69"/>
      <c r="N193" s="69"/>
      <c r="O193" s="69"/>
      <c r="P193" s="69"/>
      <c r="Q193" s="69"/>
      <c r="R193" s="69"/>
      <c r="S193" s="69"/>
      <c r="T193" s="69"/>
      <c r="U193" s="69"/>
      <c r="V193" s="69"/>
      <c r="W193" s="69"/>
      <c r="X193" s="69"/>
      <c r="Y193" s="69"/>
      <c r="Z193" s="69"/>
      <c r="AA193" s="69"/>
    </row>
    <row r="194" spans="8:27">
      <c r="H194" s="69"/>
      <c r="I194" s="69"/>
      <c r="J194" s="69"/>
      <c r="K194" s="69"/>
      <c r="L194" s="69"/>
      <c r="M194" s="69"/>
      <c r="N194" s="69"/>
      <c r="O194" s="69"/>
      <c r="P194" s="69"/>
      <c r="Q194" s="69"/>
      <c r="R194" s="69"/>
      <c r="S194" s="69"/>
      <c r="T194" s="69"/>
      <c r="U194" s="69"/>
      <c r="V194" s="69"/>
      <c r="W194" s="69"/>
      <c r="X194" s="69"/>
      <c r="Y194" s="69"/>
      <c r="Z194" s="69"/>
      <c r="AA194" s="69"/>
    </row>
    <row r="195" spans="8:27">
      <c r="H195" s="69"/>
      <c r="I195" s="69"/>
      <c r="J195" s="69"/>
      <c r="K195" s="69"/>
      <c r="L195" s="69"/>
      <c r="M195" s="69"/>
      <c r="N195" s="69"/>
      <c r="O195" s="69"/>
      <c r="P195" s="69"/>
      <c r="Q195" s="69"/>
      <c r="R195" s="69"/>
      <c r="S195" s="69"/>
      <c r="T195" s="69"/>
      <c r="U195" s="69"/>
      <c r="V195" s="69"/>
      <c r="W195" s="69"/>
      <c r="X195" s="69"/>
      <c r="Y195" s="69"/>
      <c r="Z195" s="69"/>
      <c r="AA195" s="69"/>
    </row>
    <row r="196" spans="8:27">
      <c r="H196" s="69"/>
      <c r="I196" s="69"/>
      <c r="J196" s="69"/>
      <c r="K196" s="69"/>
      <c r="L196" s="69"/>
      <c r="M196" s="69"/>
      <c r="N196" s="69"/>
      <c r="O196" s="69"/>
      <c r="P196" s="69"/>
      <c r="Q196" s="69"/>
      <c r="R196" s="69"/>
      <c r="S196" s="69"/>
      <c r="T196" s="69"/>
      <c r="U196" s="69"/>
      <c r="V196" s="69"/>
      <c r="W196" s="69"/>
      <c r="X196" s="69"/>
      <c r="Y196" s="69"/>
      <c r="Z196" s="69"/>
      <c r="AA196" s="69"/>
    </row>
    <row r="197" spans="8:27">
      <c r="H197" s="69"/>
      <c r="I197" s="69"/>
      <c r="J197" s="69"/>
      <c r="K197" s="69"/>
      <c r="L197" s="69"/>
      <c r="M197" s="69"/>
      <c r="N197" s="69"/>
      <c r="O197" s="69"/>
      <c r="P197" s="69"/>
      <c r="Q197" s="69"/>
      <c r="R197" s="69"/>
      <c r="S197" s="69"/>
      <c r="T197" s="69"/>
      <c r="U197" s="69"/>
      <c r="V197" s="69"/>
      <c r="W197" s="69"/>
      <c r="X197" s="69"/>
      <c r="Y197" s="69"/>
      <c r="Z197" s="69"/>
      <c r="AA197" s="69"/>
    </row>
    <row r="198" spans="8:27">
      <c r="H198" s="69"/>
      <c r="I198" s="69"/>
      <c r="J198" s="69"/>
      <c r="K198" s="69"/>
      <c r="L198" s="69"/>
      <c r="M198" s="69"/>
      <c r="N198" s="69"/>
      <c r="O198" s="69"/>
      <c r="P198" s="69"/>
      <c r="Q198" s="69"/>
      <c r="R198" s="69"/>
      <c r="S198" s="69"/>
      <c r="T198" s="69"/>
      <c r="U198" s="69"/>
      <c r="V198" s="69"/>
      <c r="W198" s="69"/>
      <c r="X198" s="69"/>
      <c r="Y198" s="69"/>
      <c r="Z198" s="69"/>
      <c r="AA198" s="69"/>
    </row>
    <row r="199" spans="8:27">
      <c r="H199" s="69"/>
      <c r="I199" s="69"/>
      <c r="J199" s="69"/>
      <c r="K199" s="69"/>
      <c r="L199" s="69"/>
      <c r="M199" s="69"/>
      <c r="N199" s="69"/>
      <c r="O199" s="69"/>
      <c r="P199" s="69"/>
      <c r="Q199" s="69"/>
      <c r="R199" s="69"/>
      <c r="S199" s="69"/>
      <c r="T199" s="69"/>
      <c r="U199" s="69"/>
      <c r="V199" s="69"/>
      <c r="W199" s="69"/>
      <c r="X199" s="69"/>
      <c r="Y199" s="69"/>
      <c r="Z199" s="69"/>
      <c r="AA199" s="69"/>
    </row>
    <row r="200" spans="8:27">
      <c r="H200" s="69"/>
      <c r="I200" s="69"/>
      <c r="J200" s="69"/>
      <c r="K200" s="69"/>
      <c r="L200" s="69"/>
      <c r="M200" s="69"/>
      <c r="N200" s="69"/>
      <c r="O200" s="69"/>
      <c r="P200" s="69"/>
      <c r="Q200" s="69"/>
      <c r="R200" s="69"/>
      <c r="S200" s="69"/>
      <c r="T200" s="69"/>
      <c r="U200" s="69"/>
      <c r="V200" s="69"/>
      <c r="W200" s="69"/>
      <c r="X200" s="69"/>
      <c r="Y200" s="69"/>
      <c r="Z200" s="69"/>
      <c r="AA200" s="69"/>
    </row>
    <row r="201" spans="8:27">
      <c r="H201" s="69"/>
      <c r="I201" s="69"/>
      <c r="J201" s="69"/>
      <c r="K201" s="69"/>
      <c r="L201" s="69"/>
      <c r="M201" s="69"/>
      <c r="N201" s="69"/>
      <c r="O201" s="69"/>
      <c r="P201" s="69"/>
      <c r="Q201" s="69"/>
      <c r="R201" s="69"/>
      <c r="S201" s="69"/>
      <c r="T201" s="69"/>
      <c r="U201" s="69"/>
      <c r="V201" s="69"/>
      <c r="W201" s="69"/>
      <c r="X201" s="69"/>
      <c r="Y201" s="69"/>
      <c r="Z201" s="69"/>
      <c r="AA201" s="69"/>
    </row>
    <row r="202" spans="8:27">
      <c r="H202" s="69"/>
      <c r="I202" s="69"/>
      <c r="J202" s="69"/>
      <c r="K202" s="69"/>
      <c r="L202" s="69"/>
      <c r="M202" s="69"/>
      <c r="N202" s="69"/>
      <c r="O202" s="69"/>
      <c r="P202" s="69"/>
      <c r="Q202" s="69"/>
      <c r="R202" s="69"/>
      <c r="S202" s="69"/>
      <c r="T202" s="69"/>
      <c r="U202" s="69"/>
      <c r="V202" s="69"/>
      <c r="W202" s="69"/>
      <c r="X202" s="69"/>
      <c r="Y202" s="69"/>
      <c r="Z202" s="69"/>
      <c r="AA202" s="69"/>
    </row>
    <row r="203" spans="8:27">
      <c r="H203" s="69"/>
      <c r="I203" s="69"/>
      <c r="J203" s="69"/>
      <c r="K203" s="69"/>
      <c r="L203" s="69"/>
      <c r="M203" s="69"/>
      <c r="N203" s="69"/>
      <c r="O203" s="69"/>
      <c r="P203" s="69"/>
      <c r="Q203" s="69"/>
      <c r="R203" s="69"/>
      <c r="S203" s="69"/>
      <c r="T203" s="69"/>
      <c r="U203" s="69"/>
      <c r="V203" s="69"/>
      <c r="W203" s="69"/>
      <c r="X203" s="69"/>
      <c r="Y203" s="69"/>
      <c r="Z203" s="69"/>
      <c r="AA203" s="69"/>
    </row>
    <row r="204" spans="8:27">
      <c r="H204" s="69"/>
      <c r="I204" s="69"/>
      <c r="J204" s="69"/>
      <c r="K204" s="69"/>
      <c r="L204" s="69"/>
      <c r="M204" s="69"/>
      <c r="N204" s="69"/>
      <c r="O204" s="69"/>
      <c r="P204" s="69"/>
      <c r="Q204" s="69"/>
      <c r="R204" s="69"/>
      <c r="S204" s="69"/>
      <c r="T204" s="69"/>
      <c r="U204" s="69"/>
      <c r="V204" s="69"/>
      <c r="W204" s="69"/>
      <c r="X204" s="69"/>
      <c r="Y204" s="69"/>
      <c r="Z204" s="69"/>
      <c r="AA204" s="69"/>
    </row>
    <row r="205" spans="8:27">
      <c r="H205" s="69"/>
      <c r="I205" s="69"/>
      <c r="J205" s="69"/>
      <c r="K205" s="69"/>
      <c r="L205" s="69"/>
      <c r="M205" s="69"/>
      <c r="N205" s="69"/>
      <c r="O205" s="69"/>
      <c r="P205" s="69"/>
      <c r="Q205" s="69"/>
      <c r="R205" s="69"/>
      <c r="S205" s="69"/>
      <c r="T205" s="69"/>
      <c r="U205" s="69"/>
      <c r="V205" s="69"/>
      <c r="W205" s="69"/>
      <c r="X205" s="69"/>
      <c r="Y205" s="69"/>
      <c r="Z205" s="69"/>
      <c r="AA205" s="69"/>
    </row>
    <row r="206" spans="8:27">
      <c r="H206" s="69"/>
      <c r="I206" s="69"/>
      <c r="J206" s="69"/>
      <c r="K206" s="69"/>
      <c r="L206" s="69"/>
      <c r="M206" s="69"/>
      <c r="N206" s="69"/>
      <c r="O206" s="69"/>
      <c r="P206" s="69"/>
      <c r="Q206" s="69"/>
      <c r="R206" s="69"/>
      <c r="S206" s="69"/>
      <c r="T206" s="69"/>
      <c r="U206" s="69"/>
      <c r="V206" s="69"/>
      <c r="W206" s="69"/>
      <c r="X206" s="69"/>
      <c r="Y206" s="69"/>
      <c r="Z206" s="69"/>
      <c r="AA206" s="69"/>
    </row>
    <row r="207" spans="8:27">
      <c r="H207" s="69"/>
      <c r="I207" s="69"/>
      <c r="J207" s="69"/>
      <c r="K207" s="69"/>
      <c r="L207" s="69"/>
      <c r="M207" s="69"/>
      <c r="N207" s="69"/>
      <c r="O207" s="69"/>
      <c r="P207" s="69"/>
      <c r="Q207" s="69"/>
      <c r="R207" s="69"/>
      <c r="S207" s="69"/>
      <c r="T207" s="69"/>
      <c r="U207" s="69"/>
      <c r="V207" s="69"/>
      <c r="W207" s="69"/>
      <c r="X207" s="69"/>
      <c r="Y207" s="69"/>
      <c r="Z207" s="69"/>
      <c r="AA207" s="69"/>
    </row>
    <row r="208" spans="8:27">
      <c r="H208" s="69"/>
      <c r="I208" s="69"/>
      <c r="J208" s="69"/>
      <c r="K208" s="69"/>
      <c r="L208" s="69"/>
      <c r="M208" s="69"/>
      <c r="N208" s="69"/>
      <c r="O208" s="69"/>
      <c r="P208" s="69"/>
      <c r="Q208" s="69"/>
      <c r="R208" s="69"/>
      <c r="S208" s="69"/>
      <c r="T208" s="69"/>
      <c r="U208" s="69"/>
      <c r="V208" s="69"/>
      <c r="W208" s="69"/>
      <c r="X208" s="69"/>
      <c r="Y208" s="69"/>
      <c r="Z208" s="69"/>
      <c r="AA208" s="69"/>
    </row>
    <row r="209" spans="8:27">
      <c r="H209" s="69"/>
      <c r="I209" s="69"/>
      <c r="J209" s="69"/>
      <c r="K209" s="69"/>
      <c r="L209" s="69"/>
      <c r="M209" s="69"/>
      <c r="N209" s="69"/>
      <c r="O209" s="69"/>
      <c r="P209" s="69"/>
      <c r="Q209" s="69"/>
      <c r="R209" s="69"/>
      <c r="S209" s="69"/>
      <c r="T209" s="69"/>
      <c r="U209" s="69"/>
      <c r="V209" s="69"/>
      <c r="W209" s="69"/>
      <c r="X209" s="69"/>
      <c r="Y209" s="69"/>
      <c r="Z209" s="69"/>
      <c r="AA209" s="69"/>
    </row>
    <row r="210" spans="8:27">
      <c r="H210" s="69"/>
      <c r="I210" s="69"/>
      <c r="J210" s="69"/>
      <c r="K210" s="69"/>
      <c r="L210" s="69"/>
      <c r="M210" s="69"/>
      <c r="N210" s="69"/>
      <c r="O210" s="69"/>
      <c r="P210" s="69"/>
      <c r="Q210" s="69"/>
      <c r="R210" s="69"/>
      <c r="S210" s="69"/>
      <c r="T210" s="69"/>
      <c r="U210" s="69"/>
      <c r="V210" s="69"/>
      <c r="W210" s="69"/>
      <c r="X210" s="69"/>
      <c r="Y210" s="69"/>
      <c r="Z210" s="69"/>
      <c r="AA210" s="69"/>
    </row>
    <row r="211" spans="8:27">
      <c r="H211" s="69"/>
      <c r="I211" s="69"/>
      <c r="J211" s="69"/>
      <c r="K211" s="69"/>
      <c r="L211" s="69"/>
      <c r="M211" s="69"/>
      <c r="N211" s="69"/>
      <c r="O211" s="69"/>
      <c r="P211" s="69"/>
      <c r="Q211" s="69"/>
      <c r="R211" s="69"/>
      <c r="S211" s="69"/>
      <c r="T211" s="69"/>
      <c r="U211" s="69"/>
      <c r="V211" s="69"/>
      <c r="W211" s="69"/>
      <c r="X211" s="69"/>
      <c r="Y211" s="69"/>
      <c r="Z211" s="69"/>
      <c r="AA211" s="69"/>
    </row>
    <row r="212" spans="8:27">
      <c r="H212" s="69"/>
      <c r="I212" s="69"/>
      <c r="J212" s="69"/>
      <c r="K212" s="69"/>
      <c r="L212" s="69"/>
      <c r="M212" s="69"/>
      <c r="N212" s="69"/>
      <c r="O212" s="69"/>
      <c r="P212" s="69"/>
      <c r="Q212" s="69"/>
      <c r="R212" s="69"/>
      <c r="S212" s="69"/>
      <c r="T212" s="69"/>
      <c r="U212" s="69"/>
      <c r="V212" s="69"/>
      <c r="W212" s="69"/>
      <c r="X212" s="69"/>
      <c r="Y212" s="69"/>
      <c r="Z212" s="69"/>
      <c r="AA212" s="69"/>
    </row>
    <row r="213" spans="8:27">
      <c r="H213" s="69"/>
      <c r="I213" s="69"/>
      <c r="J213" s="69"/>
      <c r="K213" s="69"/>
      <c r="L213" s="69"/>
      <c r="M213" s="69"/>
      <c r="N213" s="69"/>
      <c r="O213" s="69"/>
      <c r="P213" s="69"/>
      <c r="Q213" s="69"/>
      <c r="R213" s="69"/>
      <c r="S213" s="69"/>
      <c r="T213" s="69"/>
      <c r="U213" s="69"/>
      <c r="V213" s="69"/>
      <c r="W213" s="69"/>
      <c r="X213" s="69"/>
      <c r="Y213" s="69"/>
      <c r="Z213" s="69"/>
      <c r="AA213" s="69"/>
    </row>
    <row r="214" spans="8:27">
      <c r="H214" s="69"/>
      <c r="I214" s="69"/>
      <c r="J214" s="69"/>
      <c r="K214" s="69"/>
      <c r="L214" s="69"/>
      <c r="M214" s="69"/>
      <c r="N214" s="69"/>
      <c r="O214" s="69"/>
      <c r="P214" s="69"/>
      <c r="Q214" s="69"/>
      <c r="R214" s="69"/>
      <c r="S214" s="69"/>
      <c r="T214" s="69"/>
      <c r="U214" s="69"/>
      <c r="V214" s="69"/>
      <c r="W214" s="69"/>
      <c r="X214" s="69"/>
      <c r="Y214" s="69"/>
      <c r="Z214" s="69"/>
      <c r="AA214" s="69"/>
    </row>
    <row r="215" spans="8:27">
      <c r="H215" s="69"/>
      <c r="I215" s="69"/>
      <c r="J215" s="69"/>
      <c r="K215" s="69"/>
      <c r="L215" s="69"/>
      <c r="M215" s="69"/>
      <c r="N215" s="69"/>
      <c r="O215" s="69"/>
      <c r="P215" s="69"/>
      <c r="Q215" s="69"/>
      <c r="R215" s="69"/>
      <c r="S215" s="69"/>
      <c r="T215" s="69"/>
      <c r="U215" s="69"/>
      <c r="V215" s="69"/>
      <c r="W215" s="69"/>
      <c r="X215" s="69"/>
      <c r="Y215" s="69"/>
      <c r="Z215" s="69"/>
      <c r="AA215" s="69"/>
    </row>
    <row r="216" spans="8:27">
      <c r="H216" s="69"/>
      <c r="I216" s="69"/>
      <c r="J216" s="69"/>
      <c r="K216" s="69"/>
      <c r="L216" s="69"/>
      <c r="M216" s="69"/>
      <c r="N216" s="69"/>
      <c r="O216" s="69"/>
      <c r="P216" s="69"/>
      <c r="Q216" s="69"/>
      <c r="R216" s="69"/>
      <c r="S216" s="69"/>
      <c r="T216" s="69"/>
      <c r="U216" s="69"/>
      <c r="V216" s="69"/>
      <c r="W216" s="69"/>
      <c r="X216" s="69"/>
      <c r="Y216" s="69"/>
      <c r="Z216" s="69"/>
      <c r="AA216" s="69"/>
    </row>
    <row r="217" spans="8:27">
      <c r="H217" s="69"/>
      <c r="I217" s="69"/>
      <c r="J217" s="69"/>
      <c r="K217" s="69"/>
      <c r="L217" s="69"/>
      <c r="M217" s="69"/>
      <c r="N217" s="69"/>
      <c r="O217" s="69"/>
      <c r="P217" s="69"/>
      <c r="Q217" s="69"/>
      <c r="R217" s="69"/>
      <c r="S217" s="69"/>
      <c r="T217" s="69"/>
      <c r="U217" s="69"/>
      <c r="V217" s="69"/>
      <c r="W217" s="69"/>
      <c r="X217" s="69"/>
      <c r="Y217" s="69"/>
      <c r="Z217" s="69"/>
      <c r="AA217" s="69"/>
    </row>
    <row r="218" spans="8:27">
      <c r="H218" s="69"/>
      <c r="I218" s="69"/>
      <c r="J218" s="69"/>
      <c r="K218" s="69"/>
      <c r="L218" s="69"/>
      <c r="M218" s="69"/>
      <c r="N218" s="69"/>
      <c r="O218" s="69"/>
      <c r="P218" s="69"/>
      <c r="Q218" s="69"/>
      <c r="R218" s="69"/>
      <c r="S218" s="69"/>
      <c r="T218" s="69"/>
      <c r="U218" s="69"/>
      <c r="V218" s="69"/>
      <c r="W218" s="69"/>
      <c r="X218" s="69"/>
      <c r="Y218" s="69"/>
      <c r="Z218" s="69"/>
      <c r="AA218" s="69"/>
    </row>
    <row r="219" spans="8:27">
      <c r="H219" s="69"/>
      <c r="I219" s="69"/>
      <c r="J219" s="69"/>
      <c r="K219" s="69"/>
      <c r="L219" s="69"/>
      <c r="M219" s="69"/>
      <c r="N219" s="69"/>
      <c r="O219" s="69"/>
      <c r="P219" s="69"/>
      <c r="Q219" s="69"/>
      <c r="R219" s="69"/>
      <c r="S219" s="69"/>
      <c r="T219" s="69"/>
      <c r="U219" s="69"/>
      <c r="V219" s="69"/>
      <c r="W219" s="69"/>
      <c r="X219" s="69"/>
      <c r="Y219" s="69"/>
      <c r="Z219" s="69"/>
      <c r="AA219" s="69"/>
    </row>
    <row r="220" spans="8:27">
      <c r="H220" s="69"/>
      <c r="I220" s="69"/>
      <c r="J220" s="69"/>
      <c r="K220" s="69"/>
      <c r="L220" s="69"/>
      <c r="M220" s="69"/>
      <c r="N220" s="69"/>
      <c r="O220" s="69"/>
      <c r="P220" s="69"/>
      <c r="Q220" s="69"/>
      <c r="R220" s="69"/>
      <c r="S220" s="69"/>
      <c r="T220" s="69"/>
      <c r="U220" s="69"/>
      <c r="V220" s="69"/>
      <c r="W220" s="69"/>
      <c r="X220" s="69"/>
      <c r="Y220" s="69"/>
      <c r="Z220" s="69"/>
      <c r="AA220" s="69"/>
    </row>
    <row r="221" spans="8:27">
      <c r="H221" s="69"/>
      <c r="I221" s="69"/>
      <c r="J221" s="69"/>
      <c r="K221" s="69"/>
      <c r="L221" s="69"/>
      <c r="M221" s="69"/>
      <c r="N221" s="69"/>
      <c r="O221" s="69"/>
      <c r="P221" s="69"/>
      <c r="Q221" s="69"/>
      <c r="R221" s="69"/>
      <c r="S221" s="69"/>
      <c r="T221" s="69"/>
      <c r="U221" s="69"/>
      <c r="V221" s="69"/>
      <c r="W221" s="69"/>
      <c r="X221" s="69"/>
      <c r="Y221" s="69"/>
      <c r="Z221" s="69"/>
      <c r="AA221" s="69"/>
    </row>
    <row r="222" spans="8:27">
      <c r="H222" s="69"/>
      <c r="I222" s="69"/>
      <c r="J222" s="69"/>
      <c r="K222" s="69"/>
      <c r="L222" s="69"/>
      <c r="M222" s="69"/>
      <c r="N222" s="69"/>
      <c r="O222" s="69"/>
      <c r="P222" s="69"/>
      <c r="Q222" s="69"/>
      <c r="R222" s="69"/>
      <c r="S222" s="69"/>
      <c r="T222" s="69"/>
      <c r="U222" s="69"/>
      <c r="V222" s="69"/>
      <c r="W222" s="69"/>
      <c r="X222" s="69"/>
      <c r="Y222" s="69"/>
      <c r="Z222" s="69"/>
      <c r="AA222" s="69"/>
    </row>
    <row r="223" spans="8:27">
      <c r="H223" s="69"/>
      <c r="I223" s="69"/>
      <c r="J223" s="69"/>
      <c r="K223" s="69"/>
      <c r="L223" s="69"/>
      <c r="M223" s="69"/>
      <c r="N223" s="69"/>
      <c r="O223" s="69"/>
      <c r="P223" s="69"/>
      <c r="Q223" s="69"/>
      <c r="R223" s="69"/>
      <c r="S223" s="69"/>
      <c r="T223" s="69"/>
      <c r="U223" s="69"/>
      <c r="V223" s="69"/>
      <c r="W223" s="69"/>
      <c r="X223" s="69"/>
      <c r="Y223" s="69"/>
      <c r="Z223" s="69"/>
      <c r="AA223" s="69"/>
    </row>
    <row r="224" spans="8:27">
      <c r="H224" s="69"/>
      <c r="I224" s="69"/>
      <c r="J224" s="69"/>
      <c r="K224" s="69"/>
      <c r="L224" s="69"/>
      <c r="M224" s="69"/>
      <c r="N224" s="69"/>
      <c r="O224" s="69"/>
      <c r="P224" s="69"/>
      <c r="Q224" s="69"/>
      <c r="R224" s="69"/>
      <c r="S224" s="69"/>
      <c r="T224" s="69"/>
      <c r="U224" s="69"/>
      <c r="V224" s="69"/>
      <c r="W224" s="69"/>
      <c r="X224" s="69"/>
      <c r="Y224" s="69"/>
      <c r="Z224" s="69"/>
      <c r="AA224" s="69"/>
    </row>
    <row r="225" spans="8:27">
      <c r="H225" s="69"/>
      <c r="I225" s="69"/>
      <c r="J225" s="69"/>
      <c r="K225" s="69"/>
      <c r="L225" s="69"/>
      <c r="M225" s="69"/>
      <c r="N225" s="69"/>
      <c r="O225" s="69"/>
      <c r="P225" s="69"/>
      <c r="Q225" s="69"/>
      <c r="R225" s="69"/>
      <c r="S225" s="69"/>
      <c r="T225" s="69"/>
      <c r="U225" s="69"/>
      <c r="V225" s="69"/>
      <c r="W225" s="69"/>
      <c r="X225" s="69"/>
      <c r="Y225" s="69"/>
      <c r="Z225" s="69"/>
      <c r="AA225" s="69"/>
    </row>
    <row r="226" spans="8:27">
      <c r="H226" s="69"/>
      <c r="I226" s="69"/>
      <c r="J226" s="69"/>
      <c r="K226" s="69"/>
      <c r="L226" s="69"/>
      <c r="M226" s="69"/>
      <c r="N226" s="69"/>
      <c r="O226" s="69"/>
      <c r="P226" s="69"/>
      <c r="Q226" s="69"/>
      <c r="R226" s="69"/>
      <c r="S226" s="69"/>
      <c r="T226" s="69"/>
      <c r="U226" s="69"/>
      <c r="V226" s="69"/>
      <c r="W226" s="69"/>
      <c r="X226" s="69"/>
      <c r="Y226" s="69"/>
      <c r="Z226" s="69"/>
      <c r="AA226" s="69"/>
    </row>
    <row r="227" spans="8:27">
      <c r="H227" s="69"/>
      <c r="I227" s="69"/>
      <c r="J227" s="69"/>
      <c r="K227" s="69"/>
      <c r="L227" s="69"/>
      <c r="M227" s="69"/>
      <c r="N227" s="69"/>
      <c r="O227" s="69"/>
      <c r="P227" s="69"/>
      <c r="Q227" s="69"/>
      <c r="R227" s="69"/>
      <c r="S227" s="69"/>
      <c r="T227" s="69"/>
      <c r="U227" s="69"/>
      <c r="V227" s="69"/>
      <c r="W227" s="69"/>
      <c r="X227" s="69"/>
      <c r="Y227" s="69"/>
      <c r="Z227" s="69"/>
      <c r="AA227" s="69"/>
    </row>
    <row r="228" spans="8:27">
      <c r="H228" s="69"/>
      <c r="I228" s="69"/>
      <c r="J228" s="69"/>
      <c r="K228" s="69"/>
      <c r="L228" s="69"/>
      <c r="M228" s="69"/>
      <c r="N228" s="69"/>
      <c r="O228" s="69"/>
      <c r="P228" s="69"/>
      <c r="Q228" s="69"/>
      <c r="R228" s="69"/>
      <c r="S228" s="69"/>
      <c r="T228" s="69"/>
      <c r="U228" s="69"/>
      <c r="V228" s="69"/>
      <c r="W228" s="69"/>
      <c r="X228" s="69"/>
      <c r="Y228" s="69"/>
      <c r="Z228" s="69"/>
      <c r="AA228" s="69"/>
    </row>
    <row r="229" spans="8:27">
      <c r="H229" s="69"/>
      <c r="I229" s="69"/>
      <c r="J229" s="69"/>
      <c r="K229" s="69"/>
      <c r="L229" s="69"/>
      <c r="M229" s="69"/>
      <c r="N229" s="69"/>
      <c r="O229" s="69"/>
      <c r="P229" s="69"/>
      <c r="Q229" s="69"/>
      <c r="R229" s="69"/>
      <c r="S229" s="69"/>
      <c r="T229" s="69"/>
      <c r="U229" s="69"/>
      <c r="V229" s="69"/>
      <c r="W229" s="69"/>
      <c r="X229" s="69"/>
      <c r="Y229" s="69"/>
      <c r="Z229" s="69"/>
      <c r="AA229" s="69"/>
    </row>
    <row r="230" spans="8:27">
      <c r="H230" s="69"/>
      <c r="I230" s="69"/>
      <c r="J230" s="69"/>
      <c r="K230" s="69"/>
      <c r="L230" s="69"/>
      <c r="M230" s="69"/>
      <c r="N230" s="69"/>
      <c r="O230" s="69"/>
      <c r="P230" s="69"/>
      <c r="Q230" s="69"/>
      <c r="R230" s="69"/>
      <c r="S230" s="69"/>
      <c r="T230" s="69"/>
      <c r="U230" s="69"/>
      <c r="V230" s="69"/>
      <c r="W230" s="69"/>
      <c r="X230" s="69"/>
      <c r="Y230" s="69"/>
      <c r="Z230" s="69"/>
      <c r="AA230" s="69"/>
    </row>
    <row r="231" spans="8:27">
      <c r="H231" s="69"/>
      <c r="I231" s="69"/>
      <c r="J231" s="69"/>
      <c r="K231" s="69"/>
      <c r="L231" s="69"/>
      <c r="M231" s="69"/>
      <c r="N231" s="69"/>
      <c r="O231" s="69"/>
      <c r="P231" s="69"/>
      <c r="Q231" s="69"/>
      <c r="R231" s="69"/>
      <c r="S231" s="69"/>
      <c r="T231" s="69"/>
      <c r="U231" s="69"/>
      <c r="V231" s="69"/>
      <c r="W231" s="69"/>
      <c r="X231" s="69"/>
      <c r="Y231" s="69"/>
      <c r="Z231" s="69"/>
      <c r="AA231" s="69"/>
    </row>
    <row r="232" spans="8:27">
      <c r="H232" s="69"/>
      <c r="I232" s="69"/>
      <c r="J232" s="69"/>
      <c r="K232" s="69"/>
      <c r="L232" s="69"/>
      <c r="M232" s="69"/>
      <c r="N232" s="69"/>
      <c r="O232" s="69"/>
      <c r="P232" s="69"/>
      <c r="Q232" s="69"/>
      <c r="R232" s="69"/>
      <c r="S232" s="69"/>
      <c r="T232" s="69"/>
      <c r="U232" s="69"/>
      <c r="V232" s="69"/>
      <c r="W232" s="69"/>
      <c r="X232" s="69"/>
      <c r="Y232" s="69"/>
      <c r="Z232" s="69"/>
      <c r="AA232" s="69"/>
    </row>
    <row r="233" spans="8:27">
      <c r="H233" s="69"/>
      <c r="I233" s="69"/>
      <c r="J233" s="69"/>
      <c r="K233" s="69"/>
      <c r="L233" s="69"/>
      <c r="M233" s="69"/>
      <c r="N233" s="69"/>
      <c r="O233" s="69"/>
      <c r="P233" s="69"/>
      <c r="Q233" s="69"/>
      <c r="R233" s="69"/>
      <c r="S233" s="69"/>
      <c r="T233" s="69"/>
      <c r="U233" s="69"/>
      <c r="V233" s="69"/>
      <c r="W233" s="69"/>
      <c r="X233" s="69"/>
      <c r="Y233" s="69"/>
      <c r="Z233" s="69"/>
      <c r="AA233" s="69"/>
    </row>
    <row r="234" spans="8:27">
      <c r="H234" s="69"/>
      <c r="I234" s="69"/>
      <c r="J234" s="69"/>
      <c r="K234" s="69"/>
      <c r="L234" s="69"/>
      <c r="M234" s="69"/>
      <c r="N234" s="69"/>
      <c r="O234" s="69"/>
      <c r="P234" s="69"/>
      <c r="Q234" s="69"/>
      <c r="R234" s="69"/>
      <c r="S234" s="69"/>
      <c r="T234" s="69"/>
      <c r="U234" s="69"/>
      <c r="V234" s="69"/>
      <c r="W234" s="69"/>
      <c r="X234" s="69"/>
      <c r="Y234" s="69"/>
      <c r="Z234" s="69"/>
      <c r="AA234" s="69"/>
    </row>
    <row r="235" spans="8:27">
      <c r="H235" s="69"/>
      <c r="I235" s="69"/>
      <c r="J235" s="69"/>
      <c r="K235" s="69"/>
      <c r="L235" s="69"/>
      <c r="M235" s="69"/>
      <c r="N235" s="69"/>
      <c r="O235" s="69"/>
      <c r="P235" s="69"/>
      <c r="Q235" s="69"/>
      <c r="R235" s="69"/>
      <c r="S235" s="69"/>
      <c r="T235" s="69"/>
      <c r="U235" s="69"/>
      <c r="V235" s="69"/>
      <c r="W235" s="69"/>
      <c r="X235" s="69"/>
      <c r="Y235" s="69"/>
      <c r="Z235" s="69"/>
      <c r="AA235" s="69"/>
    </row>
    <row r="236" spans="8:27">
      <c r="H236" s="69"/>
      <c r="I236" s="69"/>
      <c r="J236" s="69"/>
      <c r="K236" s="69"/>
      <c r="L236" s="69"/>
      <c r="M236" s="69"/>
      <c r="N236" s="69"/>
      <c r="O236" s="69"/>
      <c r="P236" s="69"/>
      <c r="Q236" s="69"/>
      <c r="R236" s="69"/>
      <c r="S236" s="69"/>
      <c r="T236" s="69"/>
      <c r="U236" s="69"/>
      <c r="V236" s="69"/>
      <c r="W236" s="69"/>
      <c r="X236" s="69"/>
      <c r="Y236" s="69"/>
      <c r="Z236" s="69"/>
      <c r="AA236" s="69"/>
    </row>
    <row r="237" spans="8:27">
      <c r="H237" s="69"/>
      <c r="I237" s="69"/>
      <c r="J237" s="69"/>
      <c r="K237" s="69"/>
      <c r="L237" s="69"/>
      <c r="M237" s="69"/>
      <c r="N237" s="69"/>
      <c r="O237" s="69"/>
      <c r="P237" s="69"/>
      <c r="Q237" s="69"/>
      <c r="R237" s="69"/>
      <c r="S237" s="69"/>
      <c r="T237" s="69"/>
      <c r="U237" s="69"/>
      <c r="V237" s="69"/>
      <c r="W237" s="69"/>
      <c r="X237" s="69"/>
      <c r="Y237" s="69"/>
      <c r="Z237" s="69"/>
      <c r="AA237" s="69"/>
    </row>
    <row r="238" spans="8:27">
      <c r="H238" s="69"/>
      <c r="I238" s="69"/>
      <c r="J238" s="69"/>
      <c r="K238" s="69"/>
      <c r="L238" s="69"/>
      <c r="M238" s="69"/>
      <c r="N238" s="69"/>
      <c r="O238" s="69"/>
      <c r="P238" s="69"/>
      <c r="Q238" s="69"/>
      <c r="R238" s="69"/>
      <c r="S238" s="69"/>
      <c r="T238" s="69"/>
      <c r="U238" s="69"/>
      <c r="V238" s="69"/>
      <c r="W238" s="69"/>
      <c r="X238" s="69"/>
      <c r="Y238" s="69"/>
      <c r="Z238" s="69"/>
      <c r="AA238" s="69"/>
    </row>
    <row r="239" spans="8:27">
      <c r="H239" s="69"/>
      <c r="I239" s="69"/>
      <c r="J239" s="69"/>
      <c r="K239" s="69"/>
      <c r="L239" s="69"/>
      <c r="M239" s="69"/>
      <c r="N239" s="69"/>
      <c r="O239" s="69"/>
      <c r="P239" s="69"/>
      <c r="Q239" s="69"/>
      <c r="R239" s="69"/>
      <c r="S239" s="69"/>
      <c r="T239" s="69"/>
      <c r="U239" s="69"/>
      <c r="V239" s="69"/>
      <c r="W239" s="69"/>
      <c r="X239" s="69"/>
      <c r="Y239" s="69"/>
      <c r="Z239" s="69"/>
      <c r="AA239" s="69"/>
    </row>
    <row r="240" spans="8:27">
      <c r="H240" s="69"/>
      <c r="I240" s="69"/>
      <c r="J240" s="69"/>
      <c r="K240" s="69"/>
      <c r="L240" s="69"/>
      <c r="M240" s="69"/>
      <c r="N240" s="69"/>
      <c r="O240" s="69"/>
      <c r="P240" s="69"/>
      <c r="Q240" s="69"/>
      <c r="R240" s="69"/>
      <c r="S240" s="69"/>
      <c r="T240" s="69"/>
      <c r="U240" s="69"/>
      <c r="V240" s="69"/>
      <c r="W240" s="69"/>
      <c r="X240" s="69"/>
      <c r="Y240" s="69"/>
      <c r="Z240" s="69"/>
      <c r="AA240" s="69"/>
    </row>
    <row r="241" spans="8:27">
      <c r="H241" s="69"/>
      <c r="I241" s="69"/>
      <c r="J241" s="69"/>
      <c r="K241" s="69"/>
      <c r="L241" s="69"/>
      <c r="M241" s="69"/>
      <c r="N241" s="69"/>
      <c r="O241" s="69"/>
      <c r="P241" s="69"/>
      <c r="Q241" s="69"/>
      <c r="R241" s="69"/>
      <c r="S241" s="69"/>
      <c r="T241" s="69"/>
      <c r="U241" s="69"/>
      <c r="V241" s="69"/>
      <c r="W241" s="69"/>
      <c r="X241" s="69"/>
      <c r="Y241" s="69"/>
      <c r="Z241" s="69"/>
      <c r="AA241" s="69"/>
    </row>
    <row r="242" spans="8:27">
      <c r="H242" s="69"/>
      <c r="I242" s="69"/>
      <c r="J242" s="69"/>
      <c r="K242" s="69"/>
      <c r="L242" s="69"/>
      <c r="M242" s="69"/>
      <c r="N242" s="69"/>
      <c r="O242" s="69"/>
      <c r="P242" s="69"/>
      <c r="Q242" s="69"/>
      <c r="R242" s="69"/>
      <c r="S242" s="69"/>
      <c r="T242" s="69"/>
      <c r="U242" s="69"/>
      <c r="V242" s="69"/>
      <c r="W242" s="69"/>
      <c r="X242" s="69"/>
      <c r="Y242" s="69"/>
      <c r="Z242" s="69"/>
      <c r="AA242" s="69"/>
    </row>
    <row r="243" spans="8:27">
      <c r="H243" s="69"/>
      <c r="I243" s="69"/>
      <c r="J243" s="69"/>
      <c r="K243" s="69"/>
      <c r="L243" s="69"/>
      <c r="M243" s="69"/>
      <c r="N243" s="69"/>
      <c r="O243" s="69"/>
      <c r="P243" s="69"/>
      <c r="Q243" s="69"/>
      <c r="R243" s="69"/>
      <c r="S243" s="69"/>
      <c r="T243" s="69"/>
      <c r="U243" s="69"/>
      <c r="V243" s="69"/>
      <c r="W243" s="69"/>
      <c r="X243" s="69"/>
      <c r="Y243" s="69"/>
      <c r="Z243" s="69"/>
      <c r="AA243" s="69"/>
    </row>
    <row r="244" spans="8:27">
      <c r="H244" s="69"/>
      <c r="I244" s="69"/>
      <c r="J244" s="69"/>
      <c r="K244" s="69"/>
      <c r="L244" s="69"/>
      <c r="M244" s="69"/>
      <c r="N244" s="69"/>
      <c r="O244" s="69"/>
      <c r="P244" s="69"/>
      <c r="Q244" s="69"/>
      <c r="R244" s="69"/>
      <c r="S244" s="69"/>
      <c r="T244" s="69"/>
      <c r="U244" s="69"/>
      <c r="V244" s="69"/>
      <c r="W244" s="69"/>
      <c r="X244" s="69"/>
      <c r="Y244" s="69"/>
      <c r="Z244" s="69"/>
      <c r="AA244" s="69"/>
    </row>
    <row r="245" spans="8:27">
      <c r="H245" s="69"/>
      <c r="I245" s="69"/>
      <c r="J245" s="69"/>
      <c r="K245" s="69"/>
      <c r="L245" s="69"/>
      <c r="M245" s="69"/>
      <c r="N245" s="69"/>
      <c r="O245" s="69"/>
      <c r="P245" s="69"/>
      <c r="Q245" s="69"/>
      <c r="R245" s="69"/>
      <c r="S245" s="69"/>
      <c r="T245" s="69"/>
      <c r="U245" s="69"/>
      <c r="V245" s="69"/>
      <c r="W245" s="69"/>
      <c r="X245" s="69"/>
      <c r="Y245" s="69"/>
      <c r="Z245" s="69"/>
      <c r="AA245" s="69"/>
    </row>
    <row r="246" spans="8:27">
      <c r="H246" s="69"/>
      <c r="I246" s="69"/>
      <c r="J246" s="69"/>
      <c r="K246" s="69"/>
      <c r="L246" s="69"/>
      <c r="M246" s="69"/>
      <c r="N246" s="69"/>
      <c r="O246" s="69"/>
      <c r="P246" s="69"/>
      <c r="Q246" s="69"/>
      <c r="R246" s="69"/>
      <c r="S246" s="69"/>
      <c r="T246" s="69"/>
      <c r="U246" s="69"/>
      <c r="V246" s="69"/>
      <c r="W246" s="69"/>
      <c r="X246" s="69"/>
      <c r="Y246" s="69"/>
      <c r="Z246" s="69"/>
      <c r="AA246" s="69"/>
    </row>
    <row r="247" spans="8:27">
      <c r="H247" s="69"/>
      <c r="I247" s="69"/>
      <c r="J247" s="69"/>
      <c r="K247" s="69"/>
      <c r="L247" s="69"/>
      <c r="M247" s="69"/>
      <c r="N247" s="69"/>
      <c r="O247" s="69"/>
      <c r="P247" s="69"/>
      <c r="Q247" s="69"/>
      <c r="R247" s="69"/>
      <c r="S247" s="69"/>
      <c r="T247" s="69"/>
      <c r="U247" s="69"/>
      <c r="V247" s="69"/>
      <c r="W247" s="69"/>
      <c r="X247" s="69"/>
      <c r="Y247" s="69"/>
      <c r="Z247" s="69"/>
      <c r="AA247" s="69"/>
    </row>
    <row r="248" spans="8:27">
      <c r="H248" s="69"/>
      <c r="I248" s="69"/>
      <c r="J248" s="69"/>
      <c r="K248" s="69"/>
      <c r="L248" s="69"/>
      <c r="M248" s="69"/>
      <c r="N248" s="69"/>
      <c r="O248" s="69"/>
      <c r="P248" s="69"/>
      <c r="Q248" s="69"/>
      <c r="R248" s="69"/>
      <c r="S248" s="69"/>
      <c r="T248" s="69"/>
      <c r="U248" s="69"/>
      <c r="V248" s="69"/>
      <c r="W248" s="69"/>
      <c r="X248" s="69"/>
      <c r="Y248" s="69"/>
      <c r="Z248" s="69"/>
      <c r="AA248" s="69"/>
    </row>
    <row r="249" spans="8:27">
      <c r="H249" s="69"/>
      <c r="I249" s="69"/>
      <c r="J249" s="69"/>
      <c r="K249" s="69"/>
      <c r="L249" s="69"/>
      <c r="M249" s="69"/>
      <c r="N249" s="69"/>
      <c r="O249" s="69"/>
      <c r="P249" s="69"/>
      <c r="Q249" s="69"/>
      <c r="R249" s="69"/>
      <c r="S249" s="69"/>
      <c r="T249" s="69"/>
      <c r="U249" s="69"/>
      <c r="V249" s="69"/>
      <c r="W249" s="69"/>
      <c r="X249" s="69"/>
      <c r="Y249" s="69"/>
      <c r="Z249" s="69"/>
      <c r="AA249" s="69"/>
    </row>
    <row r="250" spans="8:27">
      <c r="H250" s="69"/>
      <c r="I250" s="69"/>
      <c r="J250" s="69"/>
      <c r="K250" s="69"/>
      <c r="L250" s="69"/>
      <c r="M250" s="69"/>
      <c r="N250" s="69"/>
      <c r="O250" s="69"/>
      <c r="P250" s="69"/>
      <c r="Q250" s="69"/>
      <c r="R250" s="69"/>
      <c r="S250" s="69"/>
      <c r="T250" s="69"/>
      <c r="U250" s="69"/>
      <c r="V250" s="69"/>
      <c r="W250" s="69"/>
      <c r="X250" s="69"/>
      <c r="Y250" s="69"/>
      <c r="Z250" s="69"/>
      <c r="AA250" s="69"/>
    </row>
    <row r="251" spans="8:27">
      <c r="H251" s="69"/>
      <c r="I251" s="69"/>
      <c r="J251" s="69"/>
      <c r="K251" s="69"/>
      <c r="L251" s="69"/>
      <c r="M251" s="69"/>
      <c r="N251" s="69"/>
      <c r="O251" s="69"/>
      <c r="P251" s="69"/>
      <c r="Q251" s="69"/>
      <c r="R251" s="69"/>
      <c r="S251" s="69"/>
      <c r="T251" s="69"/>
      <c r="U251" s="69"/>
      <c r="V251" s="69"/>
      <c r="W251" s="69"/>
      <c r="X251" s="69"/>
      <c r="Y251" s="69"/>
      <c r="Z251" s="69"/>
      <c r="AA251" s="69"/>
    </row>
    <row r="252" spans="8:27">
      <c r="H252" s="69"/>
      <c r="I252" s="69"/>
      <c r="J252" s="69"/>
      <c r="K252" s="69"/>
      <c r="L252" s="69"/>
      <c r="M252" s="69"/>
      <c r="N252" s="69"/>
      <c r="O252" s="69"/>
      <c r="P252" s="69"/>
      <c r="Q252" s="69"/>
      <c r="R252" s="69"/>
      <c r="S252" s="69"/>
      <c r="T252" s="69"/>
      <c r="U252" s="69"/>
      <c r="V252" s="69"/>
      <c r="W252" s="69"/>
      <c r="X252" s="69"/>
      <c r="Y252" s="69"/>
      <c r="Z252" s="69"/>
      <c r="AA252" s="69"/>
    </row>
    <row r="253" spans="8:27">
      <c r="H253" s="69"/>
      <c r="I253" s="69"/>
      <c r="J253" s="69"/>
      <c r="K253" s="69"/>
      <c r="L253" s="69"/>
      <c r="M253" s="69"/>
      <c r="N253" s="69"/>
      <c r="O253" s="69"/>
      <c r="P253" s="69"/>
      <c r="Q253" s="69"/>
      <c r="R253" s="69"/>
      <c r="S253" s="69"/>
      <c r="T253" s="69"/>
      <c r="U253" s="69"/>
      <c r="V253" s="69"/>
      <c r="W253" s="69"/>
      <c r="X253" s="69"/>
      <c r="Y253" s="69"/>
      <c r="Z253" s="69"/>
      <c r="AA253" s="69"/>
    </row>
    <row r="254" spans="8:27">
      <c r="H254" s="69"/>
      <c r="I254" s="69"/>
      <c r="J254" s="69"/>
      <c r="K254" s="69"/>
      <c r="L254" s="69"/>
      <c r="M254" s="69"/>
      <c r="N254" s="69"/>
      <c r="O254" s="69"/>
      <c r="P254" s="69"/>
      <c r="Q254" s="69"/>
      <c r="R254" s="69"/>
      <c r="S254" s="69"/>
      <c r="T254" s="69"/>
      <c r="U254" s="69"/>
      <c r="V254" s="69"/>
      <c r="W254" s="69"/>
      <c r="X254" s="69"/>
      <c r="Y254" s="69"/>
      <c r="Z254" s="69"/>
      <c r="AA254" s="69"/>
    </row>
    <row r="255" spans="8:27">
      <c r="H255" s="69"/>
      <c r="I255" s="69"/>
      <c r="J255" s="69"/>
      <c r="K255" s="69"/>
      <c r="L255" s="69"/>
      <c r="M255" s="69"/>
      <c r="N255" s="69"/>
      <c r="O255" s="69"/>
      <c r="P255" s="69"/>
      <c r="Q255" s="69"/>
      <c r="R255" s="69"/>
      <c r="S255" s="69"/>
      <c r="T255" s="69"/>
      <c r="U255" s="69"/>
      <c r="V255" s="69"/>
      <c r="W255" s="69"/>
      <c r="X255" s="69"/>
      <c r="Y255" s="69"/>
      <c r="Z255" s="69"/>
      <c r="AA255" s="69"/>
    </row>
    <row r="256" spans="8:27">
      <c r="H256" s="69"/>
      <c r="I256" s="69"/>
      <c r="J256" s="69"/>
      <c r="K256" s="69"/>
      <c r="L256" s="69"/>
      <c r="M256" s="69"/>
      <c r="N256" s="69"/>
      <c r="O256" s="69"/>
      <c r="P256" s="69"/>
      <c r="Q256" s="69"/>
      <c r="R256" s="69"/>
      <c r="S256" s="69"/>
      <c r="T256" s="69"/>
      <c r="U256" s="69"/>
      <c r="V256" s="69"/>
      <c r="W256" s="69"/>
      <c r="X256" s="69"/>
      <c r="Y256" s="69"/>
      <c r="Z256" s="69"/>
      <c r="AA256" s="69"/>
    </row>
    <row r="257" spans="8:27">
      <c r="H257" s="69"/>
      <c r="I257" s="69"/>
      <c r="J257" s="69"/>
      <c r="K257" s="69"/>
      <c r="L257" s="69"/>
      <c r="M257" s="69"/>
      <c r="N257" s="69"/>
      <c r="O257" s="69"/>
      <c r="P257" s="69"/>
      <c r="Q257" s="69"/>
      <c r="R257" s="69"/>
      <c r="S257" s="69"/>
      <c r="T257" s="69"/>
      <c r="U257" s="69"/>
      <c r="V257" s="69"/>
      <c r="W257" s="69"/>
      <c r="X257" s="69"/>
      <c r="Y257" s="69"/>
      <c r="Z257" s="69"/>
      <c r="AA257" s="69"/>
    </row>
    <row r="258" spans="8:27">
      <c r="H258" s="69"/>
      <c r="I258" s="69"/>
      <c r="J258" s="69"/>
      <c r="K258" s="69"/>
      <c r="L258" s="69"/>
      <c r="M258" s="69"/>
      <c r="N258" s="69"/>
      <c r="O258" s="69"/>
      <c r="P258" s="69"/>
      <c r="Q258" s="69"/>
      <c r="R258" s="69"/>
      <c r="S258" s="69"/>
      <c r="T258" s="69"/>
      <c r="U258" s="69"/>
      <c r="V258" s="69"/>
      <c r="W258" s="69"/>
      <c r="X258" s="69"/>
      <c r="Y258" s="69"/>
      <c r="Z258" s="69"/>
      <c r="AA258" s="69"/>
    </row>
    <row r="259" spans="8:27">
      <c r="H259" s="69"/>
      <c r="I259" s="69"/>
      <c r="J259" s="69"/>
      <c r="K259" s="69"/>
      <c r="L259" s="69"/>
      <c r="M259" s="69"/>
      <c r="N259" s="69"/>
      <c r="O259" s="69"/>
      <c r="P259" s="69"/>
      <c r="Q259" s="69"/>
      <c r="R259" s="69"/>
      <c r="S259" s="69"/>
      <c r="T259" s="69"/>
      <c r="U259" s="69"/>
      <c r="V259" s="69"/>
      <c r="W259" s="69"/>
      <c r="X259" s="69"/>
      <c r="Y259" s="69"/>
      <c r="Z259" s="69"/>
      <c r="AA259" s="69"/>
    </row>
    <row r="260" spans="8:27">
      <c r="H260" s="69"/>
      <c r="I260" s="69"/>
      <c r="J260" s="69"/>
      <c r="K260" s="69"/>
      <c r="L260" s="69"/>
      <c r="M260" s="69"/>
      <c r="N260" s="69"/>
      <c r="O260" s="69"/>
      <c r="P260" s="69"/>
      <c r="Q260" s="69"/>
      <c r="R260" s="69"/>
      <c r="S260" s="69"/>
      <c r="T260" s="69"/>
      <c r="U260" s="69"/>
      <c r="V260" s="69"/>
      <c r="W260" s="69"/>
      <c r="X260" s="69"/>
      <c r="Y260" s="69"/>
      <c r="Z260" s="69"/>
      <c r="AA260" s="69"/>
    </row>
    <row r="261" spans="8:27">
      <c r="H261" s="69"/>
      <c r="I261" s="69"/>
      <c r="J261" s="69"/>
      <c r="K261" s="69"/>
      <c r="L261" s="69"/>
      <c r="M261" s="69"/>
      <c r="N261" s="69"/>
      <c r="O261" s="69"/>
      <c r="P261" s="69"/>
      <c r="Q261" s="69"/>
      <c r="R261" s="69"/>
      <c r="S261" s="69"/>
      <c r="T261" s="69"/>
      <c r="U261" s="69"/>
      <c r="V261" s="69"/>
      <c r="W261" s="69"/>
      <c r="X261" s="69"/>
      <c r="Y261" s="69"/>
      <c r="Z261" s="69"/>
      <c r="AA261" s="69"/>
    </row>
    <row r="262" spans="8:27">
      <c r="H262" s="69"/>
      <c r="I262" s="69"/>
      <c r="J262" s="69"/>
      <c r="K262" s="69"/>
      <c r="L262" s="69"/>
      <c r="M262" s="69"/>
      <c r="N262" s="69"/>
      <c r="O262" s="69"/>
      <c r="P262" s="69"/>
      <c r="Q262" s="69"/>
      <c r="R262" s="69"/>
      <c r="S262" s="69"/>
      <c r="T262" s="69"/>
      <c r="U262" s="69"/>
      <c r="V262" s="69"/>
      <c r="W262" s="69"/>
      <c r="X262" s="69"/>
      <c r="Y262" s="69"/>
      <c r="Z262" s="69"/>
      <c r="AA262" s="69"/>
    </row>
    <row r="263" spans="8:27">
      <c r="H263" s="69"/>
      <c r="I263" s="69"/>
      <c r="J263" s="69"/>
      <c r="K263" s="69"/>
      <c r="L263" s="69"/>
      <c r="M263" s="69"/>
      <c r="N263" s="69"/>
      <c r="O263" s="69"/>
      <c r="P263" s="69"/>
      <c r="Q263" s="69"/>
      <c r="R263" s="69"/>
      <c r="S263" s="69"/>
      <c r="T263" s="69"/>
      <c r="U263" s="69"/>
      <c r="V263" s="69"/>
      <c r="W263" s="69"/>
      <c r="X263" s="69"/>
      <c r="Y263" s="69"/>
      <c r="Z263" s="69"/>
      <c r="AA263" s="69"/>
    </row>
    <row r="264" spans="8:27">
      <c r="H264" s="69"/>
      <c r="I264" s="69"/>
      <c r="J264" s="69"/>
      <c r="K264" s="69"/>
      <c r="L264" s="69"/>
      <c r="M264" s="69"/>
      <c r="N264" s="69"/>
      <c r="O264" s="69"/>
      <c r="P264" s="69"/>
      <c r="Q264" s="69"/>
      <c r="R264" s="69"/>
      <c r="S264" s="69"/>
      <c r="T264" s="69"/>
      <c r="U264" s="69"/>
      <c r="V264" s="69"/>
      <c r="W264" s="69"/>
      <c r="X264" s="69"/>
      <c r="Y264" s="69"/>
      <c r="Z264" s="69"/>
      <c r="AA264" s="69"/>
    </row>
    <row r="265" spans="8:27">
      <c r="H265" s="69"/>
      <c r="I265" s="69"/>
      <c r="J265" s="69"/>
      <c r="K265" s="69"/>
      <c r="L265" s="69"/>
      <c r="M265" s="69"/>
      <c r="N265" s="69"/>
      <c r="O265" s="69"/>
      <c r="P265" s="69"/>
      <c r="Q265" s="69"/>
      <c r="R265" s="69"/>
      <c r="S265" s="69"/>
      <c r="T265" s="69"/>
      <c r="U265" s="69"/>
      <c r="V265" s="69"/>
      <c r="W265" s="69"/>
      <c r="X265" s="69"/>
      <c r="Y265" s="69"/>
      <c r="Z265" s="69"/>
      <c r="AA265" s="69"/>
    </row>
    <row r="266" spans="8:27">
      <c r="H266" s="69"/>
      <c r="I266" s="69"/>
      <c r="J266" s="69"/>
      <c r="K266" s="69"/>
      <c r="L266" s="69"/>
      <c r="M266" s="69"/>
      <c r="N266" s="69"/>
      <c r="O266" s="69"/>
      <c r="P266" s="69"/>
      <c r="Q266" s="69"/>
      <c r="R266" s="69"/>
      <c r="S266" s="69"/>
      <c r="T266" s="69"/>
      <c r="U266" s="69"/>
      <c r="V266" s="69"/>
      <c r="W266" s="69"/>
      <c r="X266" s="69"/>
      <c r="Y266" s="69"/>
      <c r="Z266" s="69"/>
      <c r="AA266" s="69"/>
    </row>
    <row r="267" spans="8:27">
      <c r="H267" s="69"/>
      <c r="I267" s="69"/>
      <c r="J267" s="69"/>
      <c r="K267" s="69"/>
      <c r="L267" s="69"/>
      <c r="M267" s="69"/>
      <c r="N267" s="69"/>
      <c r="O267" s="69"/>
      <c r="P267" s="69"/>
      <c r="Q267" s="69"/>
      <c r="R267" s="69"/>
      <c r="S267" s="69"/>
      <c r="T267" s="69"/>
      <c r="U267" s="69"/>
      <c r="V267" s="69"/>
      <c r="W267" s="69"/>
      <c r="X267" s="69"/>
      <c r="Y267" s="69"/>
      <c r="Z267" s="69"/>
      <c r="AA267" s="69"/>
    </row>
    <row r="268" spans="8:27">
      <c r="H268" s="69"/>
      <c r="I268" s="69"/>
      <c r="J268" s="69"/>
      <c r="K268" s="69"/>
      <c r="L268" s="69"/>
      <c r="M268" s="69"/>
      <c r="N268" s="69"/>
      <c r="O268" s="69"/>
      <c r="P268" s="69"/>
      <c r="Q268" s="69"/>
      <c r="R268" s="69"/>
      <c r="S268" s="69"/>
      <c r="T268" s="69"/>
      <c r="U268" s="69"/>
      <c r="V268" s="69"/>
      <c r="W268" s="69"/>
      <c r="X268" s="69"/>
      <c r="Y268" s="69"/>
      <c r="Z268" s="69"/>
      <c r="AA268" s="69"/>
    </row>
    <row r="269" spans="8:27">
      <c r="H269" s="69"/>
      <c r="I269" s="69"/>
      <c r="J269" s="69"/>
      <c r="K269" s="69"/>
      <c r="L269" s="69"/>
      <c r="M269" s="69"/>
      <c r="N269" s="69"/>
      <c r="O269" s="69"/>
      <c r="P269" s="69"/>
      <c r="Q269" s="69"/>
      <c r="R269" s="69"/>
      <c r="S269" s="69"/>
      <c r="T269" s="69"/>
      <c r="U269" s="69"/>
      <c r="V269" s="69"/>
      <c r="W269" s="69"/>
      <c r="X269" s="69"/>
      <c r="Y269" s="69"/>
      <c r="Z269" s="69"/>
      <c r="AA269" s="69"/>
    </row>
    <row r="270" spans="8:27">
      <c r="H270" s="69"/>
      <c r="I270" s="69"/>
      <c r="J270" s="69"/>
      <c r="K270" s="69"/>
      <c r="L270" s="69"/>
      <c r="M270" s="69"/>
      <c r="N270" s="69"/>
      <c r="O270" s="69"/>
      <c r="P270" s="69"/>
      <c r="Q270" s="69"/>
      <c r="R270" s="69"/>
      <c r="S270" s="69"/>
      <c r="T270" s="69"/>
      <c r="U270" s="69"/>
      <c r="V270" s="69"/>
      <c r="W270" s="69"/>
      <c r="X270" s="69"/>
      <c r="Y270" s="69"/>
      <c r="Z270" s="69"/>
      <c r="AA270" s="69"/>
    </row>
    <row r="271" spans="8:27">
      <c r="H271" s="69"/>
      <c r="I271" s="69"/>
      <c r="J271" s="69"/>
      <c r="K271" s="69"/>
      <c r="L271" s="69"/>
      <c r="M271" s="69"/>
      <c r="N271" s="69"/>
      <c r="O271" s="69"/>
      <c r="P271" s="69"/>
      <c r="Q271" s="69"/>
      <c r="R271" s="69"/>
      <c r="S271" s="69"/>
      <c r="T271" s="69"/>
      <c r="U271" s="69"/>
      <c r="V271" s="69"/>
      <c r="W271" s="69"/>
      <c r="X271" s="69"/>
      <c r="Y271" s="69"/>
      <c r="Z271" s="69"/>
      <c r="AA271" s="69"/>
    </row>
    <row r="272" spans="8:27">
      <c r="H272" s="69"/>
      <c r="I272" s="69"/>
      <c r="J272" s="69"/>
      <c r="K272" s="69"/>
      <c r="L272" s="69"/>
      <c r="M272" s="69"/>
      <c r="N272" s="69"/>
      <c r="O272" s="69"/>
      <c r="P272" s="69"/>
      <c r="Q272" s="69"/>
      <c r="R272" s="69"/>
      <c r="S272" s="69"/>
      <c r="T272" s="69"/>
      <c r="U272" s="69"/>
      <c r="V272" s="69"/>
      <c r="W272" s="69"/>
      <c r="X272" s="69"/>
      <c r="Y272" s="69"/>
      <c r="Z272" s="69"/>
      <c r="AA272" s="69"/>
    </row>
    <row r="273" spans="8:27">
      <c r="H273" s="69"/>
      <c r="I273" s="69"/>
      <c r="J273" s="69"/>
      <c r="K273" s="69"/>
      <c r="L273" s="69"/>
      <c r="M273" s="69"/>
      <c r="N273" s="69"/>
      <c r="O273" s="69"/>
      <c r="P273" s="69"/>
      <c r="Q273" s="69"/>
      <c r="R273" s="69"/>
      <c r="S273" s="69"/>
      <c r="T273" s="69"/>
      <c r="U273" s="69"/>
      <c r="V273" s="69"/>
      <c r="W273" s="69"/>
      <c r="X273" s="69"/>
      <c r="Y273" s="69"/>
      <c r="Z273" s="69"/>
      <c r="AA273" s="69"/>
    </row>
    <row r="274" spans="8:27">
      <c r="H274" s="69"/>
      <c r="I274" s="69"/>
      <c r="J274" s="69"/>
      <c r="K274" s="69"/>
      <c r="L274" s="69"/>
      <c r="M274" s="69"/>
      <c r="N274" s="69"/>
      <c r="O274" s="69"/>
      <c r="P274" s="69"/>
      <c r="Q274" s="69"/>
      <c r="R274" s="69"/>
      <c r="S274" s="69"/>
      <c r="T274" s="69"/>
      <c r="U274" s="69"/>
      <c r="V274" s="69"/>
      <c r="W274" s="69"/>
      <c r="X274" s="69"/>
      <c r="Y274" s="69"/>
      <c r="Z274" s="69"/>
      <c r="AA274" s="69"/>
    </row>
    <row r="275" spans="8:27">
      <c r="H275" s="69"/>
      <c r="I275" s="69"/>
      <c r="J275" s="69"/>
      <c r="K275" s="69"/>
      <c r="L275" s="69"/>
      <c r="M275" s="69"/>
      <c r="N275" s="69"/>
      <c r="O275" s="69"/>
      <c r="P275" s="69"/>
      <c r="Q275" s="69"/>
      <c r="R275" s="69"/>
      <c r="S275" s="69"/>
      <c r="T275" s="69"/>
      <c r="U275" s="69"/>
      <c r="V275" s="69"/>
      <c r="W275" s="69"/>
      <c r="X275" s="69"/>
      <c r="Y275" s="69"/>
      <c r="Z275" s="69"/>
      <c r="AA275" s="69"/>
    </row>
    <row r="276" spans="8:27">
      <c r="H276" s="69"/>
      <c r="I276" s="69"/>
      <c r="J276" s="69"/>
      <c r="K276" s="69"/>
      <c r="L276" s="69"/>
      <c r="M276" s="69"/>
      <c r="N276" s="69"/>
      <c r="O276" s="69"/>
      <c r="P276" s="69"/>
      <c r="Q276" s="69"/>
      <c r="R276" s="69"/>
      <c r="S276" s="69"/>
      <c r="T276" s="69"/>
      <c r="U276" s="69"/>
      <c r="V276" s="69"/>
      <c r="W276" s="69"/>
      <c r="X276" s="69"/>
      <c r="Y276" s="69"/>
      <c r="Z276" s="69"/>
      <c r="AA276" s="69"/>
    </row>
    <row r="277" spans="8:27">
      <c r="H277" s="69"/>
      <c r="I277" s="69"/>
      <c r="J277" s="69"/>
      <c r="K277" s="69"/>
      <c r="L277" s="69"/>
      <c r="M277" s="69"/>
      <c r="N277" s="69"/>
      <c r="O277" s="69"/>
      <c r="P277" s="69"/>
      <c r="Q277" s="69"/>
      <c r="R277" s="69"/>
      <c r="S277" s="69"/>
      <c r="T277" s="69"/>
      <c r="U277" s="69"/>
      <c r="V277" s="69"/>
      <c r="W277" s="69"/>
      <c r="X277" s="69"/>
      <c r="Y277" s="69"/>
      <c r="Z277" s="69"/>
      <c r="AA277" s="69"/>
    </row>
    <row r="278" spans="8:27">
      <c r="H278" s="69"/>
      <c r="I278" s="69"/>
      <c r="J278" s="69"/>
      <c r="K278" s="69"/>
      <c r="L278" s="69"/>
      <c r="M278" s="69"/>
      <c r="N278" s="69"/>
      <c r="O278" s="69"/>
      <c r="P278" s="69"/>
      <c r="Q278" s="69"/>
      <c r="R278" s="69"/>
      <c r="S278" s="69"/>
      <c r="T278" s="69"/>
      <c r="U278" s="69"/>
      <c r="V278" s="69"/>
      <c r="W278" s="69"/>
      <c r="X278" s="69"/>
      <c r="Y278" s="69"/>
      <c r="Z278" s="69"/>
      <c r="AA278" s="69"/>
    </row>
    <row r="279" spans="8:27">
      <c r="H279" s="69"/>
      <c r="I279" s="69"/>
      <c r="J279" s="69"/>
      <c r="K279" s="69"/>
      <c r="L279" s="69"/>
      <c r="M279" s="69"/>
      <c r="N279" s="69"/>
      <c r="O279" s="69"/>
      <c r="P279" s="69"/>
      <c r="Q279" s="69"/>
      <c r="R279" s="69"/>
      <c r="S279" s="69"/>
      <c r="T279" s="69"/>
      <c r="U279" s="69"/>
      <c r="V279" s="69"/>
      <c r="W279" s="69"/>
      <c r="X279" s="69"/>
      <c r="Y279" s="69"/>
      <c r="Z279" s="69"/>
      <c r="AA279" s="69"/>
    </row>
    <row r="280" spans="8:27">
      <c r="H280" s="69"/>
      <c r="I280" s="69"/>
      <c r="J280" s="69"/>
      <c r="K280" s="69"/>
      <c r="L280" s="69"/>
      <c r="M280" s="69"/>
      <c r="N280" s="69"/>
      <c r="O280" s="69"/>
      <c r="P280" s="69"/>
      <c r="Q280" s="69"/>
      <c r="R280" s="69"/>
      <c r="S280" s="69"/>
      <c r="T280" s="69"/>
      <c r="U280" s="69"/>
      <c r="V280" s="69"/>
      <c r="W280" s="69"/>
      <c r="X280" s="69"/>
      <c r="Y280" s="69"/>
      <c r="Z280" s="69"/>
      <c r="AA280" s="69"/>
    </row>
    <row r="281" spans="8:27">
      <c r="H281" s="69"/>
      <c r="I281" s="69"/>
      <c r="J281" s="69"/>
      <c r="K281" s="69"/>
      <c r="L281" s="69"/>
      <c r="M281" s="69"/>
      <c r="N281" s="69"/>
      <c r="O281" s="69"/>
      <c r="P281" s="69"/>
      <c r="Q281" s="69"/>
      <c r="R281" s="69"/>
      <c r="S281" s="69"/>
      <c r="T281" s="69"/>
      <c r="U281" s="69"/>
      <c r="V281" s="69"/>
      <c r="W281" s="69"/>
      <c r="X281" s="69"/>
      <c r="Y281" s="69"/>
      <c r="Z281" s="69"/>
      <c r="AA281" s="69"/>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tabSelected="1" zoomScale="96" zoomScaleNormal="96" topLeftCell="BA139" workbookViewId="0">
      <selection activeCell="BH157" sqref="BH157"/>
    </sheetView>
  </sheetViews>
  <sheetFormatPr defaultColWidth="8.72727272727273" defaultRowHeight="14.5"/>
  <cols>
    <col min="1" max="1" width="8.71818181818182" style="12"/>
    <col min="2" max="2" width="130.854545454545" style="12" customWidth="1"/>
    <col min="3" max="5" width="12.8545454545455" style="12"/>
    <col min="6" max="6" width="30.1454545454545" style="12" customWidth="1"/>
    <col min="7" max="7" width="34.8545454545455" style="12" customWidth="1"/>
    <col min="8" max="8" width="32.5727272727273" style="12" customWidth="1"/>
    <col min="9" max="9" width="30.7181818181818" style="12" customWidth="1"/>
    <col min="10" max="11" width="12.8545454545455" style="12"/>
    <col min="12" max="12" width="34.8545454545455" style="12" customWidth="1"/>
    <col min="13" max="15" width="12.8545454545455" style="12"/>
    <col min="16" max="16" width="8.71818181818182" style="12"/>
    <col min="17" max="17" width="34.8545454545455" style="12" customWidth="1"/>
    <col min="18" max="18" width="14.7181818181818" style="12" customWidth="1"/>
    <col min="19" max="20" width="12.8545454545455" style="12"/>
    <col min="21" max="21" width="23.4272727272727" style="12" customWidth="1"/>
    <col min="22" max="22" width="34.8545454545455" style="12" customWidth="1"/>
    <col min="23" max="26" width="12.8545454545455" style="12"/>
    <col min="27" max="27" width="50" style="12" customWidth="1"/>
    <col min="28" max="41" width="12.8545454545455" style="12"/>
    <col min="42" max="47" width="8.71818181818182" style="12"/>
    <col min="48" max="49" width="12.8545454545455" style="12"/>
    <col min="50" max="50" width="63.7181818181818" style="12" customWidth="1"/>
    <col min="51" max="56" width="12.8545454545455" style="12"/>
    <col min="57" max="57" width="57.7181818181818" style="12" customWidth="1"/>
    <col min="58" max="58" width="5.57272727272727" style="12" customWidth="1"/>
    <col min="59" max="61" width="12.8545454545455" style="12" customWidth="1"/>
    <col min="62" max="62" width="12.8545454545455" style="12"/>
    <col min="63" max="63" width="8.71818181818182" style="12"/>
    <col min="64" max="64" width="28.5727272727273" style="12" customWidth="1"/>
    <col min="65" max="70" width="12.8545454545455" style="12"/>
    <col min="71" max="73" width="12.8545454545455" style="124"/>
    <col min="74" max="76" width="12.8545454545455" style="12"/>
    <col min="77" max="78" width="8.71818181818182" style="12"/>
    <col min="79" max="81" width="12.8545454545455" style="12"/>
    <col min="82" max="83" width="8.71818181818182" style="12"/>
    <col min="84" max="86" width="12.8545454545455" style="12"/>
    <col min="87" max="16384" width="8.71818181818182" style="12"/>
  </cols>
  <sheetData>
    <row r="1" s="12" customFormat="1" spans="2:73">
      <c r="B1" s="12" t="s">
        <v>39</v>
      </c>
      <c r="R1" s="12" t="s">
        <v>40</v>
      </c>
      <c r="S1" s="122" t="s">
        <v>41</v>
      </c>
      <c r="T1" s="122" t="s">
        <v>42</v>
      </c>
      <c r="U1" s="122" t="s">
        <v>43</v>
      </c>
      <c r="V1" s="122" t="s">
        <v>44</v>
      </c>
      <c r="W1" s="122" t="s">
        <v>45</v>
      </c>
      <c r="X1" s="122" t="s">
        <v>46</v>
      </c>
      <c r="Y1" s="122" t="s">
        <v>47</v>
      </c>
      <c r="Z1" s="122" t="s">
        <v>48</v>
      </c>
      <c r="AA1" s="122" t="s">
        <v>49</v>
      </c>
      <c r="AB1" s="122" t="s">
        <v>50</v>
      </c>
      <c r="AC1" s="122" t="s">
        <v>51</v>
      </c>
      <c r="AI1" s="125">
        <v>2023</v>
      </c>
      <c r="AJ1" s="125">
        <v>2025</v>
      </c>
      <c r="AK1" s="125">
        <v>2030</v>
      </c>
      <c r="AL1" s="125">
        <v>2035</v>
      </c>
      <c r="AM1" s="125">
        <v>2040</v>
      </c>
      <c r="AN1" s="125">
        <v>2045</v>
      </c>
      <c r="AO1" s="125">
        <v>2050</v>
      </c>
      <c r="BS1" s="124"/>
      <c r="BT1" s="124"/>
      <c r="BU1" s="124"/>
    </row>
    <row r="2" s="12" customFormat="1" spans="2:73">
      <c r="B2" s="126" t="s">
        <v>52</v>
      </c>
      <c r="S2" s="127">
        <v>2023</v>
      </c>
      <c r="T2" s="127" t="s">
        <v>53</v>
      </c>
      <c r="U2" s="127" t="s">
        <v>54</v>
      </c>
      <c r="V2" s="127" t="s">
        <v>55</v>
      </c>
      <c r="W2" s="127" t="s">
        <v>56</v>
      </c>
      <c r="X2" s="127" t="s">
        <v>57</v>
      </c>
      <c r="Y2" s="127" t="s">
        <v>58</v>
      </c>
      <c r="Z2" s="127"/>
      <c r="AA2" s="127" t="s">
        <v>59</v>
      </c>
      <c r="AB2" s="128">
        <v>132.92732205738</v>
      </c>
      <c r="AC2" s="127" t="s">
        <v>60</v>
      </c>
      <c r="AH2" s="12" t="s">
        <v>61</v>
      </c>
      <c r="AI2" s="129">
        <v>132.92732205738</v>
      </c>
      <c r="AJ2" s="129">
        <v>120.58407072348</v>
      </c>
      <c r="AK2" s="129">
        <v>104.442895902227</v>
      </c>
      <c r="AL2" s="129">
        <v>94.9480871838431</v>
      </c>
      <c r="AM2" s="129">
        <v>92.1084750593323</v>
      </c>
      <c r="AN2" s="129">
        <v>88.9611647549709</v>
      </c>
      <c r="AO2" s="129">
        <v>85.4532784654588</v>
      </c>
      <c r="AX2" t="s">
        <v>62</v>
      </c>
      <c r="AY2"/>
      <c r="AZ2" s="130"/>
      <c r="BE2" s="38" t="s">
        <v>63</v>
      </c>
      <c r="BL2" s="131" t="s">
        <v>62</v>
      </c>
      <c r="BS2" s="124"/>
      <c r="BT2" s="124"/>
      <c r="BU2" s="124"/>
    </row>
    <row r="3" s="12" customFormat="1" spans="2:73">
      <c r="F3" s="132" t="s">
        <v>64</v>
      </c>
      <c r="G3" s="133"/>
      <c r="H3" s="133"/>
      <c r="I3" s="133"/>
      <c r="S3" s="127">
        <v>2025</v>
      </c>
      <c r="T3" s="127" t="s">
        <v>53</v>
      </c>
      <c r="U3" s="127" t="s">
        <v>54</v>
      </c>
      <c r="V3" s="127" t="s">
        <v>55</v>
      </c>
      <c r="W3" s="127" t="s">
        <v>56</v>
      </c>
      <c r="X3" s="127" t="s">
        <v>57</v>
      </c>
      <c r="Y3" s="127" t="s">
        <v>58</v>
      </c>
      <c r="Z3" s="127"/>
      <c r="AA3" s="127" t="s">
        <v>59</v>
      </c>
      <c r="AB3" s="128">
        <v>120.58407072348</v>
      </c>
      <c r="AC3" s="127" t="s">
        <v>60</v>
      </c>
      <c r="AI3" s="12">
        <f>AI2</f>
        <v>132.92732205738</v>
      </c>
      <c r="AJ3" s="12">
        <f t="shared" ref="AJ3:AO3" si="0">AJ2</f>
        <v>120.58407072348</v>
      </c>
      <c r="AK3" s="12">
        <f t="shared" si="0"/>
        <v>104.442895902227</v>
      </c>
      <c r="AL3" s="12">
        <f t="shared" si="0"/>
        <v>94.9480871838431</v>
      </c>
      <c r="AM3" s="12">
        <f t="shared" si="0"/>
        <v>92.1084750593323</v>
      </c>
      <c r="AN3" s="12">
        <f t="shared" si="0"/>
        <v>88.9611647549709</v>
      </c>
      <c r="AO3" s="12">
        <f t="shared" si="0"/>
        <v>85.4532784654588</v>
      </c>
      <c r="AX3" s="130" t="s">
        <v>65</v>
      </c>
      <c r="AY3" s="130" t="s">
        <v>41</v>
      </c>
      <c r="AZ3" s="134" t="s">
        <v>66</v>
      </c>
      <c r="BA3" s="134" t="s">
        <v>11</v>
      </c>
      <c r="BB3" s="134" t="s">
        <v>25</v>
      </c>
      <c r="BE3" s="12" t="s">
        <v>65</v>
      </c>
      <c r="BF3" s="12" t="s">
        <v>41</v>
      </c>
      <c r="BG3" s="12" t="s">
        <v>66</v>
      </c>
      <c r="BH3" s="12" t="s">
        <v>11</v>
      </c>
      <c r="BI3" s="12" t="s">
        <v>25</v>
      </c>
      <c r="BL3" s="12" t="s">
        <v>65</v>
      </c>
      <c r="BM3" s="12" t="s">
        <v>41</v>
      </c>
      <c r="BN3" s="12" t="s">
        <v>66</v>
      </c>
      <c r="BO3" s="12" t="s">
        <v>11</v>
      </c>
      <c r="BP3" s="12" t="s">
        <v>25</v>
      </c>
      <c r="BS3" s="124" t="s">
        <v>66</v>
      </c>
      <c r="BT3" s="124" t="s">
        <v>11</v>
      </c>
      <c r="BU3" s="124" t="s">
        <v>25</v>
      </c>
    </row>
    <row r="4" s="12" customFormat="1" spans="2:73">
      <c r="F4" s="132" t="s">
        <v>65</v>
      </c>
      <c r="G4" s="132" t="s">
        <v>66</v>
      </c>
      <c r="H4" s="132" t="s">
        <v>11</v>
      </c>
      <c r="I4" s="132" t="s">
        <v>25</v>
      </c>
      <c r="S4" s="127">
        <v>2030</v>
      </c>
      <c r="T4" s="127" t="s">
        <v>53</v>
      </c>
      <c r="U4" s="127" t="s">
        <v>54</v>
      </c>
      <c r="V4" s="127" t="s">
        <v>55</v>
      </c>
      <c r="W4" s="127" t="s">
        <v>56</v>
      </c>
      <c r="X4" s="127" t="s">
        <v>57</v>
      </c>
      <c r="Y4" s="127" t="s">
        <v>58</v>
      </c>
      <c r="Z4" s="127"/>
      <c r="AA4" s="127" t="s">
        <v>59</v>
      </c>
      <c r="AB4" s="128">
        <v>104.442895902227</v>
      </c>
      <c r="AC4" s="127" t="s">
        <v>60</v>
      </c>
      <c r="AI4" s="12">
        <f t="shared" ref="AI4:AI12" si="1">AI3</f>
        <v>132.92732205738</v>
      </c>
      <c r="AJ4" s="12">
        <f t="shared" ref="AJ4:AJ12" si="2">AJ3</f>
        <v>120.58407072348</v>
      </c>
      <c r="AK4" s="12">
        <f t="shared" ref="AK4:AK12" si="3">AK3</f>
        <v>104.442895902227</v>
      </c>
      <c r="AL4" s="12">
        <f t="shared" ref="AL4:AL12" si="4">AL3</f>
        <v>94.9480871838431</v>
      </c>
      <c r="AM4" s="12">
        <f t="shared" ref="AM4:AM12" si="5">AM3</f>
        <v>92.1084750593323</v>
      </c>
      <c r="AN4" s="12">
        <f t="shared" ref="AN4:AN12" si="6">AN3</f>
        <v>88.9611647549709</v>
      </c>
      <c r="AO4" s="12">
        <f t="shared" ref="AO4:AO12" si="7">AO3</f>
        <v>85.4532784654588</v>
      </c>
      <c r="AX4" s="130" t="s">
        <v>67</v>
      </c>
      <c r="AY4" s="130">
        <v>2023</v>
      </c>
      <c r="AZ4" s="130">
        <f>G5</f>
        <v>80.3831766666667</v>
      </c>
      <c r="BA4" s="130">
        <f>H5</f>
        <v>55.48673</v>
      </c>
      <c r="BB4" s="130">
        <f>I5</f>
        <v>106.82505</v>
      </c>
      <c r="BE4" s="12" t="s">
        <v>68</v>
      </c>
      <c r="BF4" s="12">
        <v>2023</v>
      </c>
      <c r="BG4" s="12">
        <f>BS4*60%</f>
        <v>48.229906</v>
      </c>
      <c r="BH4" s="12">
        <f>BT4*60%</f>
        <v>33.292038</v>
      </c>
      <c r="BI4" s="12">
        <f>BU4*60%</f>
        <v>64.09503</v>
      </c>
      <c r="BL4" s="12" t="s">
        <v>69</v>
      </c>
      <c r="BM4" s="12">
        <v>2023</v>
      </c>
      <c r="BN4" s="12">
        <f>BS4*40%</f>
        <v>32.1532706666667</v>
      </c>
      <c r="BO4" s="12">
        <f>BT4*40%</f>
        <v>22.194692</v>
      </c>
      <c r="BP4" s="12">
        <f>BU4*40%</f>
        <v>42.73002</v>
      </c>
      <c r="BS4" s="124">
        <v>80.3831766666667</v>
      </c>
      <c r="BT4" s="124">
        <v>55.48673</v>
      </c>
      <c r="BU4" s="124">
        <v>106.82505</v>
      </c>
    </row>
    <row r="5" s="12" customFormat="1" ht="28" customHeight="1" spans="2:73">
      <c r="B5" s="135" t="s">
        <v>70</v>
      </c>
      <c r="F5" s="132" t="s">
        <v>71</v>
      </c>
      <c r="G5" s="133">
        <f>[3]R_strategies_n_GridBattery!$D$131</f>
        <v>80.3831766666667</v>
      </c>
      <c r="H5" s="133">
        <f>[3]R_strategies_n_GridBattery!$E$131</f>
        <v>55.48673</v>
      </c>
      <c r="I5" s="133">
        <f>[3]R_strategies_n_GridBattery!$F$131</f>
        <v>106.82505</v>
      </c>
      <c r="S5" s="127">
        <v>2035</v>
      </c>
      <c r="T5" s="127" t="s">
        <v>53</v>
      </c>
      <c r="U5" s="127" t="s">
        <v>54</v>
      </c>
      <c r="V5" s="127" t="s">
        <v>55</v>
      </c>
      <c r="W5" s="127" t="s">
        <v>56</v>
      </c>
      <c r="X5" s="127" t="s">
        <v>57</v>
      </c>
      <c r="Y5" s="127" t="s">
        <v>58</v>
      </c>
      <c r="Z5" s="127"/>
      <c r="AA5" s="127" t="s">
        <v>59</v>
      </c>
      <c r="AB5" s="128">
        <v>94.9480871838431</v>
      </c>
      <c r="AC5" s="127" t="s">
        <v>60</v>
      </c>
      <c r="AI5" s="12">
        <f t="shared" si="1"/>
        <v>132.92732205738</v>
      </c>
      <c r="AJ5" s="12">
        <f t="shared" si="2"/>
        <v>120.58407072348</v>
      </c>
      <c r="AK5" s="12">
        <f t="shared" si="3"/>
        <v>104.442895902227</v>
      </c>
      <c r="AL5" s="12">
        <f t="shared" si="4"/>
        <v>94.9480871838431</v>
      </c>
      <c r="AM5" s="12">
        <f t="shared" si="5"/>
        <v>92.1084750593323</v>
      </c>
      <c r="AN5" s="12">
        <f t="shared" si="6"/>
        <v>88.9611647549709</v>
      </c>
      <c r="AO5" s="12">
        <f t="shared" si="7"/>
        <v>85.4532784654588</v>
      </c>
      <c r="AX5" s="130" t="s">
        <v>72</v>
      </c>
      <c r="AY5" s="130">
        <f>AY4</f>
        <v>2023</v>
      </c>
      <c r="AZ5" s="130">
        <f t="shared" ref="AZ5:AZ10" si="8">G6</f>
        <v>95.4086</v>
      </c>
      <c r="BA5" s="130">
        <f t="shared" ref="BA5:BA10" si="9">H6</f>
        <v>66.32565</v>
      </c>
      <c r="BB5" s="130">
        <f t="shared" ref="BB5:BB10" si="10">I6</f>
        <v>126.26355</v>
      </c>
      <c r="BE5" s="12" t="s">
        <v>73</v>
      </c>
      <c r="BF5" s="12">
        <v>2023</v>
      </c>
      <c r="BG5" s="12">
        <f t="shared" ref="BG5:BG11" si="11">BS5*60%</f>
        <v>57.24516</v>
      </c>
      <c r="BH5" s="12">
        <f t="shared" ref="BH5:BH11" si="12">BT5*60%</f>
        <v>39.79539</v>
      </c>
      <c r="BI5" s="12">
        <f t="shared" ref="BI5:BI11" si="13">BU5*60%</f>
        <v>75.75813</v>
      </c>
      <c r="BL5" s="12" t="s">
        <v>74</v>
      </c>
      <c r="BM5" s="12">
        <v>2023</v>
      </c>
      <c r="BN5" s="12">
        <f t="shared" ref="BN5:BN11" si="14">BS5*40%</f>
        <v>38.16344</v>
      </c>
      <c r="BO5" s="12">
        <f t="shared" ref="BO5:BO11" si="15">BT5*40%</f>
        <v>26.53026</v>
      </c>
      <c r="BP5" s="12">
        <f t="shared" ref="BP5:BP11" si="16">BU5*40%</f>
        <v>50.50542</v>
      </c>
      <c r="BS5" s="124">
        <v>95.4086</v>
      </c>
      <c r="BT5" s="124">
        <v>66.32565</v>
      </c>
      <c r="BU5" s="124">
        <v>126.26355</v>
      </c>
    </row>
    <row r="6" s="12" customFormat="1" spans="2:73">
      <c r="F6" s="132" t="s">
        <v>75</v>
      </c>
      <c r="G6" s="133">
        <f>[3]R_strategies_n_GridBattery!$D$132</f>
        <v>95.4086</v>
      </c>
      <c r="H6" s="133">
        <f>[3]R_strategies_n_GridBattery!$E$132</f>
        <v>66.32565</v>
      </c>
      <c r="I6" s="133">
        <f>[3]R_strategies_n_GridBattery!$F$132</f>
        <v>126.26355</v>
      </c>
      <c r="S6" s="127">
        <v>2040</v>
      </c>
      <c r="T6" s="127" t="s">
        <v>53</v>
      </c>
      <c r="U6" s="127" t="s">
        <v>54</v>
      </c>
      <c r="V6" s="127" t="s">
        <v>55</v>
      </c>
      <c r="W6" s="127" t="s">
        <v>56</v>
      </c>
      <c r="X6" s="127" t="s">
        <v>57</v>
      </c>
      <c r="Y6" s="127" t="s">
        <v>58</v>
      </c>
      <c r="Z6" s="127"/>
      <c r="AA6" s="127" t="s">
        <v>59</v>
      </c>
      <c r="AB6" s="128">
        <v>92.1084750593323</v>
      </c>
      <c r="AC6" s="127" t="s">
        <v>60</v>
      </c>
      <c r="AI6" s="12">
        <f t="shared" si="1"/>
        <v>132.92732205738</v>
      </c>
      <c r="AJ6" s="12">
        <f t="shared" si="2"/>
        <v>120.58407072348</v>
      </c>
      <c r="AK6" s="12">
        <f t="shared" si="3"/>
        <v>104.442895902227</v>
      </c>
      <c r="AL6" s="12">
        <f t="shared" si="4"/>
        <v>94.9480871838431</v>
      </c>
      <c r="AM6" s="12">
        <f t="shared" si="5"/>
        <v>92.1084750593323</v>
      </c>
      <c r="AN6" s="12">
        <f t="shared" si="6"/>
        <v>88.9611647549709</v>
      </c>
      <c r="AO6" s="12">
        <f t="shared" si="7"/>
        <v>85.4532784654588</v>
      </c>
      <c r="AX6" s="130" t="s">
        <v>76</v>
      </c>
      <c r="AY6" s="130">
        <f t="shared" ref="AY6:AY11" si="17">AY5</f>
        <v>2023</v>
      </c>
      <c r="AZ6" s="130">
        <f t="shared" si="8"/>
        <v>85.3476966666666</v>
      </c>
      <c r="BA6" s="130">
        <f t="shared" si="9"/>
        <v>56.10147</v>
      </c>
      <c r="BB6" s="130">
        <f t="shared" si="10"/>
        <v>116.32796</v>
      </c>
      <c r="BE6" s="12" t="s">
        <v>77</v>
      </c>
      <c r="BF6" s="12">
        <v>2023</v>
      </c>
      <c r="BG6" s="12">
        <f t="shared" si="11"/>
        <v>51.208618</v>
      </c>
      <c r="BH6" s="12">
        <f t="shared" si="12"/>
        <v>33.660882</v>
      </c>
      <c r="BI6" s="12">
        <f t="shared" si="13"/>
        <v>69.796776</v>
      </c>
      <c r="BL6" s="12" t="s">
        <v>78</v>
      </c>
      <c r="BM6" s="12">
        <v>2023</v>
      </c>
      <c r="BN6" s="12">
        <f t="shared" si="14"/>
        <v>34.1390786666666</v>
      </c>
      <c r="BO6" s="12">
        <f t="shared" si="15"/>
        <v>22.440588</v>
      </c>
      <c r="BP6" s="12">
        <f t="shared" si="16"/>
        <v>46.531184</v>
      </c>
      <c r="BS6" s="124">
        <v>85.3476966666666</v>
      </c>
      <c r="BT6" s="124">
        <v>56.10147</v>
      </c>
      <c r="BU6" s="124">
        <v>116.32796</v>
      </c>
    </row>
    <row r="7" s="12" customFormat="1" spans="2:73">
      <c r="F7" s="132" t="s">
        <v>79</v>
      </c>
      <c r="G7" s="133">
        <f>[3]R_strategies_n_GridBattery!$D$133</f>
        <v>85.3476966666666</v>
      </c>
      <c r="H7" s="133">
        <f>[3]R_strategies_n_GridBattery!$E$133</f>
        <v>56.10147</v>
      </c>
      <c r="I7" s="133">
        <f>[3]R_strategies_n_GridBattery!$F$133</f>
        <v>116.32796</v>
      </c>
      <c r="S7" s="127">
        <v>2045</v>
      </c>
      <c r="T7" s="127" t="s">
        <v>53</v>
      </c>
      <c r="U7" s="127" t="s">
        <v>54</v>
      </c>
      <c r="V7" s="127" t="s">
        <v>55</v>
      </c>
      <c r="W7" s="127" t="s">
        <v>56</v>
      </c>
      <c r="X7" s="127" t="s">
        <v>57</v>
      </c>
      <c r="Y7" s="127" t="s">
        <v>58</v>
      </c>
      <c r="Z7" s="127"/>
      <c r="AA7" s="127" t="s">
        <v>59</v>
      </c>
      <c r="AB7" s="128">
        <v>88.9611647549709</v>
      </c>
      <c r="AC7" s="127" t="s">
        <v>60</v>
      </c>
      <c r="AI7" s="12">
        <f t="shared" si="1"/>
        <v>132.92732205738</v>
      </c>
      <c r="AJ7" s="12">
        <f t="shared" si="2"/>
        <v>120.58407072348</v>
      </c>
      <c r="AK7" s="12">
        <f t="shared" si="3"/>
        <v>104.442895902227</v>
      </c>
      <c r="AL7" s="12">
        <f t="shared" si="4"/>
        <v>94.9480871838431</v>
      </c>
      <c r="AM7" s="12">
        <f t="shared" si="5"/>
        <v>92.1084750593323</v>
      </c>
      <c r="AN7" s="12">
        <f t="shared" si="6"/>
        <v>88.9611647549709</v>
      </c>
      <c r="AO7" s="12">
        <f t="shared" si="7"/>
        <v>85.4532784654588</v>
      </c>
      <c r="AX7" s="130" t="s">
        <v>80</v>
      </c>
      <c r="AY7" s="130">
        <f t="shared" si="17"/>
        <v>2023</v>
      </c>
      <c r="AZ7" s="130">
        <f t="shared" si="8"/>
        <v>85.52157</v>
      </c>
      <c r="BA7" s="130">
        <f t="shared" si="9"/>
        <v>55.55951</v>
      </c>
      <c r="BB7" s="130">
        <f t="shared" si="10"/>
        <v>117.30431</v>
      </c>
      <c r="BE7" s="12" t="s">
        <v>81</v>
      </c>
      <c r="BF7" s="12">
        <v>2023</v>
      </c>
      <c r="BG7" s="12">
        <f t="shared" si="11"/>
        <v>51.312942</v>
      </c>
      <c r="BH7" s="12">
        <f t="shared" si="12"/>
        <v>33.335706</v>
      </c>
      <c r="BI7" s="12">
        <f t="shared" si="13"/>
        <v>70.382586</v>
      </c>
      <c r="BL7" s="12" t="s">
        <v>82</v>
      </c>
      <c r="BM7" s="12">
        <v>2023</v>
      </c>
      <c r="BN7" s="12">
        <f t="shared" si="14"/>
        <v>34.208628</v>
      </c>
      <c r="BO7" s="12">
        <f t="shared" si="15"/>
        <v>22.223804</v>
      </c>
      <c r="BP7" s="12">
        <f t="shared" si="16"/>
        <v>46.921724</v>
      </c>
      <c r="BS7" s="124">
        <v>85.52157</v>
      </c>
      <c r="BT7" s="124">
        <v>55.55951</v>
      </c>
      <c r="BU7" s="124">
        <v>117.30431</v>
      </c>
    </row>
    <row r="8" s="12" customFormat="1" ht="29" spans="2:73">
      <c r="B8" s="135" t="s">
        <v>83</v>
      </c>
      <c r="F8" s="132" t="s">
        <v>84</v>
      </c>
      <c r="G8" s="133">
        <f>[3]R_strategies_n_GridBattery!$D$134</f>
        <v>85.52157</v>
      </c>
      <c r="H8" s="133">
        <f>[3]R_strategies_n_GridBattery!$E$134</f>
        <v>55.55951</v>
      </c>
      <c r="I8" s="133">
        <f>[3]R_strategies_n_GridBattery!$F$134</f>
        <v>117.30431</v>
      </c>
      <c r="S8" s="127">
        <v>2050</v>
      </c>
      <c r="T8" s="127" t="s">
        <v>53</v>
      </c>
      <c r="U8" s="127" t="s">
        <v>54</v>
      </c>
      <c r="V8" s="127" t="s">
        <v>55</v>
      </c>
      <c r="W8" s="127" t="s">
        <v>56</v>
      </c>
      <c r="X8" s="127" t="s">
        <v>57</v>
      </c>
      <c r="Y8" s="127" t="s">
        <v>58</v>
      </c>
      <c r="Z8" s="127"/>
      <c r="AA8" s="127" t="s">
        <v>59</v>
      </c>
      <c r="AB8" s="128">
        <v>85.4532784654588</v>
      </c>
      <c r="AC8" s="127" t="s">
        <v>60</v>
      </c>
      <c r="AI8" s="12">
        <f t="shared" si="1"/>
        <v>132.92732205738</v>
      </c>
      <c r="AJ8" s="12">
        <f t="shared" si="2"/>
        <v>120.58407072348</v>
      </c>
      <c r="AK8" s="12">
        <f t="shared" si="3"/>
        <v>104.442895902227</v>
      </c>
      <c r="AL8" s="12">
        <f t="shared" si="4"/>
        <v>94.9480871838431</v>
      </c>
      <c r="AM8" s="12">
        <f t="shared" si="5"/>
        <v>92.1084750593323</v>
      </c>
      <c r="AN8" s="12">
        <f t="shared" si="6"/>
        <v>88.9611647549709</v>
      </c>
      <c r="AO8" s="12">
        <f t="shared" si="7"/>
        <v>85.4532784654588</v>
      </c>
      <c r="AX8" s="130" t="s">
        <v>85</v>
      </c>
      <c r="AY8" s="130">
        <f t="shared" si="17"/>
        <v>2023</v>
      </c>
      <c r="AZ8" s="130">
        <f t="shared" si="8"/>
        <v>90.0929166666666</v>
      </c>
      <c r="BA8" s="130">
        <f t="shared" si="9"/>
        <v>59.3677</v>
      </c>
      <c r="BB8" s="130">
        <f t="shared" si="10"/>
        <v>122.66905</v>
      </c>
      <c r="BE8" s="12" t="s">
        <v>86</v>
      </c>
      <c r="BF8" s="12">
        <v>2023</v>
      </c>
      <c r="BG8" s="12">
        <f t="shared" si="11"/>
        <v>54.05575</v>
      </c>
      <c r="BH8" s="12">
        <f t="shared" si="12"/>
        <v>35.62062</v>
      </c>
      <c r="BI8" s="12">
        <f t="shared" si="13"/>
        <v>73.60143</v>
      </c>
      <c r="BL8" s="12" t="s">
        <v>87</v>
      </c>
      <c r="BM8" s="12">
        <v>2023</v>
      </c>
      <c r="BN8" s="12">
        <f t="shared" si="14"/>
        <v>36.0371666666666</v>
      </c>
      <c r="BO8" s="12">
        <f t="shared" si="15"/>
        <v>23.74708</v>
      </c>
      <c r="BP8" s="12">
        <f t="shared" si="16"/>
        <v>49.06762</v>
      </c>
      <c r="BS8" s="124">
        <v>90.0929166666666</v>
      </c>
      <c r="BT8" s="124">
        <v>59.3677</v>
      </c>
      <c r="BU8" s="124">
        <v>122.66905</v>
      </c>
    </row>
    <row r="9" s="12" customFormat="1" spans="2:73">
      <c r="F9" s="132" t="s">
        <v>88</v>
      </c>
      <c r="G9" s="133">
        <f>[3]R_strategies_n_GridBattery!$D$135</f>
        <v>90.0929166666666</v>
      </c>
      <c r="H9" s="133">
        <f>[3]R_strategies_n_GridBattery!$E$135</f>
        <v>59.3677</v>
      </c>
      <c r="I9" s="133">
        <f>[3]R_strategies_n_GridBattery!$F$135</f>
        <v>122.66905</v>
      </c>
      <c r="AI9" s="12">
        <f t="shared" si="1"/>
        <v>132.92732205738</v>
      </c>
      <c r="AJ9" s="12">
        <f t="shared" si="2"/>
        <v>120.58407072348</v>
      </c>
      <c r="AK9" s="12">
        <f t="shared" si="3"/>
        <v>104.442895902227</v>
      </c>
      <c r="AL9" s="12">
        <f t="shared" si="4"/>
        <v>94.9480871838431</v>
      </c>
      <c r="AM9" s="12">
        <f t="shared" si="5"/>
        <v>92.1084750593323</v>
      </c>
      <c r="AN9" s="12">
        <f t="shared" si="6"/>
        <v>88.9611647549709</v>
      </c>
      <c r="AO9" s="12">
        <f t="shared" si="7"/>
        <v>85.4532784654588</v>
      </c>
      <c r="AX9" s="130" t="s">
        <v>89</v>
      </c>
      <c r="AY9" s="130">
        <f t="shared" si="17"/>
        <v>2023</v>
      </c>
      <c r="AZ9" s="130">
        <f t="shared" si="8"/>
        <v>86.9222166666667</v>
      </c>
      <c r="BA9" s="130">
        <f t="shared" si="9"/>
        <v>57.33755</v>
      </c>
      <c r="BB9" s="130">
        <f t="shared" si="10"/>
        <v>118.2723</v>
      </c>
      <c r="BE9" s="12" t="s">
        <v>90</v>
      </c>
      <c r="BF9" s="12">
        <v>2023</v>
      </c>
      <c r="BG9" s="12">
        <f t="shared" si="11"/>
        <v>52.15333</v>
      </c>
      <c r="BH9" s="12">
        <f t="shared" si="12"/>
        <v>34.40253</v>
      </c>
      <c r="BI9" s="12">
        <f t="shared" si="13"/>
        <v>70.96338</v>
      </c>
      <c r="BL9" s="12" t="s">
        <v>91</v>
      </c>
      <c r="BM9" s="12">
        <v>2023</v>
      </c>
      <c r="BN9" s="12">
        <f t="shared" si="14"/>
        <v>34.7688866666667</v>
      </c>
      <c r="BO9" s="12">
        <f t="shared" si="15"/>
        <v>22.93502</v>
      </c>
      <c r="BP9" s="12">
        <f t="shared" si="16"/>
        <v>47.30892</v>
      </c>
      <c r="BS9" s="124">
        <v>86.9222166666667</v>
      </c>
      <c r="BT9" s="124">
        <v>57.33755</v>
      </c>
      <c r="BU9" s="124">
        <v>118.2723</v>
      </c>
    </row>
    <row r="10" s="12" customFormat="1" spans="2:73">
      <c r="F10" s="132" t="s">
        <v>92</v>
      </c>
      <c r="G10" s="133">
        <f>[3]R_strategies_n_GridBattery!$D$136</f>
        <v>86.9222166666667</v>
      </c>
      <c r="H10" s="133">
        <f>[3]R_strategies_n_GridBattery!$E$136</f>
        <v>57.33755</v>
      </c>
      <c r="I10" s="133">
        <f>[3]R_strategies_n_GridBattery!$F$136</f>
        <v>118.2723</v>
      </c>
      <c r="AI10" s="12">
        <f t="shared" si="1"/>
        <v>132.92732205738</v>
      </c>
      <c r="AJ10" s="12">
        <f t="shared" si="2"/>
        <v>120.58407072348</v>
      </c>
      <c r="AK10" s="12">
        <f t="shared" si="3"/>
        <v>104.442895902227</v>
      </c>
      <c r="AL10" s="12">
        <f t="shared" si="4"/>
        <v>94.9480871838431</v>
      </c>
      <c r="AM10" s="12">
        <f t="shared" si="5"/>
        <v>92.1084750593323</v>
      </c>
      <c r="AN10" s="12">
        <f t="shared" si="6"/>
        <v>88.9611647549709</v>
      </c>
      <c r="AO10" s="12">
        <f t="shared" si="7"/>
        <v>85.4532784654588</v>
      </c>
      <c r="AX10" s="130" t="s">
        <v>93</v>
      </c>
      <c r="AY10" s="130">
        <f t="shared" si="17"/>
        <v>2023</v>
      </c>
      <c r="AZ10" s="130">
        <f t="shared" si="8"/>
        <v>89.5526666666667</v>
      </c>
      <c r="BA10" s="130">
        <f t="shared" si="9"/>
        <v>59.98948</v>
      </c>
      <c r="BB10" s="130">
        <f t="shared" si="10"/>
        <v>120.87452</v>
      </c>
      <c r="BE10" s="12" t="s">
        <v>94</v>
      </c>
      <c r="BF10" s="12">
        <v>2023</v>
      </c>
      <c r="BG10" s="12">
        <f t="shared" si="11"/>
        <v>53.7316</v>
      </c>
      <c r="BH10" s="12">
        <f t="shared" si="12"/>
        <v>35.993688</v>
      </c>
      <c r="BI10" s="12">
        <f t="shared" si="13"/>
        <v>72.524712</v>
      </c>
      <c r="BL10" s="12" t="s">
        <v>95</v>
      </c>
      <c r="BM10" s="12">
        <v>2023</v>
      </c>
      <c r="BN10" s="12">
        <f t="shared" si="14"/>
        <v>35.8210666666667</v>
      </c>
      <c r="BO10" s="12">
        <f t="shared" si="15"/>
        <v>23.995792</v>
      </c>
      <c r="BP10" s="12">
        <f t="shared" si="16"/>
        <v>48.349808</v>
      </c>
      <c r="BS10" s="124">
        <v>89.5526666666667</v>
      </c>
      <c r="BT10" s="124">
        <v>59.98948</v>
      </c>
      <c r="BU10" s="124">
        <v>120.87452</v>
      </c>
    </row>
    <row r="11" s="12" customFormat="1" spans="2:73">
      <c r="F11" s="132" t="s">
        <v>96</v>
      </c>
      <c r="G11" s="133">
        <f>[3]R_strategies_n_GridBattery!$D$137</f>
        <v>89.5526666666667</v>
      </c>
      <c r="H11" s="133">
        <f>[3]R_strategies_n_GridBattery!$E$137</f>
        <v>59.98948</v>
      </c>
      <c r="I11" s="133">
        <f>[3]R_strategies_n_GridBattery!$F$137</f>
        <v>120.87452</v>
      </c>
      <c r="AI11" s="12">
        <f t="shared" si="1"/>
        <v>132.92732205738</v>
      </c>
      <c r="AJ11" s="12">
        <f t="shared" si="2"/>
        <v>120.58407072348</v>
      </c>
      <c r="AK11" s="12">
        <f t="shared" si="3"/>
        <v>104.442895902227</v>
      </c>
      <c r="AL11" s="12">
        <f t="shared" si="4"/>
        <v>94.9480871838431</v>
      </c>
      <c r="AM11" s="12">
        <f t="shared" si="5"/>
        <v>92.1084750593323</v>
      </c>
      <c r="AN11" s="12">
        <f t="shared" si="6"/>
        <v>88.9611647549709</v>
      </c>
      <c r="AO11" s="12">
        <f t="shared" si="7"/>
        <v>85.4532784654588</v>
      </c>
      <c r="AV11" s="123"/>
      <c r="AW11" s="123"/>
      <c r="AX11" s="136"/>
      <c r="AY11" s="130"/>
      <c r="AZ11" s="136"/>
      <c r="BA11" s="136"/>
      <c r="BB11" s="136"/>
      <c r="BC11" s="123"/>
      <c r="BE11" s="12" t="s">
        <v>97</v>
      </c>
      <c r="BF11" s="12">
        <v>2023</v>
      </c>
      <c r="BG11" s="12">
        <f t="shared" si="11"/>
        <v>97.2559999999998</v>
      </c>
      <c r="BH11" s="12">
        <f t="shared" si="12"/>
        <v>97.2559999999998</v>
      </c>
      <c r="BI11" s="12">
        <f t="shared" si="13"/>
        <v>97.2559999999998</v>
      </c>
      <c r="BL11" s="12" t="s">
        <v>98</v>
      </c>
      <c r="BM11" s="12">
        <v>2023</v>
      </c>
      <c r="BN11" s="12">
        <f t="shared" si="14"/>
        <v>64.8373333333332</v>
      </c>
      <c r="BO11" s="12">
        <f t="shared" si="15"/>
        <v>64.8373333333332</v>
      </c>
      <c r="BP11" s="12">
        <f t="shared" si="16"/>
        <v>64.8373333333332</v>
      </c>
      <c r="BS11" s="124">
        <v>162.093333333333</v>
      </c>
      <c r="BT11" s="124">
        <v>162.093333333333</v>
      </c>
      <c r="BU11" s="124">
        <v>162.093333333333</v>
      </c>
    </row>
    <row r="12" s="12" customFormat="1" spans="2:73">
      <c r="AI12" s="12">
        <f t="shared" si="1"/>
        <v>132.92732205738</v>
      </c>
      <c r="AJ12" s="12">
        <f t="shared" si="2"/>
        <v>120.58407072348</v>
      </c>
      <c r="AK12" s="12">
        <f t="shared" si="3"/>
        <v>104.442895902227</v>
      </c>
      <c r="AL12" s="12">
        <f t="shared" si="4"/>
        <v>94.9480871838431</v>
      </c>
      <c r="AM12" s="12">
        <f t="shared" si="5"/>
        <v>92.1084750593323</v>
      </c>
      <c r="AN12" s="12">
        <f t="shared" si="6"/>
        <v>88.9611647549709</v>
      </c>
      <c r="AO12" s="12">
        <f t="shared" si="7"/>
        <v>85.4532784654588</v>
      </c>
      <c r="BS12" s="124"/>
      <c r="BT12" s="124"/>
      <c r="BU12" s="124"/>
    </row>
    <row r="14" s="12" customFormat="1" spans="2:73">
      <c r="AM14" s="12">
        <f>AM2/AL2</f>
        <v>0.97009300335864</v>
      </c>
      <c r="AN14" s="12">
        <f>AN2/AM2</f>
        <v>0.965830393974778</v>
      </c>
      <c r="AO14" s="12">
        <f>AO2/AN2</f>
        <v>0.96056834126246</v>
      </c>
      <c r="BS14" s="124"/>
      <c r="BT14" s="124"/>
      <c r="BU14" s="124"/>
    </row>
    <row r="15" spans="2:73">
      <c r="AX15" t="s">
        <v>62</v>
      </c>
      <c r="AY15"/>
      <c r="AZ15" s="130"/>
      <c r="BE15" s="12" t="s">
        <v>63</v>
      </c>
      <c r="BL15" s="12" t="s">
        <v>62</v>
      </c>
    </row>
    <row r="16" s="12" customFormat="1" spans="2:73">
      <c r="AX16" s="130" t="s">
        <v>65</v>
      </c>
      <c r="AY16" s="130" t="s">
        <v>41</v>
      </c>
      <c r="AZ16" s="134" t="s">
        <v>66</v>
      </c>
      <c r="BA16" s="134" t="s">
        <v>11</v>
      </c>
      <c r="BB16" s="134" t="s">
        <v>25</v>
      </c>
      <c r="BE16" s="12" t="s">
        <v>65</v>
      </c>
      <c r="BF16" s="12" t="s">
        <v>41</v>
      </c>
      <c r="BG16" s="12" t="s">
        <v>66</v>
      </c>
      <c r="BH16" s="12" t="s">
        <v>11</v>
      </c>
      <c r="BI16" s="12" t="s">
        <v>25</v>
      </c>
      <c r="BL16" s="12" t="s">
        <v>65</v>
      </c>
      <c r="BM16" s="12" t="s">
        <v>41</v>
      </c>
      <c r="BN16" s="12" t="s">
        <v>66</v>
      </c>
      <c r="BO16" s="12" t="s">
        <v>11</v>
      </c>
      <c r="BP16" s="12" t="s">
        <v>25</v>
      </c>
      <c r="BS16" s="124" t="s">
        <v>66</v>
      </c>
      <c r="BT16" s="124" t="s">
        <v>11</v>
      </c>
      <c r="BU16" s="124" t="s">
        <v>25</v>
      </c>
    </row>
    <row r="17" s="12" customFormat="1" spans="2:73">
      <c r="AX17" s="130" t="s">
        <v>67</v>
      </c>
      <c r="AY17" s="130">
        <v>2025</v>
      </c>
      <c r="AZ17" s="130">
        <f t="shared" ref="AZ17:AZ24" si="18">AZ4*AJ2/AI2</f>
        <v>72.9190245476188</v>
      </c>
      <c r="BA17" s="130">
        <f>BA4*AJ2/AI2</f>
        <v>50.3343907857141</v>
      </c>
      <c r="BB17" s="130">
        <f>BB4*AJ2/AI2</f>
        <v>96.9055810714282</v>
      </c>
      <c r="BE17" s="12" t="s">
        <v>68</v>
      </c>
      <c r="BF17" s="12">
        <v>2025</v>
      </c>
      <c r="BG17" s="12">
        <f>BS17*60%</f>
        <v>43.7514147285713</v>
      </c>
      <c r="BH17" s="12">
        <f>BT17*60%</f>
        <v>30.2006344714285</v>
      </c>
      <c r="BI17" s="12">
        <f>BU17*60%</f>
        <v>58.1433486428569</v>
      </c>
      <c r="BL17" s="12" t="s">
        <v>69</v>
      </c>
      <c r="BM17" s="12">
        <v>2025</v>
      </c>
      <c r="BN17" s="12">
        <f>BS17*40%</f>
        <v>29.1676098190475</v>
      </c>
      <c r="BO17" s="12">
        <f t="shared" ref="BO17:BO24" si="19">BT17*40%</f>
        <v>20.1337563142856</v>
      </c>
      <c r="BP17" s="12">
        <f t="shared" ref="BP17:BP24" si="20">BU17*40%</f>
        <v>38.7622324285713</v>
      </c>
      <c r="BS17" s="124">
        <v>72.9190245476188</v>
      </c>
      <c r="BT17" s="124">
        <v>50.3343907857141</v>
      </c>
      <c r="BU17" s="124">
        <v>96.9055810714282</v>
      </c>
    </row>
    <row r="18" s="12" customFormat="1" spans="2:73">
      <c r="AX18" s="130" t="s">
        <v>72</v>
      </c>
      <c r="AY18" s="130">
        <f t="shared" ref="AY18:AY24" si="21">AY17</f>
        <v>2025</v>
      </c>
      <c r="AZ18" s="130">
        <f t="shared" si="18"/>
        <v>86.5492299999997</v>
      </c>
      <c r="BA18" s="130">
        <f t="shared" ref="BA18:BA24" si="22">BA5*AJ3/AI3</f>
        <v>60.1668396428569</v>
      </c>
      <c r="BB18" s="130">
        <f t="shared" ref="BB18:BB24" si="23">BB5*AJ3/AI3</f>
        <v>114.5390775</v>
      </c>
      <c r="BE18" s="12" t="s">
        <v>73</v>
      </c>
      <c r="BF18" s="12">
        <v>2025</v>
      </c>
      <c r="BG18" s="12">
        <f t="shared" ref="BG18:BG24" si="24">BS18*60%</f>
        <v>51.9295379999998</v>
      </c>
      <c r="BH18" s="12">
        <f t="shared" ref="BH18:BH24" si="25">BT18*60%</f>
        <v>36.1001037857141</v>
      </c>
      <c r="BI18" s="12">
        <f t="shared" ref="BI18:BI24" si="26">BU18*60%</f>
        <v>68.7234465</v>
      </c>
      <c r="BL18" s="12" t="s">
        <v>74</v>
      </c>
      <c r="BM18" s="12">
        <v>2025</v>
      </c>
      <c r="BN18" s="12">
        <f t="shared" ref="BN18:BN24" si="27">BS18*40%</f>
        <v>34.6196919999999</v>
      </c>
      <c r="BO18" s="12">
        <f t="shared" si="19"/>
        <v>24.0667358571428</v>
      </c>
      <c r="BP18" s="12">
        <f t="shared" si="20"/>
        <v>45.815631</v>
      </c>
      <c r="BS18" s="124">
        <v>86.5492299999997</v>
      </c>
      <c r="BT18" s="124">
        <v>60.1668396428569</v>
      </c>
      <c r="BU18" s="124">
        <v>114.5390775</v>
      </c>
    </row>
    <row r="19" s="12" customFormat="1" spans="2:73">
      <c r="AX19" s="130" t="s">
        <v>76</v>
      </c>
      <c r="AY19" s="130">
        <f t="shared" si="21"/>
        <v>2025</v>
      </c>
      <c r="AZ19" s="130">
        <f t="shared" si="18"/>
        <v>77.4225534047616</v>
      </c>
      <c r="BA19" s="130">
        <f t="shared" si="22"/>
        <v>50.8920477857141</v>
      </c>
      <c r="BB19" s="130">
        <f t="shared" si="23"/>
        <v>105.526078</v>
      </c>
      <c r="BE19" s="12" t="s">
        <v>77</v>
      </c>
      <c r="BF19" s="12">
        <v>2025</v>
      </c>
      <c r="BG19" s="12">
        <f t="shared" si="24"/>
        <v>46.453532042857</v>
      </c>
      <c r="BH19" s="12">
        <f t="shared" si="25"/>
        <v>30.5352286714285</v>
      </c>
      <c r="BI19" s="12">
        <f t="shared" si="26"/>
        <v>63.3156468</v>
      </c>
      <c r="BL19" s="12" t="s">
        <v>78</v>
      </c>
      <c r="BM19" s="12">
        <v>2025</v>
      </c>
      <c r="BN19" s="12">
        <f t="shared" si="27"/>
        <v>30.9690213619046</v>
      </c>
      <c r="BO19" s="12">
        <f t="shared" si="19"/>
        <v>20.3568191142856</v>
      </c>
      <c r="BP19" s="12">
        <f t="shared" si="20"/>
        <v>42.2104312</v>
      </c>
      <c r="BS19" s="124">
        <v>77.4225534047616</v>
      </c>
      <c r="BT19" s="124">
        <v>50.8920477857141</v>
      </c>
      <c r="BU19" s="124">
        <v>105.526078</v>
      </c>
    </row>
    <row r="20" s="12" customFormat="1" spans="2:73">
      <c r="AX20" s="130" t="s">
        <v>80</v>
      </c>
      <c r="AY20" s="130">
        <f t="shared" si="21"/>
        <v>2025</v>
      </c>
      <c r="AZ20" s="130">
        <f t="shared" si="18"/>
        <v>77.5802813571426</v>
      </c>
      <c r="BA20" s="130">
        <f t="shared" si="22"/>
        <v>50.400412642857</v>
      </c>
      <c r="BB20" s="130">
        <f t="shared" si="23"/>
        <v>106.411766928571</v>
      </c>
      <c r="BE20" s="12" t="s">
        <v>81</v>
      </c>
      <c r="BF20" s="12">
        <v>2025</v>
      </c>
      <c r="BG20" s="12">
        <f t="shared" si="24"/>
        <v>46.5481688142856</v>
      </c>
      <c r="BH20" s="12">
        <f t="shared" si="25"/>
        <v>30.2402475857142</v>
      </c>
      <c r="BI20" s="12">
        <f t="shared" si="26"/>
        <v>63.8470601571426</v>
      </c>
      <c r="BL20" s="12" t="s">
        <v>82</v>
      </c>
      <c r="BM20" s="12">
        <v>2025</v>
      </c>
      <c r="BN20" s="12">
        <f t="shared" si="27"/>
        <v>31.032112542857</v>
      </c>
      <c r="BO20" s="12">
        <f t="shared" si="19"/>
        <v>20.1601650571428</v>
      </c>
      <c r="BP20" s="12">
        <f t="shared" si="20"/>
        <v>42.5647067714284</v>
      </c>
      <c r="BS20" s="124">
        <v>77.5802813571426</v>
      </c>
      <c r="BT20" s="124">
        <v>50.400412642857</v>
      </c>
      <c r="BU20" s="124">
        <v>106.411766928571</v>
      </c>
    </row>
    <row r="21" s="12" customFormat="1" spans="2:73">
      <c r="AX21" s="130" t="s">
        <v>85</v>
      </c>
      <c r="AY21" s="130">
        <f t="shared" si="21"/>
        <v>2025</v>
      </c>
      <c r="AZ21" s="130">
        <f t="shared" si="18"/>
        <v>81.727145833333</v>
      </c>
      <c r="BA21" s="130">
        <f t="shared" si="22"/>
        <v>53.8549849999998</v>
      </c>
      <c r="BB21" s="130">
        <f t="shared" si="23"/>
        <v>111.2783525</v>
      </c>
      <c r="BE21" s="12" t="s">
        <v>86</v>
      </c>
      <c r="BF21" s="12">
        <v>2025</v>
      </c>
      <c r="BG21" s="12">
        <f t="shared" si="24"/>
        <v>49.0362874999998</v>
      </c>
      <c r="BH21" s="12">
        <f t="shared" si="25"/>
        <v>32.3129909999999</v>
      </c>
      <c r="BI21" s="12">
        <f t="shared" si="26"/>
        <v>66.7670115</v>
      </c>
      <c r="BL21" s="12" t="s">
        <v>87</v>
      </c>
      <c r="BM21" s="12">
        <v>2025</v>
      </c>
      <c r="BN21" s="12">
        <f t="shared" si="27"/>
        <v>32.6908583333332</v>
      </c>
      <c r="BO21" s="12">
        <f t="shared" si="19"/>
        <v>21.5419939999999</v>
      </c>
      <c r="BP21" s="12">
        <f t="shared" si="20"/>
        <v>44.511341</v>
      </c>
      <c r="BS21" s="124">
        <v>81.727145833333</v>
      </c>
      <c r="BT21" s="124">
        <v>53.8549849999998</v>
      </c>
      <c r="BU21" s="124">
        <v>111.2783525</v>
      </c>
    </row>
    <row r="22" s="12" customFormat="1" spans="2:73">
      <c r="AX22" s="130" t="s">
        <v>89</v>
      </c>
      <c r="AY22" s="130">
        <f t="shared" si="21"/>
        <v>2025</v>
      </c>
      <c r="AZ22" s="130">
        <f t="shared" si="18"/>
        <v>78.8508679761902</v>
      </c>
      <c r="BA22" s="130">
        <f t="shared" si="22"/>
        <v>52.0133489285712</v>
      </c>
      <c r="BB22" s="130">
        <f t="shared" si="23"/>
        <v>107.289872142857</v>
      </c>
      <c r="BE22" s="12" t="s">
        <v>90</v>
      </c>
      <c r="BF22" s="12">
        <v>2025</v>
      </c>
      <c r="BG22" s="12">
        <f t="shared" si="24"/>
        <v>47.3105207857141</v>
      </c>
      <c r="BH22" s="12">
        <f t="shared" si="25"/>
        <v>31.2080093571427</v>
      </c>
      <c r="BI22" s="12">
        <f t="shared" si="26"/>
        <v>64.3739232857142</v>
      </c>
      <c r="BL22" s="12" t="s">
        <v>91</v>
      </c>
      <c r="BM22" s="12">
        <v>2025</v>
      </c>
      <c r="BN22" s="12">
        <f t="shared" si="27"/>
        <v>31.5403471904761</v>
      </c>
      <c r="BO22" s="12">
        <f t="shared" si="19"/>
        <v>20.8053395714285</v>
      </c>
      <c r="BP22" s="12">
        <f t="shared" si="20"/>
        <v>42.9159488571428</v>
      </c>
      <c r="BS22" s="124">
        <v>78.8508679761902</v>
      </c>
      <c r="BT22" s="124">
        <v>52.0133489285712</v>
      </c>
      <c r="BU22" s="124">
        <v>107.289872142857</v>
      </c>
    </row>
    <row r="23" s="12" customFormat="1" spans="2:73">
      <c r="AX23" s="130" t="s">
        <v>93</v>
      </c>
      <c r="AY23" s="130">
        <f t="shared" si="21"/>
        <v>2025</v>
      </c>
      <c r="AZ23" s="130">
        <f t="shared" si="18"/>
        <v>81.2370619047616</v>
      </c>
      <c r="BA23" s="130">
        <f t="shared" si="22"/>
        <v>54.4190282857141</v>
      </c>
      <c r="BB23" s="130">
        <f t="shared" si="23"/>
        <v>109.650457428571</v>
      </c>
      <c r="BE23" s="12" t="s">
        <v>94</v>
      </c>
      <c r="BF23" s="12">
        <v>2025</v>
      </c>
      <c r="BG23" s="12">
        <f t="shared" si="24"/>
        <v>48.742237142857</v>
      </c>
      <c r="BH23" s="12">
        <f t="shared" si="25"/>
        <v>32.6514169714285</v>
      </c>
      <c r="BI23" s="12">
        <f t="shared" si="26"/>
        <v>65.7902744571426</v>
      </c>
      <c r="BL23" s="12" t="s">
        <v>95</v>
      </c>
      <c r="BM23" s="12">
        <v>2025</v>
      </c>
      <c r="BN23" s="12">
        <f t="shared" si="27"/>
        <v>32.4948247619046</v>
      </c>
      <c r="BO23" s="12">
        <f t="shared" si="19"/>
        <v>21.7676113142856</v>
      </c>
      <c r="BP23" s="12">
        <f t="shared" si="20"/>
        <v>43.8601829714284</v>
      </c>
      <c r="BS23" s="124">
        <v>81.2370619047616</v>
      </c>
      <c r="BT23" s="124">
        <v>54.4190282857141</v>
      </c>
      <c r="BU23" s="124">
        <v>109.650457428571</v>
      </c>
    </row>
    <row r="24" s="12" customFormat="1" spans="2:73">
      <c r="AW24" s="123"/>
      <c r="AX24" s="136"/>
      <c r="AY24" s="130"/>
      <c r="AZ24" s="130"/>
      <c r="BA24" s="130"/>
      <c r="BB24" s="130"/>
      <c r="BE24" s="12" t="s">
        <v>97</v>
      </c>
      <c r="BF24" s="12">
        <v>2025</v>
      </c>
      <c r="BG24" s="12">
        <f t="shared" si="24"/>
        <v>88.2250857142854</v>
      </c>
      <c r="BH24" s="12">
        <f t="shared" si="25"/>
        <v>88.2250857142854</v>
      </c>
      <c r="BI24" s="12">
        <f t="shared" si="26"/>
        <v>88.2250857142854</v>
      </c>
      <c r="BL24" s="12" t="s">
        <v>98</v>
      </c>
      <c r="BM24" s="12">
        <v>2025</v>
      </c>
      <c r="BN24" s="12">
        <f t="shared" si="27"/>
        <v>58.8167238095236</v>
      </c>
      <c r="BO24" s="12">
        <f t="shared" si="19"/>
        <v>58.8167238095236</v>
      </c>
      <c r="BP24" s="12">
        <f t="shared" si="20"/>
        <v>58.8167238095236</v>
      </c>
      <c r="BS24" s="124">
        <v>147.041809523809</v>
      </c>
      <c r="BT24" s="124">
        <v>147.041809523809</v>
      </c>
      <c r="BU24" s="124">
        <v>147.041809523809</v>
      </c>
    </row>
    <row r="25" s="123" customFormat="1" spans="2:73">
      <c r="AV25" s="12"/>
      <c r="AW25" s="12"/>
      <c r="AX25" s="12"/>
      <c r="AY25" s="12"/>
      <c r="AZ25" s="12"/>
      <c r="BA25" s="12"/>
      <c r="BB25" s="12"/>
      <c r="BC25" s="12"/>
      <c r="BS25" s="137"/>
      <c r="BT25" s="137"/>
      <c r="BU25" s="137"/>
    </row>
    <row r="30" spans="2:73">
      <c r="AX30" t="s">
        <v>62</v>
      </c>
      <c r="AY30"/>
      <c r="AZ30" s="130"/>
      <c r="BE30" s="12" t="s">
        <v>63</v>
      </c>
      <c r="BL30" s="12" t="s">
        <v>62</v>
      </c>
    </row>
    <row r="31" spans="2:73">
      <c r="AW31" s="138"/>
      <c r="AX31" s="130" t="s">
        <v>65</v>
      </c>
      <c r="AY31" s="130" t="s">
        <v>41</v>
      </c>
      <c r="AZ31" s="134" t="s">
        <v>66</v>
      </c>
      <c r="BA31" s="134" t="s">
        <v>11</v>
      </c>
      <c r="BB31" s="134" t="s">
        <v>25</v>
      </c>
      <c r="BE31" s="12" t="s">
        <v>65</v>
      </c>
      <c r="BF31" s="12" t="s">
        <v>41</v>
      </c>
      <c r="BG31" s="12" t="s">
        <v>66</v>
      </c>
      <c r="BH31" s="12" t="s">
        <v>11</v>
      </c>
      <c r="BI31" s="12" t="s">
        <v>25</v>
      </c>
      <c r="BL31" s="12" t="s">
        <v>65</v>
      </c>
      <c r="BM31" s="12" t="s">
        <v>41</v>
      </c>
      <c r="BN31" s="12" t="s">
        <v>66</v>
      </c>
      <c r="BO31" s="12" t="s">
        <v>11</v>
      </c>
      <c r="BP31" s="12" t="s">
        <v>25</v>
      </c>
      <c r="BS31" s="124" t="s">
        <v>66</v>
      </c>
      <c r="BT31" s="124" t="s">
        <v>11</v>
      </c>
      <c r="BU31" s="124" t="s">
        <v>25</v>
      </c>
    </row>
    <row r="32" spans="2:73">
      <c r="B32" s="47" t="s">
        <v>99</v>
      </c>
      <c r="C32" s="47" t="s">
        <v>100</v>
      </c>
      <c r="AW32" s="130"/>
      <c r="AX32" s="130" t="s">
        <v>67</v>
      </c>
      <c r="AY32" s="130">
        <v>2030</v>
      </c>
      <c r="AZ32" s="130">
        <f>AZ17*AK2/AJ2</f>
        <v>63.1582102380952</v>
      </c>
      <c r="BA32" s="130">
        <f>BA17*AK2/AJ2</f>
        <v>43.5967164285714</v>
      </c>
      <c r="BB32" s="130">
        <f>BB17*AK2/AJ2</f>
        <v>83.9339678571427</v>
      </c>
      <c r="BE32" s="12" t="s">
        <v>68</v>
      </c>
      <c r="BF32" s="12">
        <v>2030</v>
      </c>
      <c r="BG32" s="12">
        <f>BS32*60%</f>
        <v>37.8949261428571</v>
      </c>
      <c r="BH32" s="12">
        <f>BT32*60%</f>
        <v>26.1580298571428</v>
      </c>
      <c r="BI32" s="12">
        <f>BU32*60%</f>
        <v>50.3603807142856</v>
      </c>
      <c r="BL32" s="12" t="s">
        <v>69</v>
      </c>
      <c r="BM32" s="12">
        <v>2030</v>
      </c>
      <c r="BN32" s="12">
        <f>BS32*40%</f>
        <v>25.2632840952381</v>
      </c>
      <c r="BO32" s="12">
        <f>BT32*40%</f>
        <v>17.4386865714286</v>
      </c>
      <c r="BP32" s="12">
        <f>BU32*40%</f>
        <v>33.5735871428571</v>
      </c>
      <c r="BS32" s="124">
        <v>63.1582102380952</v>
      </c>
      <c r="BT32" s="124">
        <v>43.5967164285714</v>
      </c>
      <c r="BU32" s="124">
        <v>83.9339678571427</v>
      </c>
    </row>
    <row r="33" spans="2:73">
      <c r="B33" s="47">
        <v>121.57</v>
      </c>
      <c r="C33" s="47">
        <f>B33/0.75</f>
        <v>162.093333333333</v>
      </c>
      <c r="AW33" s="130"/>
      <c r="AX33" s="130" t="s">
        <v>72</v>
      </c>
      <c r="AY33" s="130">
        <f t="shared" ref="AY33:AY39" si="28">AY32</f>
        <v>2030</v>
      </c>
      <c r="AZ33" s="130">
        <f t="shared" ref="AZ33:AZ39" si="29">AZ18*AK3/AJ3</f>
        <v>74.9638999999999</v>
      </c>
      <c r="BA33" s="130">
        <f t="shared" ref="BA33:BA39" si="30">BA18*AK3/AJ3</f>
        <v>52.1130107142856</v>
      </c>
      <c r="BB33" s="130">
        <f t="shared" ref="BB33:BB39" si="31">BB18*AK3/AJ3</f>
        <v>99.2070749999999</v>
      </c>
      <c r="BE33" s="12" t="s">
        <v>73</v>
      </c>
      <c r="BF33" s="12">
        <v>2030</v>
      </c>
      <c r="BG33" s="12">
        <f t="shared" ref="BG33:BG39" si="32">BS33*60%</f>
        <v>44.9783399999999</v>
      </c>
      <c r="BH33" s="12">
        <f t="shared" ref="BH33:BH39" si="33">BT33*60%</f>
        <v>31.2678064285714</v>
      </c>
      <c r="BI33" s="12">
        <f t="shared" ref="BI33:BI39" si="34">BU33*60%</f>
        <v>59.5242449999999</v>
      </c>
      <c r="BL33" s="12" t="s">
        <v>74</v>
      </c>
      <c r="BM33" s="12">
        <v>2030</v>
      </c>
      <c r="BN33" s="12">
        <f t="shared" ref="BN33:BN39" si="35">BS33*40%</f>
        <v>29.98556</v>
      </c>
      <c r="BO33" s="12">
        <f t="shared" ref="BO33:BO39" si="36">BT33*40%</f>
        <v>20.8452042857142</v>
      </c>
      <c r="BP33" s="12">
        <f t="shared" ref="BP33:BP39" si="37">BU33*40%</f>
        <v>39.68283</v>
      </c>
      <c r="BS33" s="124">
        <v>74.9638999999999</v>
      </c>
      <c r="BT33" s="124">
        <v>52.1130107142856</v>
      </c>
      <c r="BU33" s="124">
        <v>99.2070749999999</v>
      </c>
    </row>
    <row r="34" spans="2:73">
      <c r="AW34" s="130"/>
      <c r="AX34" s="130" t="s">
        <v>76</v>
      </c>
      <c r="AY34" s="130">
        <f t="shared" si="28"/>
        <v>2030</v>
      </c>
      <c r="AZ34" s="130">
        <f t="shared" si="29"/>
        <v>67.0589045238094</v>
      </c>
      <c r="BA34" s="130">
        <f t="shared" si="30"/>
        <v>44.0797264285714</v>
      </c>
      <c r="BB34" s="130">
        <f t="shared" si="31"/>
        <v>91.4005399999999</v>
      </c>
      <c r="BE34" s="12" t="s">
        <v>77</v>
      </c>
      <c r="BF34" s="12">
        <v>2030</v>
      </c>
      <c r="BG34" s="12">
        <f t="shared" si="32"/>
        <v>40.2353427142856</v>
      </c>
      <c r="BH34" s="12">
        <f t="shared" si="33"/>
        <v>26.4478358571428</v>
      </c>
      <c r="BI34" s="12">
        <f t="shared" si="34"/>
        <v>54.8403239999999</v>
      </c>
      <c r="BL34" s="12" t="s">
        <v>78</v>
      </c>
      <c r="BM34" s="12">
        <v>2030</v>
      </c>
      <c r="BN34" s="12">
        <f t="shared" si="35"/>
        <v>26.8235618095238</v>
      </c>
      <c r="BO34" s="12">
        <f t="shared" si="36"/>
        <v>17.6318905714286</v>
      </c>
      <c r="BP34" s="12">
        <f t="shared" si="37"/>
        <v>36.560216</v>
      </c>
      <c r="BS34" s="124">
        <v>67.0589045238094</v>
      </c>
      <c r="BT34" s="124">
        <v>44.0797264285714</v>
      </c>
      <c r="BU34" s="124">
        <v>91.4005399999999</v>
      </c>
    </row>
    <row r="35" spans="2:73">
      <c r="AW35" s="130"/>
      <c r="AX35" s="130" t="s">
        <v>80</v>
      </c>
      <c r="AY35" s="130">
        <f t="shared" si="28"/>
        <v>2030</v>
      </c>
      <c r="AZ35" s="130">
        <f t="shared" si="29"/>
        <v>67.1955192857142</v>
      </c>
      <c r="BA35" s="130">
        <f t="shared" si="30"/>
        <v>43.6539007142857</v>
      </c>
      <c r="BB35" s="130">
        <f t="shared" si="31"/>
        <v>92.167672142857</v>
      </c>
      <c r="BE35" s="12" t="s">
        <v>81</v>
      </c>
      <c r="BF35" s="12">
        <v>2030</v>
      </c>
      <c r="BG35" s="12">
        <f t="shared" si="32"/>
        <v>40.3173115714285</v>
      </c>
      <c r="BH35" s="12">
        <f t="shared" si="33"/>
        <v>26.1923404285714</v>
      </c>
      <c r="BI35" s="12">
        <f t="shared" si="34"/>
        <v>55.3006032857142</v>
      </c>
      <c r="BL35" s="12" t="s">
        <v>82</v>
      </c>
      <c r="BM35" s="12">
        <v>2030</v>
      </c>
      <c r="BN35" s="12">
        <f t="shared" si="35"/>
        <v>26.8782077142857</v>
      </c>
      <c r="BO35" s="12">
        <f t="shared" si="36"/>
        <v>17.4615602857143</v>
      </c>
      <c r="BP35" s="12">
        <f t="shared" si="37"/>
        <v>36.8670688571428</v>
      </c>
      <c r="BS35" s="124">
        <v>67.1955192857142</v>
      </c>
      <c r="BT35" s="124">
        <v>43.6539007142857</v>
      </c>
      <c r="BU35" s="124">
        <v>92.167672142857</v>
      </c>
    </row>
    <row r="36" spans="2:73">
      <c r="AW36" s="130"/>
      <c r="AX36" s="130" t="s">
        <v>85</v>
      </c>
      <c r="AY36" s="130">
        <f t="shared" si="28"/>
        <v>2030</v>
      </c>
      <c r="AZ36" s="130">
        <f t="shared" si="29"/>
        <v>70.7872916666665</v>
      </c>
      <c r="BA36" s="130">
        <f t="shared" si="30"/>
        <v>46.6460499999999</v>
      </c>
      <c r="BB36" s="130">
        <f t="shared" si="31"/>
        <v>96.3828249999999</v>
      </c>
      <c r="BE36" s="12" t="s">
        <v>86</v>
      </c>
      <c r="BF36" s="12">
        <v>2030</v>
      </c>
      <c r="BG36" s="12">
        <f t="shared" si="32"/>
        <v>42.4723749999999</v>
      </c>
      <c r="BH36" s="12">
        <f t="shared" si="33"/>
        <v>27.9876299999999</v>
      </c>
      <c r="BI36" s="12">
        <f t="shared" si="34"/>
        <v>57.8296949999999</v>
      </c>
      <c r="BL36" s="12" t="s">
        <v>87</v>
      </c>
      <c r="BM36" s="12">
        <v>2030</v>
      </c>
      <c r="BN36" s="12">
        <f t="shared" si="35"/>
        <v>28.3149166666666</v>
      </c>
      <c r="BO36" s="12">
        <f t="shared" si="36"/>
        <v>18.65842</v>
      </c>
      <c r="BP36" s="12">
        <f t="shared" si="37"/>
        <v>38.55313</v>
      </c>
      <c r="BS36" s="124">
        <v>70.7872916666665</v>
      </c>
      <c r="BT36" s="124">
        <v>46.6460499999999</v>
      </c>
      <c r="BU36" s="124">
        <v>96.3828249999999</v>
      </c>
    </row>
    <row r="37" spans="2:73">
      <c r="AW37" s="130"/>
      <c r="AX37" s="130" t="s">
        <v>89</v>
      </c>
      <c r="AY37" s="130">
        <f t="shared" si="28"/>
        <v>2030</v>
      </c>
      <c r="AZ37" s="130">
        <f t="shared" si="29"/>
        <v>68.2960273809523</v>
      </c>
      <c r="BA37" s="130">
        <f t="shared" si="30"/>
        <v>45.0509321428571</v>
      </c>
      <c r="BB37" s="130">
        <f t="shared" si="31"/>
        <v>92.9282357142856</v>
      </c>
      <c r="BE37" s="12" t="s">
        <v>90</v>
      </c>
      <c r="BF37" s="12">
        <v>2030</v>
      </c>
      <c r="BG37" s="12">
        <f t="shared" si="32"/>
        <v>40.9776164285714</v>
      </c>
      <c r="BH37" s="12">
        <f t="shared" si="33"/>
        <v>27.0305592857143</v>
      </c>
      <c r="BI37" s="12">
        <f t="shared" si="34"/>
        <v>55.7569414285714</v>
      </c>
      <c r="BL37" s="12" t="s">
        <v>91</v>
      </c>
      <c r="BM37" s="12">
        <v>2030</v>
      </c>
      <c r="BN37" s="12">
        <f t="shared" si="35"/>
        <v>27.3184109523809</v>
      </c>
      <c r="BO37" s="12">
        <f t="shared" si="36"/>
        <v>18.0203728571428</v>
      </c>
      <c r="BP37" s="12">
        <f t="shared" si="37"/>
        <v>37.1712942857142</v>
      </c>
      <c r="BS37" s="124">
        <v>68.2960273809523</v>
      </c>
      <c r="BT37" s="124">
        <v>45.0509321428571</v>
      </c>
      <c r="BU37" s="124">
        <v>92.9282357142856</v>
      </c>
    </row>
    <row r="38" spans="2:73">
      <c r="AW38" s="130"/>
      <c r="AX38" s="130" t="s">
        <v>93</v>
      </c>
      <c r="AY38" s="130">
        <f t="shared" si="28"/>
        <v>2030</v>
      </c>
      <c r="AZ38" s="130">
        <f t="shared" si="29"/>
        <v>70.3628095238094</v>
      </c>
      <c r="BA38" s="130">
        <f t="shared" si="30"/>
        <v>47.1345914285714</v>
      </c>
      <c r="BB38" s="130">
        <f t="shared" si="31"/>
        <v>94.972837142857</v>
      </c>
      <c r="BE38" s="12" t="s">
        <v>94</v>
      </c>
      <c r="BF38" s="12">
        <v>2030</v>
      </c>
      <c r="BG38" s="12">
        <f t="shared" si="32"/>
        <v>42.2176857142856</v>
      </c>
      <c r="BH38" s="12">
        <f t="shared" si="33"/>
        <v>28.2807548571428</v>
      </c>
      <c r="BI38" s="12">
        <f t="shared" si="34"/>
        <v>56.9837022857142</v>
      </c>
      <c r="BL38" s="12" t="s">
        <v>95</v>
      </c>
      <c r="BM38" s="12">
        <v>2030</v>
      </c>
      <c r="BN38" s="12">
        <f t="shared" si="35"/>
        <v>28.1451238095238</v>
      </c>
      <c r="BO38" s="12">
        <f t="shared" si="36"/>
        <v>18.8538365714286</v>
      </c>
      <c r="BP38" s="12">
        <f t="shared" si="37"/>
        <v>37.9891348571428</v>
      </c>
      <c r="BS38" s="124">
        <v>70.3628095238094</v>
      </c>
      <c r="BT38" s="124">
        <v>47.1345914285714</v>
      </c>
      <c r="BU38" s="124">
        <v>94.972837142857</v>
      </c>
    </row>
    <row r="39" spans="2:73">
      <c r="AW39" s="136"/>
      <c r="AX39" s="136"/>
      <c r="AY39" s="130"/>
      <c r="AZ39" s="130"/>
      <c r="BA39" s="130"/>
      <c r="BB39" s="130"/>
      <c r="BE39" s="12" t="s">
        <v>97</v>
      </c>
      <c r="BF39" s="12">
        <v>2030</v>
      </c>
      <c r="BG39" s="12">
        <f t="shared" si="32"/>
        <v>76.4154285714282</v>
      </c>
      <c r="BH39" s="12">
        <f t="shared" si="33"/>
        <v>76.4154285714282</v>
      </c>
      <c r="BI39" s="12">
        <f t="shared" si="34"/>
        <v>76.4154285714282</v>
      </c>
      <c r="BL39" s="12" t="s">
        <v>98</v>
      </c>
      <c r="BM39" s="12">
        <v>2030</v>
      </c>
      <c r="BN39" s="12">
        <f t="shared" si="35"/>
        <v>50.9436190476188</v>
      </c>
      <c r="BO39" s="12">
        <f t="shared" si="36"/>
        <v>50.9436190476188</v>
      </c>
      <c r="BP39" s="12">
        <f t="shared" si="37"/>
        <v>50.9436190476188</v>
      </c>
      <c r="BS39" s="124">
        <v>127.359047619047</v>
      </c>
      <c r="BT39" s="124">
        <v>127.359047619047</v>
      </c>
      <c r="BU39" s="124">
        <v>127.359047619047</v>
      </c>
    </row>
    <row r="44" spans="2:73">
      <c r="AX44" t="s">
        <v>62</v>
      </c>
      <c r="AY44"/>
      <c r="AZ44" s="130"/>
      <c r="BE44" s="12" t="s">
        <v>63</v>
      </c>
      <c r="BL44" s="12" t="s">
        <v>62</v>
      </c>
    </row>
    <row r="45" spans="2:73">
      <c r="AX45" s="130" t="s">
        <v>65</v>
      </c>
      <c r="AY45" s="130" t="s">
        <v>41</v>
      </c>
      <c r="AZ45" s="134" t="s">
        <v>66</v>
      </c>
      <c r="BA45" s="134" t="s">
        <v>11</v>
      </c>
      <c r="BB45" s="134" t="s">
        <v>25</v>
      </c>
      <c r="BE45" s="12" t="s">
        <v>65</v>
      </c>
      <c r="BF45" s="12" t="s">
        <v>41</v>
      </c>
      <c r="BG45" s="12" t="s">
        <v>66</v>
      </c>
      <c r="BH45" s="12" t="s">
        <v>11</v>
      </c>
      <c r="BI45" s="12" t="s">
        <v>25</v>
      </c>
      <c r="BL45" s="12" t="s">
        <v>65</v>
      </c>
      <c r="BM45" s="12" t="s">
        <v>41</v>
      </c>
      <c r="BN45" s="12" t="s">
        <v>66</v>
      </c>
      <c r="BO45" s="12" t="s">
        <v>11</v>
      </c>
      <c r="BP45" s="12" t="s">
        <v>25</v>
      </c>
      <c r="BS45" s="124" t="s">
        <v>66</v>
      </c>
      <c r="BT45" s="124" t="s">
        <v>11</v>
      </c>
      <c r="BU45" s="124" t="s">
        <v>25</v>
      </c>
    </row>
    <row r="46" spans="2:73">
      <c r="B46"/>
      <c r="C46" s="130"/>
      <c r="AX46" s="130" t="s">
        <v>67</v>
      </c>
      <c r="AY46" s="130">
        <v>2035</v>
      </c>
      <c r="AZ46" s="130">
        <f>AZ32*AL2/AK2</f>
        <v>57.4165547619049</v>
      </c>
      <c r="BA46" s="130">
        <f>BA32*AL2/AK2</f>
        <v>39.6333785714287</v>
      </c>
      <c r="BB46" s="130">
        <f>BB32*AL2/AK2</f>
        <v>76.3036071428573</v>
      </c>
      <c r="BE46" s="12" t="s">
        <v>68</v>
      </c>
      <c r="BF46" s="12">
        <v>2035</v>
      </c>
      <c r="BG46" s="12">
        <f>BS46*60%</f>
        <v>34.4499328571429</v>
      </c>
      <c r="BH46" s="12">
        <f>BT46*60%</f>
        <v>23.7800271428572</v>
      </c>
      <c r="BI46" s="12">
        <f>BU46*60%</f>
        <v>45.7821642857144</v>
      </c>
      <c r="BL46" s="12" t="s">
        <v>69</v>
      </c>
      <c r="BM46" s="12">
        <v>2035</v>
      </c>
      <c r="BN46" s="12">
        <f>BS46*40%</f>
        <v>22.966621904762</v>
      </c>
      <c r="BO46" s="12">
        <f t="shared" ref="BO46:BO53" si="38">BT46*40%</f>
        <v>15.8533514285715</v>
      </c>
      <c r="BP46" s="12">
        <f t="shared" ref="BP46:BP53" si="39">BU46*40%</f>
        <v>30.5214428571429</v>
      </c>
      <c r="BS46" s="124">
        <v>57.4165547619049</v>
      </c>
      <c r="BT46" s="124">
        <v>39.6333785714287</v>
      </c>
      <c r="BU46" s="124">
        <v>76.3036071428573</v>
      </c>
    </row>
    <row r="47" spans="2:73">
      <c r="B47" s="130"/>
      <c r="C47" s="134"/>
      <c r="D47" s="134"/>
      <c r="E47" s="134"/>
      <c r="AX47" s="130" t="s">
        <v>72</v>
      </c>
      <c r="AY47" s="130">
        <f t="shared" ref="AY47:AY53" si="40">AY46</f>
        <v>2035</v>
      </c>
      <c r="AZ47" s="130">
        <f t="shared" ref="AZ47:AZ53" si="41">AZ33*AL3/AK3</f>
        <v>68.1490000000002</v>
      </c>
      <c r="BA47" s="130">
        <f t="shared" ref="BA47:BA53" si="42">BA33*AL3/AK3</f>
        <v>47.3754642857144</v>
      </c>
      <c r="BB47" s="130">
        <f t="shared" ref="BB47:BB53" si="43">BB33*AL3/AK3</f>
        <v>90.1882500000002</v>
      </c>
      <c r="BE47" s="12" t="s">
        <v>73</v>
      </c>
      <c r="BF47" s="12">
        <v>2035</v>
      </c>
      <c r="BG47" s="12">
        <f t="shared" ref="BG47:BG53" si="44">BS47*60%</f>
        <v>40.8894000000001</v>
      </c>
      <c r="BH47" s="12">
        <f t="shared" ref="BH47:BH53" si="45">BT47*60%</f>
        <v>28.4252785714286</v>
      </c>
      <c r="BI47" s="12">
        <f t="shared" ref="BI47:BI53" si="46">BU47*60%</f>
        <v>54.1129500000001</v>
      </c>
      <c r="BL47" s="12" t="s">
        <v>74</v>
      </c>
      <c r="BM47" s="12">
        <v>2035</v>
      </c>
      <c r="BN47" s="12">
        <f t="shared" ref="BN47:BN53" si="47">BS47*40%</f>
        <v>27.2596000000001</v>
      </c>
      <c r="BO47" s="12">
        <f t="shared" si="38"/>
        <v>18.9501857142858</v>
      </c>
      <c r="BP47" s="12">
        <f t="shared" si="39"/>
        <v>36.0753000000001</v>
      </c>
      <c r="BS47" s="124">
        <v>68.1490000000002</v>
      </c>
      <c r="BT47" s="124">
        <v>47.3754642857144</v>
      </c>
      <c r="BU47" s="124">
        <v>90.1882500000002</v>
      </c>
    </row>
    <row r="48" spans="2:73">
      <c r="B48" s="130"/>
      <c r="C48" s="130"/>
      <c r="D48" s="130"/>
      <c r="E48" s="130"/>
      <c r="AX48" s="130" t="s">
        <v>76</v>
      </c>
      <c r="AY48" s="130">
        <f t="shared" si="40"/>
        <v>2035</v>
      </c>
      <c r="AZ48" s="130">
        <f t="shared" si="41"/>
        <v>60.9626404761906</v>
      </c>
      <c r="BA48" s="130">
        <f t="shared" si="42"/>
        <v>40.0724785714287</v>
      </c>
      <c r="BB48" s="130">
        <f t="shared" si="43"/>
        <v>83.0914000000002</v>
      </c>
      <c r="BE48" s="12" t="s">
        <v>77</v>
      </c>
      <c r="BF48" s="12">
        <v>2035</v>
      </c>
      <c r="BG48" s="12">
        <f t="shared" si="44"/>
        <v>36.5775842857144</v>
      </c>
      <c r="BH48" s="12">
        <f t="shared" si="45"/>
        <v>24.0434871428572</v>
      </c>
      <c r="BI48" s="12">
        <f t="shared" si="46"/>
        <v>49.8548400000001</v>
      </c>
      <c r="BL48" s="12" t="s">
        <v>78</v>
      </c>
      <c r="BM48" s="12">
        <v>2035</v>
      </c>
      <c r="BN48" s="12">
        <f t="shared" si="47"/>
        <v>24.3850561904762</v>
      </c>
      <c r="BO48" s="12">
        <f t="shared" si="38"/>
        <v>16.0289914285715</v>
      </c>
      <c r="BP48" s="12">
        <f t="shared" si="39"/>
        <v>33.2365600000001</v>
      </c>
      <c r="BS48" s="124">
        <v>60.9626404761906</v>
      </c>
      <c r="BT48" s="124">
        <v>40.0724785714287</v>
      </c>
      <c r="BU48" s="124">
        <v>83.0914000000002</v>
      </c>
    </row>
    <row r="49" spans="2:73">
      <c r="B49" s="130"/>
      <c r="C49" s="130"/>
      <c r="D49" s="130"/>
      <c r="E49" s="130"/>
      <c r="AX49" s="130" t="s">
        <v>80</v>
      </c>
      <c r="AY49" s="130">
        <f t="shared" si="40"/>
        <v>2035</v>
      </c>
      <c r="AZ49" s="130">
        <f t="shared" si="41"/>
        <v>61.0868357142859</v>
      </c>
      <c r="BA49" s="130">
        <f t="shared" si="42"/>
        <v>39.6853642857144</v>
      </c>
      <c r="BB49" s="130">
        <f t="shared" si="43"/>
        <v>83.7887928571431</v>
      </c>
      <c r="BE49" s="12" t="s">
        <v>81</v>
      </c>
      <c r="BF49" s="12">
        <v>2035</v>
      </c>
      <c r="BG49" s="12">
        <f t="shared" si="44"/>
        <v>36.6521014285715</v>
      </c>
      <c r="BH49" s="12">
        <f t="shared" si="45"/>
        <v>23.8112185714286</v>
      </c>
      <c r="BI49" s="12">
        <f t="shared" si="46"/>
        <v>50.2732757142859</v>
      </c>
      <c r="BL49" s="12" t="s">
        <v>82</v>
      </c>
      <c r="BM49" s="12">
        <v>2035</v>
      </c>
      <c r="BN49" s="12">
        <f t="shared" si="47"/>
        <v>24.4347342857144</v>
      </c>
      <c r="BO49" s="12">
        <f t="shared" si="38"/>
        <v>15.8741457142858</v>
      </c>
      <c r="BP49" s="12">
        <f t="shared" si="39"/>
        <v>33.5155171428572</v>
      </c>
      <c r="BS49" s="124">
        <v>61.0868357142859</v>
      </c>
      <c r="BT49" s="124">
        <v>39.6853642857144</v>
      </c>
      <c r="BU49" s="124">
        <v>83.7887928571431</v>
      </c>
    </row>
    <row r="50" spans="2:73">
      <c r="B50" s="130"/>
      <c r="C50" s="130"/>
      <c r="D50" s="130"/>
      <c r="E50" s="130"/>
      <c r="AX50" s="130" t="s">
        <v>85</v>
      </c>
      <c r="AY50" s="130">
        <f t="shared" si="40"/>
        <v>2035</v>
      </c>
      <c r="AZ50" s="130">
        <f t="shared" si="41"/>
        <v>64.3520833333335</v>
      </c>
      <c r="BA50" s="130">
        <f t="shared" si="42"/>
        <v>42.4055000000001</v>
      </c>
      <c r="BB50" s="130">
        <f t="shared" si="43"/>
        <v>87.6207500000002</v>
      </c>
      <c r="BE50" s="12" t="s">
        <v>86</v>
      </c>
      <c r="BF50" s="12">
        <v>2035</v>
      </c>
      <c r="BG50" s="12">
        <f t="shared" si="44"/>
        <v>38.6112500000001</v>
      </c>
      <c r="BH50" s="12">
        <f t="shared" si="45"/>
        <v>25.4433000000001</v>
      </c>
      <c r="BI50" s="12">
        <f t="shared" si="46"/>
        <v>52.5724500000001</v>
      </c>
      <c r="BL50" s="12" t="s">
        <v>87</v>
      </c>
      <c r="BM50" s="12">
        <v>2035</v>
      </c>
      <c r="BN50" s="12">
        <f t="shared" si="47"/>
        <v>25.7408333333334</v>
      </c>
      <c r="BO50" s="12">
        <f t="shared" si="38"/>
        <v>16.9622</v>
      </c>
      <c r="BP50" s="12">
        <f t="shared" si="39"/>
        <v>35.0483000000001</v>
      </c>
      <c r="BS50" s="124">
        <v>64.3520833333335</v>
      </c>
      <c r="BT50" s="124">
        <v>42.4055000000001</v>
      </c>
      <c r="BU50" s="124">
        <v>87.6207500000002</v>
      </c>
    </row>
    <row r="51" spans="2:73">
      <c r="B51" s="130"/>
      <c r="C51" s="130"/>
      <c r="D51" s="130"/>
      <c r="E51" s="130"/>
      <c r="AX51" s="130" t="s">
        <v>89</v>
      </c>
      <c r="AY51" s="130">
        <f t="shared" si="40"/>
        <v>2035</v>
      </c>
      <c r="AZ51" s="130">
        <f t="shared" si="41"/>
        <v>62.0872976190478</v>
      </c>
      <c r="BA51" s="130">
        <f t="shared" si="42"/>
        <v>40.955392857143</v>
      </c>
      <c r="BB51" s="130">
        <f t="shared" si="43"/>
        <v>84.4802142857145</v>
      </c>
      <c r="BE51" s="12" t="s">
        <v>90</v>
      </c>
      <c r="BF51" s="12">
        <v>2035</v>
      </c>
      <c r="BG51" s="12">
        <f t="shared" si="44"/>
        <v>37.2523785714287</v>
      </c>
      <c r="BH51" s="12">
        <f t="shared" si="45"/>
        <v>24.5732357142858</v>
      </c>
      <c r="BI51" s="12">
        <f t="shared" si="46"/>
        <v>50.6881285714287</v>
      </c>
      <c r="BL51" s="12" t="s">
        <v>91</v>
      </c>
      <c r="BM51" s="12">
        <v>2035</v>
      </c>
      <c r="BN51" s="12">
        <f t="shared" si="47"/>
        <v>24.8349190476191</v>
      </c>
      <c r="BO51" s="12">
        <f t="shared" si="38"/>
        <v>16.3821571428572</v>
      </c>
      <c r="BP51" s="12">
        <f t="shared" si="39"/>
        <v>33.7920857142858</v>
      </c>
      <c r="BS51" s="124">
        <v>62.0872976190478</v>
      </c>
      <c r="BT51" s="124">
        <v>40.955392857143</v>
      </c>
      <c r="BU51" s="124">
        <v>84.4802142857145</v>
      </c>
    </row>
    <row r="52" spans="2:73">
      <c r="B52" s="130"/>
      <c r="C52" s="130"/>
      <c r="D52" s="130"/>
      <c r="E52" s="130"/>
      <c r="AX52" s="130" t="s">
        <v>93</v>
      </c>
      <c r="AY52" s="130">
        <f t="shared" si="40"/>
        <v>2035</v>
      </c>
      <c r="AZ52" s="130">
        <f t="shared" si="41"/>
        <v>63.9661904761907</v>
      </c>
      <c r="BA52" s="130">
        <f t="shared" si="42"/>
        <v>42.8496285714287</v>
      </c>
      <c r="BB52" s="130">
        <f t="shared" si="43"/>
        <v>86.3389428571431</v>
      </c>
      <c r="BE52" s="12" t="s">
        <v>94</v>
      </c>
      <c r="BF52" s="12">
        <v>2035</v>
      </c>
      <c r="BG52" s="12">
        <f t="shared" si="44"/>
        <v>38.3797142857144</v>
      </c>
      <c r="BH52" s="12">
        <f t="shared" si="45"/>
        <v>25.7097771428572</v>
      </c>
      <c r="BI52" s="12">
        <f t="shared" si="46"/>
        <v>51.8033657142859</v>
      </c>
      <c r="BL52" s="12" t="s">
        <v>95</v>
      </c>
      <c r="BM52" s="12">
        <v>2035</v>
      </c>
      <c r="BN52" s="12">
        <f t="shared" si="47"/>
        <v>25.5864761904763</v>
      </c>
      <c r="BO52" s="12">
        <f t="shared" si="38"/>
        <v>17.1398514285715</v>
      </c>
      <c r="BP52" s="12">
        <f t="shared" si="39"/>
        <v>34.5355771428572</v>
      </c>
      <c r="BS52" s="124">
        <v>63.9661904761907</v>
      </c>
      <c r="BT52" s="124">
        <v>42.8496285714287</v>
      </c>
      <c r="BU52" s="124">
        <v>86.3389428571431</v>
      </c>
    </row>
    <row r="53" spans="2:73">
      <c r="B53" s="130"/>
      <c r="C53" s="130"/>
      <c r="D53" s="130"/>
      <c r="E53" s="130"/>
      <c r="AW53" s="123"/>
      <c r="AX53" s="136"/>
      <c r="AY53" s="130"/>
      <c r="AZ53" s="130"/>
      <c r="BA53" s="130"/>
      <c r="BB53" s="130"/>
      <c r="BE53" s="12" t="s">
        <v>97</v>
      </c>
      <c r="BF53" s="12">
        <v>2035</v>
      </c>
      <c r="BG53" s="12">
        <f t="shared" si="44"/>
        <v>69.4685714285718</v>
      </c>
      <c r="BH53" s="12">
        <f t="shared" si="45"/>
        <v>69.4685714285718</v>
      </c>
      <c r="BI53" s="12">
        <f t="shared" si="46"/>
        <v>69.4685714285718</v>
      </c>
      <c r="BL53" s="12" t="s">
        <v>98</v>
      </c>
      <c r="BM53" s="12">
        <v>2035</v>
      </c>
      <c r="BN53" s="12">
        <f t="shared" si="47"/>
        <v>46.3123809523812</v>
      </c>
      <c r="BO53" s="12">
        <f t="shared" si="38"/>
        <v>46.3123809523812</v>
      </c>
      <c r="BP53" s="12">
        <f t="shared" si="39"/>
        <v>46.3123809523812</v>
      </c>
      <c r="BS53" s="124">
        <v>115.780952380953</v>
      </c>
      <c r="BT53" s="124">
        <v>115.780952380953</v>
      </c>
      <c r="BU53" s="124">
        <v>115.780952380953</v>
      </c>
    </row>
    <row r="54" spans="2:73">
      <c r="B54" s="130"/>
      <c r="C54" s="130"/>
      <c r="D54" s="130"/>
      <c r="E54" s="130"/>
    </row>
    <row r="55" spans="2:73">
      <c r="B55" s="139"/>
      <c r="C55" s="140"/>
      <c r="D55" s="140"/>
      <c r="E55" s="140"/>
    </row>
    <row r="58" spans="2:73">
      <c r="AX58" t="s">
        <v>62</v>
      </c>
      <c r="AY58"/>
      <c r="AZ58" s="130"/>
      <c r="BE58" s="12" t="s">
        <v>63</v>
      </c>
      <c r="BL58" s="12" t="s">
        <v>62</v>
      </c>
    </row>
    <row r="59" spans="2:73">
      <c r="AX59" s="130" t="s">
        <v>65</v>
      </c>
      <c r="AY59" s="130" t="s">
        <v>41</v>
      </c>
      <c r="AZ59" s="134" t="s">
        <v>66</v>
      </c>
      <c r="BA59" s="134" t="s">
        <v>11</v>
      </c>
      <c r="BB59" s="134" t="s">
        <v>25</v>
      </c>
      <c r="BE59" s="12" t="s">
        <v>65</v>
      </c>
      <c r="BF59" s="12" t="s">
        <v>41</v>
      </c>
      <c r="BG59" s="12" t="s">
        <v>66</v>
      </c>
      <c r="BH59" s="12" t="s">
        <v>11</v>
      </c>
      <c r="BI59" s="12" t="s">
        <v>25</v>
      </c>
      <c r="BL59" s="12" t="s">
        <v>65</v>
      </c>
      <c r="BM59" s="12" t="s">
        <v>41</v>
      </c>
      <c r="BN59" s="12" t="s">
        <v>66</v>
      </c>
      <c r="BO59" s="12" t="s">
        <v>11</v>
      </c>
      <c r="BP59" s="12" t="s">
        <v>25</v>
      </c>
      <c r="BS59" s="124" t="s">
        <v>66</v>
      </c>
      <c r="BT59" s="124" t="s">
        <v>11</v>
      </c>
      <c r="BU59" s="124" t="s">
        <v>25</v>
      </c>
    </row>
    <row r="60" spans="2:73">
      <c r="AX60" s="130" t="s">
        <v>67</v>
      </c>
      <c r="AY60" s="130">
        <v>2040</v>
      </c>
      <c r="AZ60" s="130">
        <f>AZ46*0.97</f>
        <v>55.6940581190478</v>
      </c>
      <c r="BA60" s="130">
        <f>BA46*0.97</f>
        <v>38.4443772142858</v>
      </c>
      <c r="BB60" s="130">
        <f>BB46*0.97</f>
        <v>74.0144989285716</v>
      </c>
      <c r="BE60" s="12" t="s">
        <v>68</v>
      </c>
      <c r="BF60" s="12">
        <v>2040</v>
      </c>
      <c r="BG60" s="12">
        <f>BS60*60%</f>
        <v>33.4164348714287</v>
      </c>
      <c r="BH60" s="12">
        <f>BT60*60%</f>
        <v>23.0666263285715</v>
      </c>
      <c r="BI60" s="12">
        <f>BU60*60%</f>
        <v>44.408699357143</v>
      </c>
      <c r="BL60" s="12" t="s">
        <v>69</v>
      </c>
      <c r="BM60" s="12">
        <v>2040</v>
      </c>
      <c r="BN60" s="12">
        <f>BS60*40%</f>
        <v>22.2776232476191</v>
      </c>
      <c r="BO60" s="12">
        <f t="shared" ref="BO60:BO67" si="48">BT60*40%</f>
        <v>15.3777508857143</v>
      </c>
      <c r="BP60" s="12">
        <f t="shared" ref="BP60:BP67" si="49">BU60*40%</f>
        <v>29.6057995714286</v>
      </c>
      <c r="BS60" s="124">
        <v>55.6940581190478</v>
      </c>
      <c r="BT60" s="124">
        <v>38.4443772142858</v>
      </c>
      <c r="BU60" s="124">
        <v>74.0144989285716</v>
      </c>
    </row>
    <row r="61" spans="2:73">
      <c r="AX61" s="130" t="s">
        <v>72</v>
      </c>
      <c r="AY61" s="130">
        <f t="shared" ref="AY61:AY67" si="50">AY60</f>
        <v>2040</v>
      </c>
      <c r="AZ61" s="130">
        <f t="shared" ref="AZ61:AZ67" si="51">AZ47*0.97</f>
        <v>66.1045300000002</v>
      </c>
      <c r="BA61" s="130">
        <f t="shared" ref="BA61:BA67" si="52">BA47*0.97</f>
        <v>45.954200357143</v>
      </c>
      <c r="BB61" s="130">
        <f t="shared" ref="BB61:BB67" si="53">BB47*0.97</f>
        <v>87.4826025000002</v>
      </c>
      <c r="BE61" s="12" t="s">
        <v>73</v>
      </c>
      <c r="BF61" s="12">
        <v>2040</v>
      </c>
      <c r="BG61" s="12">
        <f t="shared" ref="BG61:BG67" si="54">BS61*60%</f>
        <v>39.6627180000001</v>
      </c>
      <c r="BH61" s="12">
        <f t="shared" ref="BH61:BH67" si="55">BT61*60%</f>
        <v>27.5725202142858</v>
      </c>
      <c r="BI61" s="12">
        <f t="shared" ref="BI61:BI67" si="56">BU61*60%</f>
        <v>52.4895615000001</v>
      </c>
      <c r="BL61" s="12" t="s">
        <v>74</v>
      </c>
      <c r="BM61" s="12">
        <v>2040</v>
      </c>
      <c r="BN61" s="12">
        <f t="shared" ref="BN61:BN67" si="57">BS61*40%</f>
        <v>26.4418120000001</v>
      </c>
      <c r="BO61" s="12">
        <f t="shared" si="48"/>
        <v>18.3816801428572</v>
      </c>
      <c r="BP61" s="12">
        <f t="shared" si="49"/>
        <v>34.9930410000001</v>
      </c>
      <c r="BS61" s="124">
        <v>66.1045300000002</v>
      </c>
      <c r="BT61" s="124">
        <v>45.954200357143</v>
      </c>
      <c r="BU61" s="124">
        <v>87.4826025000002</v>
      </c>
    </row>
    <row r="62" spans="2:73">
      <c r="AX62" s="130" t="s">
        <v>76</v>
      </c>
      <c r="AY62" s="130">
        <f t="shared" si="50"/>
        <v>2040</v>
      </c>
      <c r="AZ62" s="130">
        <f t="shared" si="51"/>
        <v>59.1337612619049</v>
      </c>
      <c r="BA62" s="130">
        <f t="shared" si="52"/>
        <v>38.8703042142858</v>
      </c>
      <c r="BB62" s="130">
        <f t="shared" si="53"/>
        <v>80.5986580000002</v>
      </c>
      <c r="BE62" s="12" t="s">
        <v>77</v>
      </c>
      <c r="BF62" s="12">
        <v>2040</v>
      </c>
      <c r="BG62" s="12">
        <f t="shared" si="54"/>
        <v>35.4802567571429</v>
      </c>
      <c r="BH62" s="12">
        <f t="shared" si="55"/>
        <v>23.3221825285715</v>
      </c>
      <c r="BI62" s="12">
        <f t="shared" si="56"/>
        <v>48.3591948000001</v>
      </c>
      <c r="BL62" s="12" t="s">
        <v>78</v>
      </c>
      <c r="BM62" s="12">
        <v>2040</v>
      </c>
      <c r="BN62" s="12">
        <f t="shared" si="57"/>
        <v>23.653504504762</v>
      </c>
      <c r="BO62" s="12">
        <f t="shared" si="48"/>
        <v>15.5481216857143</v>
      </c>
      <c r="BP62" s="12">
        <f t="shared" si="49"/>
        <v>32.2394632000001</v>
      </c>
      <c r="BS62" s="124">
        <v>59.1337612619049</v>
      </c>
      <c r="BT62" s="124">
        <v>38.8703042142858</v>
      </c>
      <c r="BU62" s="124">
        <v>80.5986580000002</v>
      </c>
    </row>
    <row r="63" spans="2:73">
      <c r="AX63" s="130" t="s">
        <v>80</v>
      </c>
      <c r="AY63" s="130">
        <f t="shared" si="50"/>
        <v>2040</v>
      </c>
      <c r="AZ63" s="130">
        <f t="shared" si="51"/>
        <v>59.2542306428573</v>
      </c>
      <c r="BA63" s="130">
        <f t="shared" si="52"/>
        <v>38.494803357143</v>
      </c>
      <c r="BB63" s="130">
        <f t="shared" si="53"/>
        <v>81.2751290714288</v>
      </c>
      <c r="BE63" s="12" t="s">
        <v>81</v>
      </c>
      <c r="BF63" s="12">
        <v>2040</v>
      </c>
      <c r="BG63" s="12">
        <f t="shared" si="54"/>
        <v>35.5525383857144</v>
      </c>
      <c r="BH63" s="12">
        <f t="shared" si="55"/>
        <v>23.0968820142858</v>
      </c>
      <c r="BI63" s="12">
        <f t="shared" si="56"/>
        <v>48.7650774428573</v>
      </c>
      <c r="BL63" s="12" t="s">
        <v>82</v>
      </c>
      <c r="BM63" s="12">
        <v>2040</v>
      </c>
      <c r="BN63" s="12">
        <f t="shared" si="57"/>
        <v>23.7016922571429</v>
      </c>
      <c r="BO63" s="12">
        <f t="shared" si="48"/>
        <v>15.3979213428572</v>
      </c>
      <c r="BP63" s="12">
        <f t="shared" si="49"/>
        <v>32.5100516285715</v>
      </c>
      <c r="BS63" s="124">
        <v>59.2542306428573</v>
      </c>
      <c r="BT63" s="124">
        <v>38.494803357143</v>
      </c>
      <c r="BU63" s="124">
        <v>81.2751290714288</v>
      </c>
    </row>
    <row r="64" spans="2:73">
      <c r="AX64" s="130" t="s">
        <v>85</v>
      </c>
      <c r="AY64" s="130">
        <f t="shared" si="50"/>
        <v>2040</v>
      </c>
      <c r="AZ64" s="130">
        <f t="shared" si="51"/>
        <v>62.4215208333334</v>
      </c>
      <c r="BA64" s="130">
        <f t="shared" si="52"/>
        <v>41.1333350000001</v>
      </c>
      <c r="BB64" s="130">
        <f t="shared" si="53"/>
        <v>84.9921275000002</v>
      </c>
      <c r="BE64" s="12" t="s">
        <v>86</v>
      </c>
      <c r="BF64" s="12">
        <v>2040</v>
      </c>
      <c r="BG64" s="12">
        <f t="shared" si="54"/>
        <v>37.4529125</v>
      </c>
      <c r="BH64" s="12">
        <f t="shared" si="55"/>
        <v>24.6800010000001</v>
      </c>
      <c r="BI64" s="12">
        <f t="shared" si="56"/>
        <v>50.9952765000001</v>
      </c>
      <c r="BL64" s="12" t="s">
        <v>87</v>
      </c>
      <c r="BM64" s="12">
        <v>2040</v>
      </c>
      <c r="BN64" s="12">
        <f t="shared" si="57"/>
        <v>24.9686083333334</v>
      </c>
      <c r="BO64" s="12">
        <f t="shared" si="48"/>
        <v>16.453334</v>
      </c>
      <c r="BP64" s="12">
        <f t="shared" si="49"/>
        <v>33.9968510000001</v>
      </c>
      <c r="BS64" s="124">
        <v>62.4215208333334</v>
      </c>
      <c r="BT64" s="124">
        <v>41.1333350000001</v>
      </c>
      <c r="BU64" s="124">
        <v>84.9921275000002</v>
      </c>
    </row>
    <row r="65" spans="49:73">
      <c r="AX65" s="130" t="s">
        <v>89</v>
      </c>
      <c r="AY65" s="130">
        <f t="shared" si="50"/>
        <v>2040</v>
      </c>
      <c r="AZ65" s="130">
        <f t="shared" si="51"/>
        <v>60.2246786904764</v>
      </c>
      <c r="BA65" s="130">
        <f t="shared" si="52"/>
        <v>39.7267310714287</v>
      </c>
      <c r="BB65" s="130">
        <f t="shared" si="53"/>
        <v>81.9458078571431</v>
      </c>
      <c r="BE65" s="12" t="s">
        <v>90</v>
      </c>
      <c r="BF65" s="12">
        <v>2040</v>
      </c>
      <c r="BG65" s="12">
        <f t="shared" si="54"/>
        <v>36.1348072142858</v>
      </c>
      <c r="BH65" s="12">
        <f t="shared" si="55"/>
        <v>23.8360386428572</v>
      </c>
      <c r="BI65" s="12">
        <f t="shared" si="56"/>
        <v>49.1674847142859</v>
      </c>
      <c r="BL65" s="12" t="s">
        <v>91</v>
      </c>
      <c r="BM65" s="12">
        <v>2040</v>
      </c>
      <c r="BN65" s="12">
        <f t="shared" si="57"/>
        <v>24.0898714761906</v>
      </c>
      <c r="BO65" s="12">
        <f t="shared" si="48"/>
        <v>15.8906924285715</v>
      </c>
      <c r="BP65" s="12">
        <f t="shared" si="49"/>
        <v>32.7783231428572</v>
      </c>
      <c r="BS65" s="124">
        <v>60.2246786904764</v>
      </c>
      <c r="BT65" s="124">
        <v>39.7267310714287</v>
      </c>
      <c r="BU65" s="124">
        <v>81.9458078571431</v>
      </c>
    </row>
    <row r="66" spans="49:73">
      <c r="AX66" s="130" t="s">
        <v>93</v>
      </c>
      <c r="AY66" s="130">
        <f t="shared" si="50"/>
        <v>2040</v>
      </c>
      <c r="AZ66" s="130">
        <f t="shared" si="51"/>
        <v>62.0472047619049</v>
      </c>
      <c r="BA66" s="130">
        <f t="shared" si="52"/>
        <v>41.5641397142858</v>
      </c>
      <c r="BB66" s="130">
        <f t="shared" si="53"/>
        <v>83.7487745714288</v>
      </c>
      <c r="BE66" s="12" t="s">
        <v>94</v>
      </c>
      <c r="BF66" s="12">
        <v>2040</v>
      </c>
      <c r="BG66" s="12">
        <f t="shared" si="54"/>
        <v>37.2283228571429</v>
      </c>
      <c r="BH66" s="12">
        <f t="shared" si="55"/>
        <v>24.9384838285715</v>
      </c>
      <c r="BI66" s="12">
        <f t="shared" si="56"/>
        <v>50.2492647428573</v>
      </c>
      <c r="BL66" s="12" t="s">
        <v>95</v>
      </c>
      <c r="BM66" s="12">
        <v>2040</v>
      </c>
      <c r="BN66" s="12">
        <f t="shared" si="57"/>
        <v>24.818881904762</v>
      </c>
      <c r="BO66" s="12">
        <f t="shared" si="48"/>
        <v>16.6256558857143</v>
      </c>
      <c r="BP66" s="12">
        <f t="shared" si="49"/>
        <v>33.4995098285715</v>
      </c>
      <c r="BS66" s="124">
        <v>62.0472047619049</v>
      </c>
      <c r="BT66" s="124">
        <v>41.5641397142858</v>
      </c>
      <c r="BU66" s="124">
        <v>83.7487745714288</v>
      </c>
    </row>
    <row r="67" spans="49:73">
      <c r="AW67" s="123"/>
      <c r="AX67" s="136"/>
      <c r="AY67" s="130"/>
      <c r="AZ67" s="130"/>
      <c r="BA67" s="130"/>
      <c r="BB67" s="130"/>
      <c r="BE67" s="12" t="s">
        <v>97</v>
      </c>
      <c r="BF67" s="12">
        <v>2040</v>
      </c>
      <c r="BG67" s="12">
        <f t="shared" si="54"/>
        <v>67.3845142857144</v>
      </c>
      <c r="BH67" s="12">
        <f t="shared" si="55"/>
        <v>67.3845142857144</v>
      </c>
      <c r="BI67" s="12">
        <f t="shared" si="56"/>
        <v>67.3845142857144</v>
      </c>
      <c r="BL67" s="12" t="s">
        <v>98</v>
      </c>
      <c r="BM67" s="12">
        <v>2040</v>
      </c>
      <c r="BN67" s="12">
        <f t="shared" si="57"/>
        <v>44.9230095238096</v>
      </c>
      <c r="BO67" s="12">
        <f t="shared" si="48"/>
        <v>44.9230095238096</v>
      </c>
      <c r="BP67" s="12">
        <f t="shared" si="49"/>
        <v>44.9230095238096</v>
      </c>
      <c r="BS67" s="124">
        <v>112.307523809524</v>
      </c>
      <c r="BT67" s="124">
        <v>112.307523809524</v>
      </c>
      <c r="BU67" s="124">
        <v>112.307523809524</v>
      </c>
    </row>
    <row r="74" spans="49:73">
      <c r="AX74" t="s">
        <v>62</v>
      </c>
      <c r="AY74"/>
      <c r="AZ74" s="130"/>
      <c r="BE74" s="12" t="s">
        <v>63</v>
      </c>
      <c r="BL74" s="12" t="s">
        <v>62</v>
      </c>
    </row>
    <row r="75" spans="49:73">
      <c r="AX75" s="130" t="s">
        <v>65</v>
      </c>
      <c r="AY75" s="130" t="s">
        <v>41</v>
      </c>
      <c r="AZ75" s="134" t="s">
        <v>66</v>
      </c>
      <c r="BA75" s="134" t="s">
        <v>11</v>
      </c>
      <c r="BB75" s="134" t="s">
        <v>25</v>
      </c>
      <c r="BE75" s="12" t="s">
        <v>65</v>
      </c>
      <c r="BF75" s="12" t="s">
        <v>41</v>
      </c>
      <c r="BG75" s="12" t="s">
        <v>66</v>
      </c>
      <c r="BH75" s="12" t="s">
        <v>11</v>
      </c>
      <c r="BI75" s="12" t="s">
        <v>25</v>
      </c>
      <c r="BL75" s="12" t="s">
        <v>65</v>
      </c>
      <c r="BM75" s="12" t="s">
        <v>41</v>
      </c>
      <c r="BN75" s="12" t="s">
        <v>66</v>
      </c>
      <c r="BO75" s="12" t="s">
        <v>11</v>
      </c>
      <c r="BP75" s="12" t="s">
        <v>25</v>
      </c>
      <c r="BS75" s="124" t="s">
        <v>66</v>
      </c>
      <c r="BT75" s="124" t="s">
        <v>11</v>
      </c>
      <c r="BU75" s="124" t="s">
        <v>25</v>
      </c>
    </row>
    <row r="76" spans="49:73">
      <c r="AX76" s="130" t="s">
        <v>67</v>
      </c>
      <c r="AY76" s="130">
        <v>2045</v>
      </c>
      <c r="AZ76" s="130">
        <f>AZ60*0.96</f>
        <v>53.4662957942859</v>
      </c>
      <c r="BA76" s="130">
        <f>BA60*0.96</f>
        <v>36.9066021257144</v>
      </c>
      <c r="BB76" s="130">
        <f>BB60*0.96</f>
        <v>71.0539189714287</v>
      </c>
      <c r="BE76" s="12" t="s">
        <v>68</v>
      </c>
      <c r="BF76" s="12">
        <v>2045</v>
      </c>
      <c r="BG76" s="12">
        <f>BS76*60%</f>
        <v>32.0797774765715</v>
      </c>
      <c r="BH76" s="12">
        <f>BT76*60%</f>
        <v>22.1439612754286</v>
      </c>
      <c r="BI76" s="12">
        <f>BU76*60%</f>
        <v>42.6323513828572</v>
      </c>
      <c r="BL76" s="12" t="s">
        <v>69</v>
      </c>
      <c r="BM76" s="12">
        <v>2045</v>
      </c>
      <c r="BN76" s="12">
        <f>BS76*40%</f>
        <v>21.3865183177144</v>
      </c>
      <c r="BO76" s="12">
        <f t="shared" ref="BO76:BO83" si="58">BT76*40%</f>
        <v>14.7626408502858</v>
      </c>
      <c r="BP76" s="12">
        <f t="shared" ref="BP76:BP83" si="59">BU76*40%</f>
        <v>28.4215675885715</v>
      </c>
      <c r="BS76" s="124">
        <v>53.4662957942859</v>
      </c>
      <c r="BT76" s="124">
        <v>36.9066021257144</v>
      </c>
      <c r="BU76" s="124">
        <v>71.0539189714287</v>
      </c>
    </row>
    <row r="77" spans="49:73">
      <c r="AX77" s="130" t="s">
        <v>72</v>
      </c>
      <c r="AY77" s="130">
        <f t="shared" ref="AY77:AY83" si="60">AY76</f>
        <v>2045</v>
      </c>
      <c r="AZ77" s="130">
        <f t="shared" ref="AZ77:AZ83" si="61">AZ61*0.96</f>
        <v>63.4603488000002</v>
      </c>
      <c r="BA77" s="130">
        <f t="shared" ref="BA77:BA83" si="62">BA61*0.96</f>
        <v>44.1160323428573</v>
      </c>
      <c r="BB77" s="130">
        <f t="shared" ref="BB77:BB83" si="63">BB61*0.96</f>
        <v>83.9832984000002</v>
      </c>
      <c r="BE77" s="12" t="s">
        <v>73</v>
      </c>
      <c r="BF77" s="12">
        <v>2045</v>
      </c>
      <c r="BG77" s="12">
        <f t="shared" ref="BG77:BG83" si="64">BS77*60%</f>
        <v>38.0762092800001</v>
      </c>
      <c r="BH77" s="12">
        <f t="shared" ref="BH77:BH83" si="65">BT77*60%</f>
        <v>26.4696194057144</v>
      </c>
      <c r="BI77" s="12">
        <f t="shared" ref="BI77:BI83" si="66">BU77*60%</f>
        <v>50.3899790400001</v>
      </c>
      <c r="BL77" s="12" t="s">
        <v>74</v>
      </c>
      <c r="BM77" s="12">
        <v>2045</v>
      </c>
      <c r="BN77" s="12">
        <f t="shared" ref="BN77:BN83" si="67">BS77*40%</f>
        <v>25.3841395200001</v>
      </c>
      <c r="BO77" s="12">
        <f t="shared" si="58"/>
        <v>17.6464129371429</v>
      </c>
      <c r="BP77" s="12">
        <f t="shared" si="59"/>
        <v>33.5933193600001</v>
      </c>
      <c r="BS77" s="124">
        <v>63.4603488000002</v>
      </c>
      <c r="BT77" s="124">
        <v>44.1160323428573</v>
      </c>
      <c r="BU77" s="124">
        <v>83.9832984000002</v>
      </c>
    </row>
    <row r="78" spans="49:73">
      <c r="AX78" s="130" t="s">
        <v>76</v>
      </c>
      <c r="AY78" s="130">
        <f t="shared" si="60"/>
        <v>2045</v>
      </c>
      <c r="AZ78" s="130">
        <f t="shared" si="61"/>
        <v>56.7684108114287</v>
      </c>
      <c r="BA78" s="130">
        <f t="shared" si="62"/>
        <v>37.3154920457144</v>
      </c>
      <c r="BB78" s="130">
        <f t="shared" si="63"/>
        <v>77.3747116800002</v>
      </c>
      <c r="BE78" s="12" t="s">
        <v>77</v>
      </c>
      <c r="BF78" s="12">
        <v>2045</v>
      </c>
      <c r="BG78" s="12">
        <f t="shared" si="64"/>
        <v>34.0610464868572</v>
      </c>
      <c r="BH78" s="12">
        <f t="shared" si="65"/>
        <v>22.3892952274286</v>
      </c>
      <c r="BI78" s="12">
        <f t="shared" si="66"/>
        <v>46.4248270080001</v>
      </c>
      <c r="BL78" s="12" t="s">
        <v>78</v>
      </c>
      <c r="BM78" s="12">
        <v>2045</v>
      </c>
      <c r="BN78" s="12">
        <f t="shared" si="67"/>
        <v>22.7073643245715</v>
      </c>
      <c r="BO78" s="12">
        <f t="shared" si="58"/>
        <v>14.9261968182858</v>
      </c>
      <c r="BP78" s="12">
        <f t="shared" si="59"/>
        <v>30.9498846720001</v>
      </c>
      <c r="BS78" s="124">
        <v>56.7684108114287</v>
      </c>
      <c r="BT78" s="124">
        <v>37.3154920457144</v>
      </c>
      <c r="BU78" s="124">
        <v>77.3747116800002</v>
      </c>
    </row>
    <row r="79" spans="49:73">
      <c r="AX79" s="130" t="s">
        <v>80</v>
      </c>
      <c r="AY79" s="130">
        <f t="shared" si="60"/>
        <v>2045</v>
      </c>
      <c r="AZ79" s="130">
        <f t="shared" si="61"/>
        <v>56.884061417143</v>
      </c>
      <c r="BA79" s="130">
        <f t="shared" si="62"/>
        <v>36.9550112228572</v>
      </c>
      <c r="BB79" s="130">
        <f t="shared" si="63"/>
        <v>78.0241239085716</v>
      </c>
      <c r="BE79" s="12" t="s">
        <v>81</v>
      </c>
      <c r="BF79" s="12">
        <v>2045</v>
      </c>
      <c r="BG79" s="12">
        <f t="shared" si="64"/>
        <v>34.1304368502858</v>
      </c>
      <c r="BH79" s="12">
        <f t="shared" si="65"/>
        <v>22.1730067337143</v>
      </c>
      <c r="BI79" s="12">
        <f t="shared" si="66"/>
        <v>46.814474345143</v>
      </c>
      <c r="BL79" s="12" t="s">
        <v>82</v>
      </c>
      <c r="BM79" s="12">
        <v>2045</v>
      </c>
      <c r="BN79" s="12">
        <f t="shared" si="67"/>
        <v>22.7536245668572</v>
      </c>
      <c r="BO79" s="12">
        <f t="shared" si="58"/>
        <v>14.7820044891429</v>
      </c>
      <c r="BP79" s="12">
        <f t="shared" si="59"/>
        <v>31.2096495634286</v>
      </c>
      <c r="BS79" s="124">
        <v>56.884061417143</v>
      </c>
      <c r="BT79" s="124">
        <v>36.9550112228572</v>
      </c>
      <c r="BU79" s="124">
        <v>78.0241239085716</v>
      </c>
    </row>
    <row r="80" spans="49:73">
      <c r="AX80" s="130" t="s">
        <v>85</v>
      </c>
      <c r="AY80" s="130">
        <f t="shared" si="60"/>
        <v>2045</v>
      </c>
      <c r="AZ80" s="130">
        <f t="shared" si="61"/>
        <v>59.9246600000001</v>
      </c>
      <c r="BA80" s="130">
        <f t="shared" si="62"/>
        <v>39.4880016000001</v>
      </c>
      <c r="BB80" s="130">
        <f t="shared" si="63"/>
        <v>81.5924424000002</v>
      </c>
      <c r="BE80" s="12" t="s">
        <v>86</v>
      </c>
      <c r="BF80" s="12">
        <v>2045</v>
      </c>
      <c r="BG80" s="12">
        <f t="shared" si="64"/>
        <v>35.9547960000001</v>
      </c>
      <c r="BH80" s="12">
        <f t="shared" si="65"/>
        <v>23.6928009600001</v>
      </c>
      <c r="BI80" s="12">
        <f t="shared" si="66"/>
        <v>48.9554654400001</v>
      </c>
      <c r="BL80" s="12" t="s">
        <v>87</v>
      </c>
      <c r="BM80" s="12">
        <v>2045</v>
      </c>
      <c r="BN80" s="12">
        <f t="shared" si="67"/>
        <v>23.969864</v>
      </c>
      <c r="BO80" s="12">
        <f t="shared" si="58"/>
        <v>15.79520064</v>
      </c>
      <c r="BP80" s="12">
        <f t="shared" si="59"/>
        <v>32.6369769600001</v>
      </c>
      <c r="BS80" s="124">
        <v>59.9246600000001</v>
      </c>
      <c r="BT80" s="124">
        <v>39.4880016000001</v>
      </c>
      <c r="BU80" s="124">
        <v>81.5924424000002</v>
      </c>
    </row>
    <row r="81" spans="49:73">
      <c r="AX81" s="130" t="s">
        <v>89</v>
      </c>
      <c r="AY81" s="130">
        <f t="shared" si="60"/>
        <v>2045</v>
      </c>
      <c r="AZ81" s="130">
        <f t="shared" si="61"/>
        <v>57.8156915428573</v>
      </c>
      <c r="BA81" s="130">
        <f t="shared" si="62"/>
        <v>38.1376618285715</v>
      </c>
      <c r="BB81" s="130">
        <f t="shared" si="63"/>
        <v>78.6679755428573</v>
      </c>
      <c r="BE81" s="12" t="s">
        <v>90</v>
      </c>
      <c r="BF81" s="12">
        <v>2045</v>
      </c>
      <c r="BG81" s="12">
        <f t="shared" si="64"/>
        <v>34.6894149257144</v>
      </c>
      <c r="BH81" s="12">
        <f t="shared" si="65"/>
        <v>22.8825970971429</v>
      </c>
      <c r="BI81" s="12">
        <f t="shared" si="66"/>
        <v>47.2007853257144</v>
      </c>
      <c r="BL81" s="12" t="s">
        <v>91</v>
      </c>
      <c r="BM81" s="12">
        <v>2045</v>
      </c>
      <c r="BN81" s="12">
        <f t="shared" si="67"/>
        <v>23.1262766171429</v>
      </c>
      <c r="BO81" s="12">
        <f t="shared" si="58"/>
        <v>15.2550647314286</v>
      </c>
      <c r="BP81" s="12">
        <f t="shared" si="59"/>
        <v>31.4671902171429</v>
      </c>
      <c r="BS81" s="124">
        <v>57.8156915428573</v>
      </c>
      <c r="BT81" s="124">
        <v>38.1376618285715</v>
      </c>
      <c r="BU81" s="124">
        <v>78.6679755428573</v>
      </c>
    </row>
    <row r="82" spans="49:73">
      <c r="AX82" s="130" t="s">
        <v>93</v>
      </c>
      <c r="AY82" s="130">
        <f t="shared" si="60"/>
        <v>2045</v>
      </c>
      <c r="AZ82" s="130">
        <f t="shared" si="61"/>
        <v>59.5653165714287</v>
      </c>
      <c r="BA82" s="130">
        <f t="shared" si="62"/>
        <v>39.9015741257144</v>
      </c>
      <c r="BB82" s="130">
        <f t="shared" si="63"/>
        <v>80.3988235885716</v>
      </c>
      <c r="BE82" s="12" t="s">
        <v>94</v>
      </c>
      <c r="BF82" s="12">
        <v>2045</v>
      </c>
      <c r="BG82" s="12">
        <f t="shared" si="64"/>
        <v>35.7391899428572</v>
      </c>
      <c r="BH82" s="12">
        <f t="shared" si="65"/>
        <v>23.9409444754286</v>
      </c>
      <c r="BI82" s="12">
        <f t="shared" si="66"/>
        <v>48.239294153143</v>
      </c>
      <c r="BL82" s="12" t="s">
        <v>95</v>
      </c>
      <c r="BM82" s="12">
        <v>2045</v>
      </c>
      <c r="BN82" s="12">
        <f t="shared" si="67"/>
        <v>23.8261266285715</v>
      </c>
      <c r="BO82" s="12">
        <f t="shared" si="58"/>
        <v>15.9606296502858</v>
      </c>
      <c r="BP82" s="12">
        <f t="shared" si="59"/>
        <v>32.1595294354286</v>
      </c>
      <c r="BS82" s="124">
        <v>59.5653165714287</v>
      </c>
      <c r="BT82" s="124">
        <v>39.9015741257144</v>
      </c>
      <c r="BU82" s="124">
        <v>80.3988235885716</v>
      </c>
    </row>
    <row r="83" spans="49:73">
      <c r="AW83" s="123"/>
      <c r="AX83" s="136"/>
      <c r="AY83" s="130"/>
      <c r="AZ83" s="130"/>
      <c r="BA83" s="130"/>
      <c r="BB83" s="130"/>
      <c r="BE83" s="12" t="s">
        <v>97</v>
      </c>
      <c r="BF83" s="12">
        <v>2045</v>
      </c>
      <c r="BG83" s="12">
        <f t="shared" si="64"/>
        <v>64.6891337142858</v>
      </c>
      <c r="BH83" s="12">
        <f t="shared" si="65"/>
        <v>64.6891337142858</v>
      </c>
      <c r="BI83" s="12">
        <f t="shared" si="66"/>
        <v>64.6891337142858</v>
      </c>
      <c r="BL83" s="12" t="s">
        <v>98</v>
      </c>
      <c r="BM83" s="12">
        <v>2045</v>
      </c>
      <c r="BN83" s="12">
        <f t="shared" si="67"/>
        <v>43.1260891428572</v>
      </c>
      <c r="BO83" s="12">
        <f t="shared" si="58"/>
        <v>43.1260891428572</v>
      </c>
      <c r="BP83" s="12">
        <f t="shared" si="59"/>
        <v>43.1260891428572</v>
      </c>
      <c r="BS83" s="124">
        <v>107.815222857143</v>
      </c>
      <c r="BT83" s="124">
        <v>107.815222857143</v>
      </c>
      <c r="BU83" s="124">
        <v>107.815222857143</v>
      </c>
    </row>
    <row r="87" spans="49:73">
      <c r="AX87" t="s">
        <v>62</v>
      </c>
      <c r="AY87"/>
      <c r="AZ87" s="130"/>
      <c r="BE87" s="12" t="s">
        <v>63</v>
      </c>
      <c r="BL87" s="12" t="s">
        <v>62</v>
      </c>
    </row>
    <row r="88" spans="49:73">
      <c r="AX88" s="130" t="s">
        <v>65</v>
      </c>
      <c r="AY88" s="130" t="s">
        <v>41</v>
      </c>
      <c r="AZ88" s="134" t="s">
        <v>66</v>
      </c>
      <c r="BA88" s="134" t="s">
        <v>11</v>
      </c>
      <c r="BB88" s="134" t="s">
        <v>25</v>
      </c>
      <c r="BE88" s="12" t="s">
        <v>65</v>
      </c>
      <c r="BF88" s="12" t="s">
        <v>41</v>
      </c>
      <c r="BG88" s="12" t="s">
        <v>66</v>
      </c>
      <c r="BH88" s="12" t="s">
        <v>11</v>
      </c>
      <c r="BI88" s="12" t="s">
        <v>25</v>
      </c>
      <c r="BL88" s="12" t="s">
        <v>65</v>
      </c>
      <c r="BM88" s="12" t="s">
        <v>41</v>
      </c>
      <c r="BN88" s="12" t="s">
        <v>66</v>
      </c>
      <c r="BO88" s="12" t="s">
        <v>11</v>
      </c>
      <c r="BP88" s="12" t="s">
        <v>25</v>
      </c>
      <c r="BS88" s="124" t="s">
        <v>66</v>
      </c>
      <c r="BT88" s="124" t="s">
        <v>11</v>
      </c>
      <c r="BU88" s="124" t="s">
        <v>25</v>
      </c>
    </row>
    <row r="89" spans="49:73">
      <c r="AX89" s="130" t="s">
        <v>67</v>
      </c>
      <c r="AY89" s="130">
        <v>2050</v>
      </c>
      <c r="AZ89" s="130">
        <f>AZ76*0.96</f>
        <v>51.3276439625144</v>
      </c>
      <c r="BA89" s="130">
        <f>BA76*0.96</f>
        <v>35.4303380406858</v>
      </c>
      <c r="BB89" s="130">
        <f>BB76*0.96</f>
        <v>68.2117622125716</v>
      </c>
      <c r="BE89" s="12" t="s">
        <v>68</v>
      </c>
      <c r="BF89" s="12">
        <v>2050</v>
      </c>
      <c r="BG89" s="12">
        <f>BS89*60%</f>
        <v>30.7965863775086</v>
      </c>
      <c r="BH89" s="12">
        <f t="shared" ref="BH89:BH96" si="68">BT89*60%</f>
        <v>21.2582028244115</v>
      </c>
      <c r="BI89" s="12">
        <f t="shared" ref="BI89:BI96" si="69">BU89*60%</f>
        <v>40.927057327543</v>
      </c>
      <c r="BL89" s="12" t="s">
        <v>69</v>
      </c>
      <c r="BM89" s="12">
        <v>2050</v>
      </c>
      <c r="BN89" s="12">
        <f>BS89*40%</f>
        <v>20.5310575850058</v>
      </c>
      <c r="BO89" s="12">
        <f>BT89*40%</f>
        <v>14.1721352162743</v>
      </c>
      <c r="BP89" s="12">
        <f>BU89*40%</f>
        <v>27.2847048850286</v>
      </c>
      <c r="BS89" s="124">
        <v>51.3276439625144</v>
      </c>
      <c r="BT89" s="124">
        <v>35.4303380406858</v>
      </c>
      <c r="BU89" s="124">
        <v>68.2117622125716</v>
      </c>
    </row>
    <row r="90" spans="49:73">
      <c r="AX90" s="130" t="s">
        <v>72</v>
      </c>
      <c r="AY90" s="130">
        <f t="shared" ref="AY90:AY96" si="70">AY89</f>
        <v>2050</v>
      </c>
      <c r="AZ90" s="130">
        <f t="shared" ref="AZ90:BB90" si="71">AZ77*0.96</f>
        <v>60.9219348480002</v>
      </c>
      <c r="BA90" s="130">
        <f t="shared" si="71"/>
        <v>42.351391049143</v>
      </c>
      <c r="BB90" s="130">
        <f t="shared" si="71"/>
        <v>80.6239664640002</v>
      </c>
      <c r="BE90" s="12" t="s">
        <v>73</v>
      </c>
      <c r="BF90" s="12">
        <v>2050</v>
      </c>
      <c r="BG90" s="12">
        <f t="shared" ref="BG90:BG96" si="72">BS90*60%</f>
        <v>36.5531609088001</v>
      </c>
      <c r="BH90" s="12">
        <f t="shared" si="68"/>
        <v>25.4108346294858</v>
      </c>
      <c r="BI90" s="12">
        <f t="shared" si="69"/>
        <v>48.3743798784001</v>
      </c>
      <c r="BL90" s="12" t="s">
        <v>74</v>
      </c>
      <c r="BM90" s="12">
        <v>2050</v>
      </c>
      <c r="BN90" s="12">
        <f t="shared" ref="BN90:BN96" si="73">BS90*40%</f>
        <v>24.3687739392001</v>
      </c>
      <c r="BO90" s="12">
        <f t="shared" ref="BO90:BO96" si="74">BT90*40%</f>
        <v>16.9405564196572</v>
      </c>
      <c r="BP90" s="12">
        <f t="shared" ref="BP90:BP96" si="75">BU90*40%</f>
        <v>32.2495865856001</v>
      </c>
      <c r="BS90" s="124">
        <v>60.9219348480002</v>
      </c>
      <c r="BT90" s="124">
        <v>42.351391049143</v>
      </c>
      <c r="BU90" s="124">
        <v>80.6239664640002</v>
      </c>
    </row>
    <row r="91" spans="49:73">
      <c r="AX91" s="130" t="s">
        <v>76</v>
      </c>
      <c r="AY91" s="130">
        <f t="shared" si="70"/>
        <v>2050</v>
      </c>
      <c r="AZ91" s="130">
        <f t="shared" ref="AZ91:BB91" si="76">AZ78*0.96</f>
        <v>54.4976743789715</v>
      </c>
      <c r="BA91" s="130">
        <f t="shared" si="76"/>
        <v>35.8228723638858</v>
      </c>
      <c r="BB91" s="130">
        <f t="shared" si="76"/>
        <v>74.2797232128002</v>
      </c>
      <c r="BE91" s="12" t="s">
        <v>77</v>
      </c>
      <c r="BF91" s="12">
        <v>2050</v>
      </c>
      <c r="BG91" s="12">
        <f t="shared" si="72"/>
        <v>32.6986046273829</v>
      </c>
      <c r="BH91" s="12">
        <f t="shared" si="68"/>
        <v>21.4937234183315</v>
      </c>
      <c r="BI91" s="12">
        <f t="shared" si="69"/>
        <v>44.5678339276801</v>
      </c>
      <c r="BL91" s="12" t="s">
        <v>78</v>
      </c>
      <c r="BM91" s="12">
        <v>2050</v>
      </c>
      <c r="BN91" s="12">
        <f t="shared" si="73"/>
        <v>21.7990697515886</v>
      </c>
      <c r="BO91" s="12">
        <f t="shared" si="74"/>
        <v>14.3291489455543</v>
      </c>
      <c r="BP91" s="12">
        <f t="shared" si="75"/>
        <v>29.7118892851201</v>
      </c>
      <c r="BS91" s="124">
        <v>54.4976743789715</v>
      </c>
      <c r="BT91" s="124">
        <v>35.8228723638858</v>
      </c>
      <c r="BU91" s="124">
        <v>74.2797232128002</v>
      </c>
    </row>
    <row r="92" spans="49:73">
      <c r="AX92" s="130" t="s">
        <v>80</v>
      </c>
      <c r="AY92" s="130">
        <f t="shared" si="70"/>
        <v>2050</v>
      </c>
      <c r="AZ92" s="130">
        <f t="shared" ref="AZ92:BB92" si="77">AZ79*0.96</f>
        <v>54.6086989604573</v>
      </c>
      <c r="BA92" s="130">
        <f t="shared" si="77"/>
        <v>35.4768107739429</v>
      </c>
      <c r="BB92" s="130">
        <f t="shared" si="77"/>
        <v>74.9031589522287</v>
      </c>
      <c r="BE92" s="12" t="s">
        <v>81</v>
      </c>
      <c r="BF92" s="12">
        <v>2050</v>
      </c>
      <c r="BG92" s="12">
        <f t="shared" si="72"/>
        <v>32.7652193762744</v>
      </c>
      <c r="BH92" s="12">
        <f t="shared" si="68"/>
        <v>21.2860864643657</v>
      </c>
      <c r="BI92" s="12">
        <f t="shared" si="69"/>
        <v>44.9418953713372</v>
      </c>
      <c r="BL92" s="12" t="s">
        <v>82</v>
      </c>
      <c r="BM92" s="12">
        <v>2050</v>
      </c>
      <c r="BN92" s="12">
        <f t="shared" si="73"/>
        <v>21.8434795841829</v>
      </c>
      <c r="BO92" s="12">
        <f t="shared" si="74"/>
        <v>14.1907243095772</v>
      </c>
      <c r="BP92" s="12">
        <f t="shared" si="75"/>
        <v>29.9612635808915</v>
      </c>
      <c r="BS92" s="124">
        <v>54.6086989604573</v>
      </c>
      <c r="BT92" s="124">
        <v>35.4768107739429</v>
      </c>
      <c r="BU92" s="124">
        <v>74.9031589522287</v>
      </c>
    </row>
    <row r="93" spans="49:73">
      <c r="AX93" s="130" t="s">
        <v>85</v>
      </c>
      <c r="AY93" s="130">
        <f t="shared" si="70"/>
        <v>2050</v>
      </c>
      <c r="AZ93" s="130">
        <f t="shared" ref="AZ93:BB93" si="78">AZ80*0.96</f>
        <v>57.5276736000001</v>
      </c>
      <c r="BA93" s="130">
        <f t="shared" si="78"/>
        <v>37.9084815360001</v>
      </c>
      <c r="BB93" s="130">
        <f t="shared" si="78"/>
        <v>78.3287447040002</v>
      </c>
      <c r="BE93" s="12" t="s">
        <v>86</v>
      </c>
      <c r="BF93" s="12">
        <v>2050</v>
      </c>
      <c r="BG93" s="12">
        <f t="shared" si="72"/>
        <v>34.5166041600001</v>
      </c>
      <c r="BH93" s="12">
        <f t="shared" si="68"/>
        <v>22.7450889216001</v>
      </c>
      <c r="BI93" s="12">
        <f t="shared" si="69"/>
        <v>46.9972468224001</v>
      </c>
      <c r="BL93" s="12" t="s">
        <v>87</v>
      </c>
      <c r="BM93" s="12">
        <v>2050</v>
      </c>
      <c r="BN93" s="12">
        <f t="shared" si="73"/>
        <v>23.01106944</v>
      </c>
      <c r="BO93" s="12">
        <f t="shared" si="74"/>
        <v>15.1633926144</v>
      </c>
      <c r="BP93" s="12">
        <f t="shared" si="75"/>
        <v>31.3314978816001</v>
      </c>
      <c r="BS93" s="124">
        <v>57.5276736000001</v>
      </c>
      <c r="BT93" s="124">
        <v>37.9084815360001</v>
      </c>
      <c r="BU93" s="124">
        <v>78.3287447040002</v>
      </c>
    </row>
    <row r="94" spans="49:73">
      <c r="AX94" s="130" t="s">
        <v>89</v>
      </c>
      <c r="AY94" s="130">
        <f t="shared" si="70"/>
        <v>2050</v>
      </c>
      <c r="AZ94" s="130">
        <f t="shared" ref="AZ94:BB94" si="79">AZ81*0.96</f>
        <v>55.503063881143</v>
      </c>
      <c r="BA94" s="130">
        <f t="shared" si="79"/>
        <v>36.6121553554287</v>
      </c>
      <c r="BB94" s="130">
        <f t="shared" si="79"/>
        <v>75.521256521143</v>
      </c>
      <c r="BE94" s="12" t="s">
        <v>90</v>
      </c>
      <c r="BF94" s="12">
        <v>2050</v>
      </c>
      <c r="BG94" s="12">
        <f t="shared" si="72"/>
        <v>33.3018383286858</v>
      </c>
      <c r="BH94" s="12">
        <f t="shared" si="68"/>
        <v>21.9672932132572</v>
      </c>
      <c r="BI94" s="12">
        <f t="shared" si="69"/>
        <v>45.3127539126858</v>
      </c>
      <c r="BL94" s="12" t="s">
        <v>91</v>
      </c>
      <c r="BM94" s="12">
        <v>2050</v>
      </c>
      <c r="BN94" s="12">
        <f t="shared" si="73"/>
        <v>22.2012255524572</v>
      </c>
      <c r="BO94" s="12">
        <f t="shared" si="74"/>
        <v>14.6448621421715</v>
      </c>
      <c r="BP94" s="12">
        <f t="shared" si="75"/>
        <v>30.2085026084572</v>
      </c>
      <c r="BS94" s="124">
        <v>55.503063881143</v>
      </c>
      <c r="BT94" s="124">
        <v>36.6121553554287</v>
      </c>
      <c r="BU94" s="124">
        <v>75.521256521143</v>
      </c>
    </row>
    <row r="95" spans="49:73">
      <c r="AX95" s="130" t="s">
        <v>93</v>
      </c>
      <c r="AY95" s="130">
        <f t="shared" si="70"/>
        <v>2050</v>
      </c>
      <c r="AZ95" s="130">
        <f t="shared" ref="AZ95:BB95" si="80">AZ82*0.96</f>
        <v>57.1827039085716</v>
      </c>
      <c r="BA95" s="130">
        <f t="shared" si="80"/>
        <v>38.3055111606858</v>
      </c>
      <c r="BB95" s="130">
        <f t="shared" si="80"/>
        <v>77.1828706450288</v>
      </c>
      <c r="BE95" s="12" t="s">
        <v>94</v>
      </c>
      <c r="BF95" s="12">
        <v>2050</v>
      </c>
      <c r="BG95" s="12">
        <f t="shared" si="72"/>
        <v>34.309622345143</v>
      </c>
      <c r="BH95" s="12">
        <f t="shared" si="68"/>
        <v>22.9833066964115</v>
      </c>
      <c r="BI95" s="12">
        <f t="shared" si="69"/>
        <v>46.3097223870173</v>
      </c>
      <c r="BL95" s="12" t="s">
        <v>95</v>
      </c>
      <c r="BM95" s="12">
        <v>2050</v>
      </c>
      <c r="BN95" s="12">
        <f t="shared" si="73"/>
        <v>22.8730815634286</v>
      </c>
      <c r="BO95" s="12">
        <f t="shared" si="74"/>
        <v>15.3222044642743</v>
      </c>
      <c r="BP95" s="12">
        <f t="shared" si="75"/>
        <v>30.8731482580115</v>
      </c>
      <c r="BS95" s="124">
        <v>57.1827039085716</v>
      </c>
      <c r="BT95" s="124">
        <v>38.3055111606858</v>
      </c>
      <c r="BU95" s="124">
        <v>77.1828706450288</v>
      </c>
    </row>
    <row r="96" spans="49:73">
      <c r="AW96" s="123"/>
      <c r="AX96" s="136"/>
      <c r="AY96" s="130"/>
      <c r="AZ96" s="130"/>
      <c r="BA96" s="130"/>
      <c r="BB96" s="130"/>
      <c r="BE96" s="12" t="s">
        <v>97</v>
      </c>
      <c r="BF96" s="12">
        <v>2050</v>
      </c>
      <c r="BG96" s="12">
        <f t="shared" si="72"/>
        <v>62.1015683657142</v>
      </c>
      <c r="BH96" s="12">
        <f t="shared" si="68"/>
        <v>62.1015683657142</v>
      </c>
      <c r="BI96" s="12">
        <f t="shared" si="69"/>
        <v>62.1015683657142</v>
      </c>
      <c r="BL96" s="12" t="s">
        <v>98</v>
      </c>
      <c r="BM96" s="12">
        <v>2050</v>
      </c>
      <c r="BN96" s="12">
        <f t="shared" si="73"/>
        <v>41.4010455771428</v>
      </c>
      <c r="BO96" s="12">
        <f t="shared" si="74"/>
        <v>41.4010455771428</v>
      </c>
      <c r="BP96" s="12">
        <f t="shared" si="75"/>
        <v>41.4010455771428</v>
      </c>
      <c r="BS96" s="124">
        <v>103.502613942857</v>
      </c>
      <c r="BT96" s="124">
        <v>103.502613942857</v>
      </c>
      <c r="BU96" s="124">
        <v>103.502613942857</v>
      </c>
    </row>
    <row r="104" spans="50:73">
      <c r="AX104" t="s">
        <v>62</v>
      </c>
      <c r="AY104"/>
      <c r="AZ104" s="130"/>
      <c r="BE104" s="12" t="s">
        <v>63</v>
      </c>
      <c r="BL104" s="12" t="s">
        <v>62</v>
      </c>
    </row>
    <row r="105" spans="50:73">
      <c r="AX105" s="130" t="s">
        <v>65</v>
      </c>
      <c r="AY105" s="130" t="s">
        <v>41</v>
      </c>
      <c r="AZ105" s="134" t="s">
        <v>66</v>
      </c>
      <c r="BA105" s="134" t="s">
        <v>11</v>
      </c>
      <c r="BB105" s="134" t="s">
        <v>25</v>
      </c>
      <c r="BE105" s="12" t="s">
        <v>65</v>
      </c>
      <c r="BF105" s="12" t="s">
        <v>41</v>
      </c>
      <c r="BG105" s="12" t="s">
        <v>66</v>
      </c>
      <c r="BH105" s="12" t="s">
        <v>11</v>
      </c>
      <c r="BI105" s="12" t="s">
        <v>25</v>
      </c>
      <c r="BL105" s="12" t="s">
        <v>65</v>
      </c>
      <c r="BM105" s="12" t="s">
        <v>41</v>
      </c>
      <c r="BN105" s="12" t="s">
        <v>66</v>
      </c>
      <c r="BO105" s="12" t="s">
        <v>11</v>
      </c>
      <c r="BP105" s="12" t="s">
        <v>25</v>
      </c>
      <c r="BS105" s="124" t="s">
        <v>66</v>
      </c>
      <c r="BT105" s="124" t="s">
        <v>11</v>
      </c>
      <c r="BU105" s="124" t="s">
        <v>25</v>
      </c>
    </row>
    <row r="106" spans="50:73">
      <c r="AX106" s="130" t="s">
        <v>67</v>
      </c>
      <c r="AY106" s="130">
        <v>2100</v>
      </c>
      <c r="AZ106" s="130">
        <f>AZ89</f>
        <v>51.3276439625144</v>
      </c>
      <c r="BA106" s="130">
        <f t="shared" ref="BA106:BA113" si="81">BA89</f>
        <v>35.4303380406858</v>
      </c>
      <c r="BB106" s="130">
        <f t="shared" ref="BB106:BB113" si="82">BB89</f>
        <v>68.2117622125716</v>
      </c>
      <c r="BE106" s="12" t="s">
        <v>68</v>
      </c>
      <c r="BF106" s="12">
        <v>2100</v>
      </c>
      <c r="BG106" s="12">
        <f>BS106*60%</f>
        <v>30.7965863775086</v>
      </c>
      <c r="BH106" s="12">
        <f>BT106*60%</f>
        <v>21.2582028244115</v>
      </c>
      <c r="BI106" s="12">
        <f>BU106*60%</f>
        <v>40.927057327543</v>
      </c>
      <c r="BL106" s="12" t="s">
        <v>69</v>
      </c>
      <c r="BM106" s="12">
        <v>2100</v>
      </c>
      <c r="BN106" s="12">
        <f>BS106*40%</f>
        <v>20.5310575850058</v>
      </c>
      <c r="BO106" s="12">
        <f>BT106*40%</f>
        <v>14.1721352162743</v>
      </c>
      <c r="BP106" s="12">
        <f>BU106*40%</f>
        <v>27.2847048850286</v>
      </c>
      <c r="BS106" s="124">
        <v>51.3276439625144</v>
      </c>
      <c r="BT106" s="124">
        <v>35.4303380406858</v>
      </c>
      <c r="BU106" s="124">
        <v>68.2117622125716</v>
      </c>
    </row>
    <row r="107" spans="50:73">
      <c r="AX107" s="130" t="s">
        <v>72</v>
      </c>
      <c r="AY107" s="130">
        <f t="shared" ref="AY107:AY113" si="83">AY106</f>
        <v>2100</v>
      </c>
      <c r="AZ107" s="130">
        <f t="shared" ref="AZ107:AZ113" si="84">AZ90</f>
        <v>60.9219348480002</v>
      </c>
      <c r="BA107" s="130">
        <f t="shared" si="81"/>
        <v>42.351391049143</v>
      </c>
      <c r="BB107" s="130">
        <f t="shared" si="82"/>
        <v>80.6239664640002</v>
      </c>
      <c r="BE107" s="12" t="s">
        <v>73</v>
      </c>
      <c r="BF107" s="12">
        <v>2100</v>
      </c>
      <c r="BG107" s="12">
        <f t="shared" ref="BG107:BG113" si="85">BS107*60%</f>
        <v>36.5531609088001</v>
      </c>
      <c r="BH107" s="12">
        <f t="shared" ref="BH107:BH113" si="86">BT107*60%</f>
        <v>25.4108346294858</v>
      </c>
      <c r="BI107" s="12">
        <f t="shared" ref="BI107:BI113" si="87">BU107*60%</f>
        <v>48.3743798784001</v>
      </c>
      <c r="BL107" s="12" t="s">
        <v>74</v>
      </c>
      <c r="BM107" s="12">
        <v>2100</v>
      </c>
      <c r="BN107" s="12">
        <f t="shared" ref="BN107:BN113" si="88">BS107*40%</f>
        <v>24.3687739392001</v>
      </c>
      <c r="BO107" s="12">
        <f t="shared" ref="BO107:BO113" si="89">BT107*40%</f>
        <v>16.9405564196572</v>
      </c>
      <c r="BP107" s="12">
        <f t="shared" ref="BP107:BP113" si="90">BU107*40%</f>
        <v>32.2495865856001</v>
      </c>
      <c r="BS107" s="124">
        <v>60.9219348480002</v>
      </c>
      <c r="BT107" s="124">
        <v>42.351391049143</v>
      </c>
      <c r="BU107" s="124">
        <v>80.6239664640002</v>
      </c>
    </row>
    <row r="108" spans="50:73">
      <c r="AX108" s="130" t="s">
        <v>76</v>
      </c>
      <c r="AY108" s="130">
        <f t="shared" si="83"/>
        <v>2100</v>
      </c>
      <c r="AZ108" s="130">
        <f t="shared" si="84"/>
        <v>54.4976743789715</v>
      </c>
      <c r="BA108" s="130">
        <f t="shared" si="81"/>
        <v>35.8228723638858</v>
      </c>
      <c r="BB108" s="130">
        <f t="shared" si="82"/>
        <v>74.2797232128002</v>
      </c>
      <c r="BE108" s="12" t="s">
        <v>77</v>
      </c>
      <c r="BF108" s="12">
        <v>2100</v>
      </c>
      <c r="BG108" s="12">
        <f t="shared" si="85"/>
        <v>32.6986046273829</v>
      </c>
      <c r="BH108" s="12">
        <f t="shared" si="86"/>
        <v>21.4937234183315</v>
      </c>
      <c r="BI108" s="12">
        <f t="shared" si="87"/>
        <v>44.5678339276801</v>
      </c>
      <c r="BL108" s="12" t="s">
        <v>78</v>
      </c>
      <c r="BM108" s="12">
        <v>2100</v>
      </c>
      <c r="BN108" s="12">
        <f t="shared" si="88"/>
        <v>21.7990697515886</v>
      </c>
      <c r="BO108" s="12">
        <f t="shared" si="89"/>
        <v>14.3291489455543</v>
      </c>
      <c r="BP108" s="12">
        <f t="shared" si="90"/>
        <v>29.7118892851201</v>
      </c>
      <c r="BS108" s="124">
        <v>54.4976743789715</v>
      </c>
      <c r="BT108" s="124">
        <v>35.8228723638858</v>
      </c>
      <c r="BU108" s="124">
        <v>74.2797232128002</v>
      </c>
    </row>
    <row r="109" spans="50:73">
      <c r="AX109" s="130" t="s">
        <v>80</v>
      </c>
      <c r="AY109" s="130">
        <f t="shared" si="83"/>
        <v>2100</v>
      </c>
      <c r="AZ109" s="130">
        <f t="shared" si="84"/>
        <v>54.6086989604573</v>
      </c>
      <c r="BA109" s="130">
        <f t="shared" si="81"/>
        <v>35.4768107739429</v>
      </c>
      <c r="BB109" s="130">
        <f t="shared" si="82"/>
        <v>74.9031589522287</v>
      </c>
      <c r="BE109" s="12" t="s">
        <v>81</v>
      </c>
      <c r="BF109" s="12">
        <v>2100</v>
      </c>
      <c r="BG109" s="12">
        <f t="shared" si="85"/>
        <v>32.7652193762744</v>
      </c>
      <c r="BH109" s="12">
        <f t="shared" si="86"/>
        <v>21.2860864643657</v>
      </c>
      <c r="BI109" s="12">
        <f t="shared" si="87"/>
        <v>44.9418953713372</v>
      </c>
      <c r="BL109" s="12" t="s">
        <v>82</v>
      </c>
      <c r="BM109" s="12">
        <v>2100</v>
      </c>
      <c r="BN109" s="12">
        <f t="shared" si="88"/>
        <v>21.8434795841829</v>
      </c>
      <c r="BO109" s="12">
        <f t="shared" si="89"/>
        <v>14.1907243095772</v>
      </c>
      <c r="BP109" s="12">
        <f t="shared" si="90"/>
        <v>29.9612635808915</v>
      </c>
      <c r="BS109" s="124">
        <v>54.6086989604573</v>
      </c>
      <c r="BT109" s="124">
        <v>35.4768107739429</v>
      </c>
      <c r="BU109" s="124">
        <v>74.9031589522287</v>
      </c>
    </row>
    <row r="110" spans="50:73">
      <c r="AX110" s="130" t="s">
        <v>85</v>
      </c>
      <c r="AY110" s="130">
        <f t="shared" si="83"/>
        <v>2100</v>
      </c>
      <c r="AZ110" s="130">
        <f t="shared" si="84"/>
        <v>57.5276736000001</v>
      </c>
      <c r="BA110" s="130">
        <f t="shared" si="81"/>
        <v>37.9084815360001</v>
      </c>
      <c r="BB110" s="130">
        <f t="shared" si="82"/>
        <v>78.3287447040002</v>
      </c>
      <c r="BE110" s="12" t="s">
        <v>86</v>
      </c>
      <c r="BF110" s="12">
        <v>2100</v>
      </c>
      <c r="BG110" s="12">
        <f t="shared" si="85"/>
        <v>34.5166041600001</v>
      </c>
      <c r="BH110" s="12">
        <f t="shared" si="86"/>
        <v>22.7450889216001</v>
      </c>
      <c r="BI110" s="12">
        <f t="shared" si="87"/>
        <v>46.9972468224001</v>
      </c>
      <c r="BL110" s="12" t="s">
        <v>87</v>
      </c>
      <c r="BM110" s="12">
        <v>2100</v>
      </c>
      <c r="BN110" s="12">
        <f t="shared" si="88"/>
        <v>23.01106944</v>
      </c>
      <c r="BO110" s="12">
        <f t="shared" si="89"/>
        <v>15.1633926144</v>
      </c>
      <c r="BP110" s="12">
        <f t="shared" si="90"/>
        <v>31.3314978816001</v>
      </c>
      <c r="BS110" s="124">
        <v>57.5276736000001</v>
      </c>
      <c r="BT110" s="124">
        <v>37.9084815360001</v>
      </c>
      <c r="BU110" s="124">
        <v>78.3287447040002</v>
      </c>
    </row>
    <row r="111" spans="50:73">
      <c r="AX111" s="130" t="s">
        <v>89</v>
      </c>
      <c r="AY111" s="130">
        <f t="shared" si="83"/>
        <v>2100</v>
      </c>
      <c r="AZ111" s="130">
        <f t="shared" si="84"/>
        <v>55.503063881143</v>
      </c>
      <c r="BA111" s="130">
        <f t="shared" si="81"/>
        <v>36.6121553554287</v>
      </c>
      <c r="BB111" s="130">
        <f t="shared" si="82"/>
        <v>75.521256521143</v>
      </c>
      <c r="BE111" s="12" t="s">
        <v>90</v>
      </c>
      <c r="BF111" s="12">
        <v>2100</v>
      </c>
      <c r="BG111" s="12">
        <f t="shared" si="85"/>
        <v>33.3018383286858</v>
      </c>
      <c r="BH111" s="12">
        <f t="shared" si="86"/>
        <v>21.9672932132572</v>
      </c>
      <c r="BI111" s="12">
        <f t="shared" si="87"/>
        <v>45.3127539126858</v>
      </c>
      <c r="BL111" s="12" t="s">
        <v>91</v>
      </c>
      <c r="BM111" s="12">
        <v>2100</v>
      </c>
      <c r="BN111" s="12">
        <f t="shared" si="88"/>
        <v>22.2012255524572</v>
      </c>
      <c r="BO111" s="12">
        <f t="shared" si="89"/>
        <v>14.6448621421715</v>
      </c>
      <c r="BP111" s="12">
        <f t="shared" si="90"/>
        <v>30.2085026084572</v>
      </c>
      <c r="BS111" s="124">
        <v>55.503063881143</v>
      </c>
      <c r="BT111" s="124">
        <v>36.6121553554287</v>
      </c>
      <c r="BU111" s="124">
        <v>75.521256521143</v>
      </c>
    </row>
    <row r="112" spans="50:73">
      <c r="AX112" s="130" t="s">
        <v>93</v>
      </c>
      <c r="AY112" s="130">
        <f t="shared" si="83"/>
        <v>2100</v>
      </c>
      <c r="AZ112" s="130">
        <f t="shared" si="84"/>
        <v>57.1827039085716</v>
      </c>
      <c r="BA112" s="130">
        <f t="shared" si="81"/>
        <v>38.3055111606858</v>
      </c>
      <c r="BB112" s="130">
        <f t="shared" si="82"/>
        <v>77.1828706450288</v>
      </c>
      <c r="BE112" s="12" t="s">
        <v>94</v>
      </c>
      <c r="BF112" s="12">
        <v>2100</v>
      </c>
      <c r="BG112" s="12">
        <f t="shared" si="85"/>
        <v>34.309622345143</v>
      </c>
      <c r="BH112" s="12">
        <f t="shared" si="86"/>
        <v>22.9833066964115</v>
      </c>
      <c r="BI112" s="12">
        <f t="shared" si="87"/>
        <v>46.3097223870173</v>
      </c>
      <c r="BL112" s="12" t="s">
        <v>95</v>
      </c>
      <c r="BM112" s="12">
        <v>2100</v>
      </c>
      <c r="BN112" s="12">
        <f t="shared" si="88"/>
        <v>22.8730815634286</v>
      </c>
      <c r="BO112" s="12">
        <f t="shared" si="89"/>
        <v>15.3222044642743</v>
      </c>
      <c r="BP112" s="12">
        <f t="shared" si="90"/>
        <v>30.8731482580115</v>
      </c>
      <c r="BS112" s="124">
        <v>57.1827039085716</v>
      </c>
      <c r="BT112" s="124">
        <v>38.3055111606858</v>
      </c>
      <c r="BU112" s="124">
        <v>77.1828706450288</v>
      </c>
    </row>
    <row r="113" spans="49:73">
      <c r="AW113" s="123"/>
      <c r="AX113" s="136"/>
      <c r="AY113" s="130"/>
      <c r="AZ113" s="130"/>
      <c r="BA113" s="130"/>
      <c r="BB113" s="130"/>
      <c r="BE113" s="12" t="s">
        <v>97</v>
      </c>
      <c r="BF113" s="12">
        <v>2100</v>
      </c>
      <c r="BG113" s="12">
        <f t="shared" si="85"/>
        <v>62.1015683657142</v>
      </c>
      <c r="BH113" s="12">
        <f t="shared" si="86"/>
        <v>62.1015683657142</v>
      </c>
      <c r="BI113" s="12">
        <f t="shared" si="87"/>
        <v>62.1015683657142</v>
      </c>
      <c r="BL113" s="12" t="s">
        <v>98</v>
      </c>
      <c r="BM113" s="12">
        <v>2100</v>
      </c>
      <c r="BN113" s="12">
        <f t="shared" si="88"/>
        <v>41.4010455771428</v>
      </c>
      <c r="BO113" s="12">
        <f t="shared" si="89"/>
        <v>41.4010455771428</v>
      </c>
      <c r="BP113" s="12">
        <f t="shared" si="90"/>
        <v>41.4010455771428</v>
      </c>
      <c r="BS113" s="124">
        <v>103.502613942857</v>
      </c>
      <c r="BT113" s="124">
        <v>103.502613942857</v>
      </c>
      <c r="BU113" s="124">
        <v>103.502613942857</v>
      </c>
    </row>
    <row r="118" spans="49:73">
      <c r="AX118" t="s">
        <v>62</v>
      </c>
      <c r="AY118"/>
      <c r="AZ118" s="130"/>
      <c r="BE118" s="12" t="s">
        <v>63</v>
      </c>
      <c r="BL118" s="12" t="s">
        <v>62</v>
      </c>
    </row>
    <row r="119" spans="49:73">
      <c r="AX119" s="130" t="s">
        <v>65</v>
      </c>
      <c r="AY119" s="130" t="s">
        <v>41</v>
      </c>
      <c r="AZ119" s="134" t="s">
        <v>66</v>
      </c>
      <c r="BA119" s="134" t="s">
        <v>11</v>
      </c>
      <c r="BB119" s="134" t="s">
        <v>25</v>
      </c>
      <c r="BE119" s="12" t="s">
        <v>65</v>
      </c>
      <c r="BF119" s="12" t="s">
        <v>41</v>
      </c>
      <c r="BG119" s="12" t="s">
        <v>66</v>
      </c>
      <c r="BH119" s="12" t="s">
        <v>11</v>
      </c>
      <c r="BI119" s="12" t="s">
        <v>25</v>
      </c>
      <c r="BL119" s="12" t="s">
        <v>65</v>
      </c>
      <c r="BM119" s="12" t="s">
        <v>41</v>
      </c>
      <c r="BN119" s="12" t="s">
        <v>66</v>
      </c>
      <c r="BO119" s="12" t="s">
        <v>11</v>
      </c>
      <c r="BP119" s="12" t="s">
        <v>25</v>
      </c>
      <c r="BS119" s="124" t="s">
        <v>66</v>
      </c>
      <c r="BT119" s="124" t="s">
        <v>11</v>
      </c>
      <c r="BU119" s="124" t="s">
        <v>25</v>
      </c>
    </row>
    <row r="120" spans="49:73">
      <c r="AX120" s="130" t="s">
        <v>67</v>
      </c>
      <c r="AY120" s="130">
        <v>0</v>
      </c>
      <c r="AZ120" s="130">
        <v>3</v>
      </c>
      <c r="BA120" s="130">
        <v>3</v>
      </c>
      <c r="BB120" s="130">
        <v>3</v>
      </c>
      <c r="BE120" s="12" t="s">
        <v>68</v>
      </c>
      <c r="BF120" s="12">
        <v>0</v>
      </c>
      <c r="BG120" s="12">
        <v>3</v>
      </c>
      <c r="BH120" s="12">
        <v>3</v>
      </c>
      <c r="BI120" s="12">
        <v>3</v>
      </c>
      <c r="BL120" s="12" t="s">
        <v>69</v>
      </c>
      <c r="BM120" s="12">
        <v>0</v>
      </c>
      <c r="BN120" s="12">
        <v>3</v>
      </c>
      <c r="BO120" s="12">
        <v>3</v>
      </c>
      <c r="BP120" s="12">
        <v>3</v>
      </c>
      <c r="BS120" s="124">
        <v>3</v>
      </c>
      <c r="BT120" s="124">
        <v>3</v>
      </c>
      <c r="BU120" s="124">
        <v>3</v>
      </c>
    </row>
    <row r="121" spans="49:73">
      <c r="AX121" s="130" t="s">
        <v>72</v>
      </c>
      <c r="AY121" s="130">
        <f t="shared" ref="AY121:AY127" si="91">AY120</f>
        <v>0</v>
      </c>
      <c r="AZ121" s="130">
        <v>3</v>
      </c>
      <c r="BA121" s="130">
        <v>3</v>
      </c>
      <c r="BB121" s="130">
        <v>3</v>
      </c>
      <c r="BE121" s="12" t="s">
        <v>73</v>
      </c>
      <c r="BF121" s="12">
        <v>0</v>
      </c>
      <c r="BG121" s="12">
        <v>3</v>
      </c>
      <c r="BH121" s="12">
        <v>3</v>
      </c>
      <c r="BI121" s="12">
        <v>3</v>
      </c>
      <c r="BL121" s="12" t="s">
        <v>74</v>
      </c>
      <c r="BM121" s="12">
        <v>0</v>
      </c>
      <c r="BN121" s="12">
        <v>3</v>
      </c>
      <c r="BO121" s="12">
        <v>3</v>
      </c>
      <c r="BP121" s="12">
        <v>3</v>
      </c>
      <c r="BS121" s="124">
        <v>3</v>
      </c>
      <c r="BT121" s="124">
        <v>3</v>
      </c>
      <c r="BU121" s="124">
        <v>3</v>
      </c>
    </row>
    <row r="122" spans="49:73">
      <c r="AX122" s="130" t="s">
        <v>76</v>
      </c>
      <c r="AY122" s="130">
        <f t="shared" si="91"/>
        <v>0</v>
      </c>
      <c r="AZ122" s="130">
        <v>3</v>
      </c>
      <c r="BA122" s="130">
        <v>3</v>
      </c>
      <c r="BB122" s="130">
        <v>3</v>
      </c>
      <c r="BE122" s="12" t="s">
        <v>77</v>
      </c>
      <c r="BF122" s="12">
        <v>0</v>
      </c>
      <c r="BG122" s="12">
        <v>3</v>
      </c>
      <c r="BH122" s="12">
        <v>3</v>
      </c>
      <c r="BI122" s="12">
        <v>3</v>
      </c>
      <c r="BL122" s="12" t="s">
        <v>78</v>
      </c>
      <c r="BM122" s="12">
        <v>0</v>
      </c>
      <c r="BN122" s="12">
        <v>3</v>
      </c>
      <c r="BO122" s="12">
        <v>3</v>
      </c>
      <c r="BP122" s="12">
        <v>3</v>
      </c>
      <c r="BS122" s="124">
        <v>3</v>
      </c>
      <c r="BT122" s="124">
        <v>3</v>
      </c>
      <c r="BU122" s="124">
        <v>3</v>
      </c>
    </row>
    <row r="123" spans="49:73">
      <c r="AX123" s="130" t="s">
        <v>80</v>
      </c>
      <c r="AY123" s="130">
        <f t="shared" si="91"/>
        <v>0</v>
      </c>
      <c r="AZ123" s="130">
        <v>3</v>
      </c>
      <c r="BA123" s="130">
        <v>3</v>
      </c>
      <c r="BB123" s="130">
        <v>3</v>
      </c>
      <c r="BE123" s="12" t="s">
        <v>81</v>
      </c>
      <c r="BF123" s="12">
        <v>0</v>
      </c>
      <c r="BG123" s="12">
        <v>3</v>
      </c>
      <c r="BH123" s="12">
        <v>3</v>
      </c>
      <c r="BI123" s="12">
        <v>3</v>
      </c>
      <c r="BL123" s="12" t="s">
        <v>82</v>
      </c>
      <c r="BM123" s="12">
        <v>0</v>
      </c>
      <c r="BN123" s="12">
        <v>3</v>
      </c>
      <c r="BO123" s="12">
        <v>3</v>
      </c>
      <c r="BP123" s="12">
        <v>3</v>
      </c>
      <c r="BS123" s="124">
        <v>3</v>
      </c>
      <c r="BT123" s="124">
        <v>3</v>
      </c>
      <c r="BU123" s="124">
        <v>3</v>
      </c>
    </row>
    <row r="124" spans="49:73">
      <c r="AX124" s="130" t="s">
        <v>85</v>
      </c>
      <c r="AY124" s="130">
        <f t="shared" si="91"/>
        <v>0</v>
      </c>
      <c r="AZ124" s="130">
        <v>3</v>
      </c>
      <c r="BA124" s="130">
        <v>3</v>
      </c>
      <c r="BB124" s="130">
        <v>3</v>
      </c>
      <c r="BE124" s="12" t="s">
        <v>86</v>
      </c>
      <c r="BF124" s="12">
        <v>0</v>
      </c>
      <c r="BG124" s="12">
        <v>3</v>
      </c>
      <c r="BH124" s="12">
        <v>3</v>
      </c>
      <c r="BI124" s="12">
        <v>3</v>
      </c>
      <c r="BL124" s="12" t="s">
        <v>87</v>
      </c>
      <c r="BM124" s="12">
        <v>0</v>
      </c>
      <c r="BN124" s="12">
        <v>3</v>
      </c>
      <c r="BO124" s="12">
        <v>3</v>
      </c>
      <c r="BP124" s="12">
        <v>3</v>
      </c>
      <c r="BS124" s="124">
        <v>3</v>
      </c>
      <c r="BT124" s="124">
        <v>3</v>
      </c>
      <c r="BU124" s="124">
        <v>3</v>
      </c>
    </row>
    <row r="125" spans="49:73">
      <c r="AX125" s="130" t="s">
        <v>89</v>
      </c>
      <c r="AY125" s="130">
        <f t="shared" si="91"/>
        <v>0</v>
      </c>
      <c r="AZ125" s="130">
        <v>3</v>
      </c>
      <c r="BA125" s="130">
        <v>3</v>
      </c>
      <c r="BB125" s="130">
        <v>3</v>
      </c>
      <c r="BE125" s="12" t="s">
        <v>90</v>
      </c>
      <c r="BF125" s="12">
        <v>0</v>
      </c>
      <c r="BG125" s="12">
        <v>3</v>
      </c>
      <c r="BH125" s="12">
        <v>3</v>
      </c>
      <c r="BI125" s="12">
        <v>3</v>
      </c>
      <c r="BL125" s="12" t="s">
        <v>91</v>
      </c>
      <c r="BM125" s="12">
        <v>0</v>
      </c>
      <c r="BN125" s="12">
        <v>3</v>
      </c>
      <c r="BO125" s="12">
        <v>3</v>
      </c>
      <c r="BP125" s="12">
        <v>3</v>
      </c>
      <c r="BS125" s="124">
        <v>3</v>
      </c>
      <c r="BT125" s="124">
        <v>3</v>
      </c>
      <c r="BU125" s="124">
        <v>3</v>
      </c>
    </row>
    <row r="126" spans="49:73">
      <c r="AX126" s="130" t="s">
        <v>93</v>
      </c>
      <c r="AY126" s="130">
        <f t="shared" si="91"/>
        <v>0</v>
      </c>
      <c r="AZ126" s="130">
        <v>3</v>
      </c>
      <c r="BA126" s="130">
        <v>3</v>
      </c>
      <c r="BB126" s="130">
        <v>3</v>
      </c>
      <c r="BE126" s="12" t="s">
        <v>94</v>
      </c>
      <c r="BF126" s="12">
        <v>0</v>
      </c>
      <c r="BG126" s="12">
        <v>3</v>
      </c>
      <c r="BH126" s="12">
        <v>3</v>
      </c>
      <c r="BI126" s="12">
        <v>3</v>
      </c>
      <c r="BL126" s="12" t="s">
        <v>95</v>
      </c>
      <c r="BM126" s="12">
        <v>0</v>
      </c>
      <c r="BN126" s="12">
        <v>3</v>
      </c>
      <c r="BO126" s="12">
        <v>3</v>
      </c>
      <c r="BP126" s="12">
        <v>3</v>
      </c>
      <c r="BS126" s="124">
        <v>3</v>
      </c>
      <c r="BT126" s="124">
        <v>3</v>
      </c>
      <c r="BU126" s="124">
        <v>3</v>
      </c>
    </row>
    <row r="127" spans="49:73">
      <c r="AW127" s="123"/>
      <c r="AX127" s="136"/>
      <c r="AY127" s="130"/>
      <c r="AZ127" s="130"/>
      <c r="BA127" s="130"/>
      <c r="BB127" s="130"/>
      <c r="BE127" s="12" t="s">
        <v>97</v>
      </c>
      <c r="BF127" s="12">
        <v>0</v>
      </c>
      <c r="BG127" s="12">
        <v>3</v>
      </c>
      <c r="BH127" s="12">
        <v>3</v>
      </c>
      <c r="BI127" s="12">
        <v>3</v>
      </c>
      <c r="BL127" s="12" t="s">
        <v>98</v>
      </c>
      <c r="BM127" s="12">
        <v>0</v>
      </c>
      <c r="BN127" s="12">
        <v>3</v>
      </c>
      <c r="BO127" s="12">
        <v>3</v>
      </c>
      <c r="BP127" s="12">
        <v>3</v>
      </c>
      <c r="BS127" s="124">
        <v>3</v>
      </c>
      <c r="BT127" s="124">
        <v>3</v>
      </c>
      <c r="BU127" s="124">
        <v>3</v>
      </c>
    </row>
    <row r="143" spans="57:61">
      <c r="BE143" s="12" t="s">
        <v>62</v>
      </c>
    </row>
    <row r="144" spans="57:61">
      <c r="BE144" s="12" t="s">
        <v>65</v>
      </c>
      <c r="BF144" s="12" t="s">
        <v>41</v>
      </c>
      <c r="BG144" s="12" t="s">
        <v>66</v>
      </c>
      <c r="BH144" s="12" t="s">
        <v>11</v>
      </c>
      <c r="BI144" s="12" t="s">
        <v>25</v>
      </c>
    </row>
    <row r="145" spans="57:61">
      <c r="BE145" s="12" t="s">
        <v>68</v>
      </c>
      <c r="BF145" s="12">
        <v>2023</v>
      </c>
      <c r="BG145" s="12">
        <v>1</v>
      </c>
      <c r="BH145" s="12">
        <f>BG145</f>
        <v>1</v>
      </c>
      <c r="BI145" s="12">
        <f>BH145</f>
        <v>1</v>
      </c>
    </row>
    <row r="146" spans="57:61">
      <c r="BE146" s="12" t="s">
        <v>73</v>
      </c>
      <c r="BF146" s="12">
        <v>2023</v>
      </c>
      <c r="BG146" s="12">
        <v>1</v>
      </c>
      <c r="BH146" s="12">
        <f>BH145</f>
        <v>1</v>
      </c>
      <c r="BI146" s="12">
        <f>BI145</f>
        <v>1</v>
      </c>
    </row>
    <row r="147" spans="57:61">
      <c r="BE147" s="12" t="s">
        <v>77</v>
      </c>
      <c r="BF147" s="12">
        <v>2023</v>
      </c>
      <c r="BG147" s="12">
        <f t="shared" ref="BG147:BG152" si="92">BG146</f>
        <v>1</v>
      </c>
      <c r="BH147" s="12">
        <f t="shared" ref="BH147:BH152" si="93">BH146</f>
        <v>1</v>
      </c>
      <c r="BI147" s="12">
        <f t="shared" ref="BI147:BI152" si="94">BI146</f>
        <v>1</v>
      </c>
    </row>
    <row r="148" spans="57:61">
      <c r="BE148" s="12" t="s">
        <v>81</v>
      </c>
      <c r="BF148" s="12">
        <v>2023</v>
      </c>
      <c r="BG148" s="12">
        <f t="shared" si="92"/>
        <v>1</v>
      </c>
      <c r="BH148" s="12">
        <f t="shared" si="93"/>
        <v>1</v>
      </c>
      <c r="BI148" s="12">
        <f t="shared" si="94"/>
        <v>1</v>
      </c>
    </row>
    <row r="149" spans="57:61">
      <c r="BE149" s="12" t="s">
        <v>86</v>
      </c>
      <c r="BF149" s="12">
        <v>2023</v>
      </c>
      <c r="BG149" s="12">
        <f t="shared" si="92"/>
        <v>1</v>
      </c>
      <c r="BH149" s="12">
        <f t="shared" si="93"/>
        <v>1</v>
      </c>
      <c r="BI149" s="12">
        <f t="shared" si="94"/>
        <v>1</v>
      </c>
    </row>
    <row r="150" spans="57:61">
      <c r="BE150" s="12" t="s">
        <v>90</v>
      </c>
      <c r="BF150" s="12">
        <v>2023</v>
      </c>
      <c r="BG150" s="12">
        <f t="shared" si="92"/>
        <v>1</v>
      </c>
      <c r="BH150" s="12">
        <f t="shared" si="93"/>
        <v>1</v>
      </c>
      <c r="BI150" s="12">
        <f t="shared" si="94"/>
        <v>1</v>
      </c>
    </row>
    <row r="151" spans="57:61">
      <c r="BE151" s="12" t="s">
        <v>94</v>
      </c>
      <c r="BF151" s="12">
        <v>2023</v>
      </c>
      <c r="BG151" s="12">
        <f t="shared" si="92"/>
        <v>1</v>
      </c>
      <c r="BH151" s="12">
        <f t="shared" si="93"/>
        <v>1</v>
      </c>
      <c r="BI151" s="12">
        <f t="shared" si="94"/>
        <v>1</v>
      </c>
    </row>
    <row r="152" spans="57:61">
      <c r="BE152" s="12" t="s">
        <v>97</v>
      </c>
      <c r="BF152" s="12">
        <v>2023</v>
      </c>
      <c r="BG152" s="12">
        <f t="shared" si="92"/>
        <v>1</v>
      </c>
      <c r="BH152" s="12">
        <f t="shared" si="93"/>
        <v>1</v>
      </c>
      <c r="BI152" s="12">
        <f t="shared" si="94"/>
        <v>1</v>
      </c>
    </row>
    <row r="176" spans="57:57">
      <c r="BE176" s="12" t="s">
        <v>62</v>
      </c>
    </row>
    <row r="177" spans="57:61">
      <c r="BE177" s="12" t="s">
        <v>65</v>
      </c>
      <c r="BF177" s="12" t="s">
        <v>41</v>
      </c>
      <c r="BG177" s="12" t="s">
        <v>66</v>
      </c>
      <c r="BH177" s="12" t="s">
        <v>11</v>
      </c>
      <c r="BI177" s="12" t="s">
        <v>25</v>
      </c>
    </row>
    <row r="178" spans="57:61">
      <c r="BE178" s="12" t="s">
        <v>68</v>
      </c>
      <c r="BF178" s="12">
        <v>0</v>
      </c>
      <c r="BG178" s="12">
        <v>3</v>
      </c>
      <c r="BH178" s="12">
        <v>3</v>
      </c>
      <c r="BI178" s="12">
        <v>3</v>
      </c>
    </row>
    <row r="179" spans="57:61">
      <c r="BE179" s="12" t="s">
        <v>73</v>
      </c>
      <c r="BF179" s="12">
        <v>0</v>
      </c>
      <c r="BG179" s="12">
        <v>3</v>
      </c>
      <c r="BH179" s="12">
        <v>3</v>
      </c>
      <c r="BI179" s="12">
        <v>3</v>
      </c>
    </row>
    <row r="180" spans="57:61">
      <c r="BE180" s="12" t="s">
        <v>77</v>
      </c>
      <c r="BF180" s="12">
        <v>0</v>
      </c>
      <c r="BG180" s="12">
        <v>3</v>
      </c>
      <c r="BH180" s="12">
        <v>3</v>
      </c>
      <c r="BI180" s="12">
        <v>3</v>
      </c>
    </row>
    <row r="181" spans="57:61">
      <c r="BE181" s="12" t="s">
        <v>81</v>
      </c>
      <c r="BF181" s="12">
        <v>0</v>
      </c>
      <c r="BG181" s="12">
        <v>3</v>
      </c>
      <c r="BH181" s="12">
        <v>3</v>
      </c>
      <c r="BI181" s="12">
        <v>3</v>
      </c>
    </row>
    <row r="182" spans="57:61">
      <c r="BE182" s="12" t="s">
        <v>86</v>
      </c>
      <c r="BF182" s="12">
        <v>0</v>
      </c>
      <c r="BG182" s="12">
        <v>3</v>
      </c>
      <c r="BH182" s="12">
        <v>3</v>
      </c>
      <c r="BI182" s="12">
        <v>3</v>
      </c>
    </row>
    <row r="183" spans="57:61">
      <c r="BE183" s="12" t="s">
        <v>90</v>
      </c>
      <c r="BF183" s="12">
        <v>0</v>
      </c>
      <c r="BG183" s="12">
        <v>3</v>
      </c>
      <c r="BH183" s="12">
        <v>3</v>
      </c>
      <c r="BI183" s="12">
        <v>3</v>
      </c>
    </row>
    <row r="184" spans="57:61">
      <c r="BE184" s="12" t="s">
        <v>94</v>
      </c>
      <c r="BF184" s="12">
        <v>0</v>
      </c>
      <c r="BG184" s="12">
        <v>3</v>
      </c>
      <c r="BH184" s="12">
        <v>3</v>
      </c>
      <c r="BI184" s="12">
        <v>3</v>
      </c>
    </row>
    <row r="185" spans="57:61">
      <c r="BE185" s="12" t="s">
        <v>97</v>
      </c>
      <c r="BF185" s="12">
        <v>0</v>
      </c>
      <c r="BG185" s="12">
        <v>3</v>
      </c>
      <c r="BH185" s="12">
        <v>3</v>
      </c>
      <c r="BI185" s="1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292"/>
  <sheetViews>
    <sheetView zoomScale="63" zoomScaleNormal="63" topLeftCell="A258" workbookViewId="0">
      <selection activeCell="C296" sqref="C296"/>
    </sheetView>
  </sheetViews>
  <sheetFormatPr defaultColWidth="9" defaultRowHeight="12.5"/>
  <cols>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7.1454545454545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69" t="s">
        <v>101</v>
      </c>
      <c r="C2" s="69"/>
      <c r="D2" s="69"/>
      <c r="E2" s="69"/>
      <c r="K2" t="s">
        <v>102</v>
      </c>
      <c r="P2" s="70" t="s">
        <v>103</v>
      </c>
      <c r="Q2" s="70"/>
      <c r="R2" s="70"/>
      <c r="S2" s="70"/>
    </row>
    <row r="3" spans="2:19">
      <c r="B3" s="71" t="s">
        <v>104</v>
      </c>
      <c r="C3" s="71" t="s">
        <v>105</v>
      </c>
      <c r="D3" s="71" t="s">
        <v>106</v>
      </c>
      <c r="E3" s="71" t="s">
        <v>66</v>
      </c>
      <c r="K3" t="s">
        <v>65</v>
      </c>
      <c r="L3" t="s">
        <v>107</v>
      </c>
      <c r="M3" t="s">
        <v>108</v>
      </c>
      <c r="P3" s="70" t="s">
        <v>109</v>
      </c>
      <c r="Q3" s="70" t="s">
        <v>110</v>
      </c>
      <c r="R3" s="70" t="s">
        <v>111</v>
      </c>
      <c r="S3" s="70" t="s">
        <v>107</v>
      </c>
    </row>
    <row r="4" spans="2:19">
      <c r="B4" s="69" t="s">
        <v>112</v>
      </c>
      <c r="C4" s="69" t="s">
        <v>113</v>
      </c>
      <c r="D4" s="69" t="s">
        <v>114</v>
      </c>
      <c r="E4" s="69" t="s">
        <v>115</v>
      </c>
      <c r="K4" t="s">
        <v>116</v>
      </c>
      <c r="L4" t="s">
        <v>117</v>
      </c>
      <c r="M4" t="s">
        <v>118</v>
      </c>
      <c r="P4" s="70" t="s">
        <v>119</v>
      </c>
      <c r="Q4" s="70" t="s">
        <v>120</v>
      </c>
      <c r="R4" s="70" t="s">
        <v>121</v>
      </c>
      <c r="S4" s="70" t="s">
        <v>122</v>
      </c>
    </row>
    <row r="5" spans="2:19">
      <c r="B5" s="69" t="s">
        <v>112</v>
      </c>
      <c r="C5" s="69" t="s">
        <v>123</v>
      </c>
      <c r="D5" s="69" t="s">
        <v>114</v>
      </c>
      <c r="E5" s="69"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v>25</v>
      </c>
      <c r="K12" t="s">
        <v>142</v>
      </c>
    </row>
    <row r="13" spans="2:19">
      <c r="B13" t="s">
        <v>143</v>
      </c>
      <c r="C13" t="s">
        <v>114</v>
      </c>
      <c r="E13" s="142" t="s">
        <v>144</v>
      </c>
      <c r="F13">
        <v>2020</v>
      </c>
      <c r="K13" t="s">
        <v>132</v>
      </c>
      <c r="L13" t="s">
        <v>50</v>
      </c>
      <c r="M13" t="s">
        <v>145</v>
      </c>
      <c r="N13" t="s">
        <v>146</v>
      </c>
    </row>
    <row r="14" spans="2:19">
      <c r="K14" t="s">
        <v>147</v>
      </c>
      <c r="L14" t="s">
        <v>148</v>
      </c>
      <c r="M14" t="s">
        <v>149</v>
      </c>
      <c r="N14" t="s">
        <v>114</v>
      </c>
    </row>
    <row r="15" spans="2:19">
      <c r="B15" s="10" t="s">
        <v>150</v>
      </c>
      <c r="C15" s="10"/>
      <c r="D15" s="10" t="s">
        <v>151</v>
      </c>
      <c r="E15" s="10" t="s">
        <v>152</v>
      </c>
      <c r="F15" s="10">
        <v>0.93</v>
      </c>
      <c r="G15" s="10"/>
      <c r="H15" s="10"/>
      <c r="K15" t="s">
        <v>147</v>
      </c>
      <c r="L15" t="s">
        <v>153</v>
      </c>
      <c r="M15" t="s">
        <v>149</v>
      </c>
      <c r="N15" t="s">
        <v>131</v>
      </c>
    </row>
    <row r="16" spans="2:19">
      <c r="B16" s="72" t="s">
        <v>154</v>
      </c>
    </row>
    <row r="18" spans="2:50">
      <c r="B18" t="s">
        <v>109</v>
      </c>
      <c r="C18">
        <v>2020</v>
      </c>
      <c r="D18">
        <v>0</v>
      </c>
      <c r="E18" t="s">
        <v>155</v>
      </c>
      <c r="F18" t="s">
        <v>108</v>
      </c>
      <c r="G18" t="s">
        <v>156</v>
      </c>
    </row>
    <row r="19" spans="2:50">
      <c r="B19" s="142" t="s">
        <v>144</v>
      </c>
      <c r="C19">
        <v>0.2</v>
      </c>
      <c r="D19">
        <v>3</v>
      </c>
      <c r="E19" s="142"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3">
        <f>AVERAGEIFS(RoadTra_BY!L$2:L$999,RoadTra_BY!$B$2:$B$999,'Road transport'!$C23,RoadTra_BY!$C$2:$C$999,'Road transport'!$AX23)</f>
        <v>7</v>
      </c>
      <c r="E23" s="73">
        <f>AVERAGEIFS(RoadTra_BY!M$2:M$999,RoadTra_BY!$B$2:$B$999,'Road transport'!$C23,RoadTra_BY!$C$2:$C$999,'Road transport'!$AX23)</f>
        <v>7</v>
      </c>
      <c r="F23" s="73">
        <f>AVERAGEIFS(RoadTra_BY!N$2:N$999,RoadTra_BY!$B$2:$B$999,'Road transport'!$C23,RoadTra_BY!$C$2:$C$999,'Road transport'!$AX23)</f>
        <v>7</v>
      </c>
      <c r="G23" s="73">
        <f>AVERAGEIFS(RoadTra_BY!O$2:O$999,RoadTra_BY!$B$2:$B$999,'Road transport'!$C23,RoadTra_BY!$C$2:$C$999,'Road transport'!$AX23)</f>
        <v>7</v>
      </c>
      <c r="H23" s="73">
        <f>AVERAGEIFS(RoadTra_BY!P$2:P$999,RoadTra_BY!$B$2:$B$999,'Road transport'!$C23,RoadTra_BY!$C$2:$C$999,'Road transport'!$AX23)</f>
        <v>7</v>
      </c>
      <c r="I23" s="73">
        <f>AVERAGEIFS(RoadTra_BY!Q$2:Q$999,RoadTra_BY!$B$2:$B$999,'Road transport'!$C23,RoadTra_BY!$C$2:$C$999,'Road transport'!$AX23)</f>
        <v>7</v>
      </c>
      <c r="J23" s="73">
        <f>AVERAGEIFS(RoadTra_BY!R$2:R$999,RoadTra_BY!$B$2:$B$999,'Road transport'!$C23,RoadTra_BY!$C$2:$C$999,'Road transport'!$AX23)</f>
        <v>7</v>
      </c>
      <c r="K23" s="73">
        <f>AVERAGEIFS(RoadTra_BY!S$2:S$999,RoadTra_BY!$B$2:$B$999,'Road transport'!$C23,RoadTra_BY!$C$2:$C$999,'Road transport'!$AX23)</f>
        <v>7</v>
      </c>
      <c r="L23" s="73">
        <f>AVERAGEIFS(RoadTra_BY!T$2:T$999,RoadTra_BY!$B$2:$B$999,'Road transport'!$C23,RoadTra_BY!$C$2:$C$999,'Road transport'!$AX23)</f>
        <v>7</v>
      </c>
      <c r="M23" s="73">
        <f>AVERAGEIFS(RoadTra_BY!U$2:U$999,RoadTra_BY!$B$2:$B$999,'Road transport'!$C23,RoadTra_BY!$C$2:$C$999,'Road transport'!$AX23)</f>
        <v>7</v>
      </c>
      <c r="N23" s="73">
        <f>AVERAGEIFS(RoadTra_BY!V$2:V$999,RoadTra_BY!$B$2:$B$999,'Road transport'!$C23,RoadTra_BY!$C$2:$C$999,'Road transport'!$AX23)</f>
        <v>7</v>
      </c>
      <c r="O23" s="73">
        <f>AVERAGEIFS(RoadTra_BY!W$2:W$999,RoadTra_BY!$B$2:$B$999,'Road transport'!$C23,RoadTra_BY!$C$2:$C$999,'Road transport'!$AX23)</f>
        <v>7</v>
      </c>
      <c r="P23" s="73">
        <f>AVERAGEIFS(RoadTra_BY!X$2:X$999,RoadTra_BY!$B$2:$B$999,'Road transport'!$C23,RoadTra_BY!$C$2:$C$999,'Road transport'!$AX23)</f>
        <v>7</v>
      </c>
      <c r="Q23" s="73">
        <f>AVERAGEIFS(RoadTra_BY!Y$2:Y$999,RoadTra_BY!$B$2:$B$999,'Road transport'!$C23,RoadTra_BY!$C$2:$C$999,'Road transport'!$AX23)</f>
        <v>7</v>
      </c>
      <c r="R23" s="73">
        <f>AVERAGEIFS(RoadTra_BY!Z$2:Z$999,RoadTra_BY!$B$2:$B$999,'Road transport'!$C23,RoadTra_BY!$C$2:$C$999,'Road transport'!$AX23)</f>
        <v>7</v>
      </c>
      <c r="S23" s="73">
        <f>AVERAGEIFS(RoadTra_BY!AA$2:AA$999,RoadTra_BY!$B$2:$B$999,'Road transport'!$C23,RoadTra_BY!$C$2:$C$999,'Road transport'!$AX23)</f>
        <v>7</v>
      </c>
      <c r="T23" s="73">
        <f>AVERAGEIFS(RoadTra_BY!AB$2:AB$999,RoadTra_BY!$B$2:$B$999,'Road transport'!$C23,RoadTra_BY!$C$2:$C$999,'Road transport'!$AX23)</f>
        <v>7</v>
      </c>
      <c r="U23" s="73">
        <f>AVERAGEIFS(RoadTra_BY!AC$2:AC$999,RoadTra_BY!$B$2:$B$999,'Road transport'!$C23,RoadTra_BY!$C$2:$C$999,'Road transport'!$AX23)</f>
        <v>7</v>
      </c>
      <c r="V23" s="73">
        <f>AVERAGEIFS(RoadTra_BY!AD$2:AD$999,RoadTra_BY!$B$2:$B$999,'Road transport'!$C23,RoadTra_BY!$C$2:$C$999,'Road transport'!$AX23)</f>
        <v>4</v>
      </c>
      <c r="W23" s="73">
        <f>AVERAGEIFS(RoadTra_BY!AE$2:AE$999,RoadTra_BY!$B$2:$B$999,'Road transport'!$C23,RoadTra_BY!$C$2:$C$999,'Road transport'!$AX23)</f>
        <v>7</v>
      </c>
      <c r="X23" s="73">
        <f>AVERAGEIFS(RoadTra_BY!AF$2:AF$999,RoadTra_BY!$B$2:$B$999,'Road transport'!$C23,RoadTra_BY!$C$2:$C$999,'Road transport'!$AX23)</f>
        <v>5</v>
      </c>
      <c r="Y23" s="73">
        <f>AVERAGEIFS(RoadTra_BY!AG$2:AG$999,RoadTra_BY!$B$2:$B$999,'Road transport'!$C23,RoadTra_BY!$C$2:$C$999,'Road transport'!$AX23)</f>
        <v>7</v>
      </c>
      <c r="Z23" s="73">
        <f>AVERAGEIFS(RoadTra_BY!AH$2:AH$999,RoadTra_BY!$B$2:$B$999,'Road transport'!$C23,RoadTra_BY!$C$2:$C$999,'Road transport'!$AX23)</f>
        <v>4</v>
      </c>
      <c r="AA23" s="73">
        <f>AVERAGEIFS(RoadTra_BY!AI$2:AI$999,RoadTra_BY!$B$2:$B$999,'Road transport'!$C23,RoadTra_BY!$C$2:$C$999,'Road transport'!$AX23)</f>
        <v>7</v>
      </c>
      <c r="AB23" s="73">
        <f>AVERAGEIFS(RoadTra_BY!AJ$2:AJ$999,RoadTra_BY!$B$2:$B$999,'Road transport'!$C23,RoadTra_BY!$C$2:$C$999,'Road transport'!$AX23)</f>
        <v>7</v>
      </c>
      <c r="AC23" s="73">
        <f>AVERAGEIFS(RoadTra_BY!AK$2:AK$999,RoadTra_BY!$B$2:$B$999,'Road transport'!$C23,RoadTra_BY!$C$2:$C$999,'Road transport'!$AX23)</f>
        <v>3</v>
      </c>
      <c r="AD23" s="73">
        <f>AVERAGEIFS(RoadTra_BY!AL$2:AL$999,RoadTra_BY!$B$2:$B$999,'Road transport'!$C23,RoadTra_BY!$C$2:$C$999,'Road transport'!$AX23)</f>
        <v>7</v>
      </c>
      <c r="AE23" s="73">
        <f>AVERAGEIFS(RoadTra_BY!AM$2:AM$999,RoadTra_BY!$B$2:$B$999,'Road transport'!$C23,RoadTra_BY!$C$2:$C$999,'Road transport'!$AX23)</f>
        <v>7</v>
      </c>
      <c r="AF23" s="73">
        <f>AVERAGEIFS(RoadTra_BY!AN$2:AN$999,RoadTra_BY!$B$2:$B$999,'Road transport'!$C23,RoadTra_BY!$C$2:$C$999,'Road transport'!$AX23)</f>
        <v>6.5</v>
      </c>
      <c r="AG23" s="73">
        <f>AVERAGEIFS(RoadTra_BY!AO$2:AO$999,RoadTra_BY!$B$2:$B$999,'Road transport'!$C23,RoadTra_BY!$C$2:$C$999,'Road transport'!$AX23)</f>
        <v>7</v>
      </c>
      <c r="AH23" s="73">
        <f>AVERAGEIFS(RoadTra_BY!AP$2:AP$999,RoadTra_BY!$B$2:$B$999,'Road transport'!$C23,RoadTra_BY!$C$2:$C$999,'Road transport'!$AX23)</f>
        <v>7</v>
      </c>
      <c r="AI23" s="73">
        <f>AVERAGEIFS(RoadTra_BY!AQ$2:AQ$999,RoadTra_BY!$B$2:$B$999,'Road transport'!$C23,RoadTra_BY!$C$2:$C$999,'Road transport'!$AX23)</f>
        <v>7</v>
      </c>
      <c r="AJ23" s="73">
        <f>AVERAGEIFS(RoadTra_BY!AR$2:AR$999,RoadTra_BY!$B$2:$B$999,'Road transport'!$C23,RoadTra_BY!$C$2:$C$999,'Road transport'!$AX23)</f>
        <v>4</v>
      </c>
      <c r="AK23" s="73">
        <f>AVERAGEIFS(RoadTra_BY!AS$2:AS$999,RoadTra_BY!$B$2:$B$999,'Road transport'!$C23,RoadTra_BY!$C$2:$C$999,'Road transport'!$AX23)</f>
        <v>4</v>
      </c>
      <c r="AL23" s="73">
        <f>AVERAGEIFS(RoadTra_BY!AT$2:AT$999,RoadTra_BY!$B$2:$B$999,'Road transport'!$C23,RoadTra_BY!$C$2:$C$999,'Road transport'!$AX23)</f>
        <v>4</v>
      </c>
      <c r="AM23" s="73" t="e">
        <f>AVERAGEIFS(RoadTra_BY!AU$2:AU$999,RoadTra_BY!$B$2:$B$999,'Road transport'!$C23,RoadTra_BY!$C$2:$C$999,'Road transport'!$AX23)</f>
        <v>#DIV/0!</v>
      </c>
      <c r="AN23" s="73" t="e">
        <f>AVERAGEIFS(RoadTra_BY!AV$2:AV$999,RoadTra_BY!$B$2:$B$999,'Road transport'!$C23,RoadTra_BY!$C$2:$C$999,'Road transport'!$AX23)</f>
        <v>#DIV/0!</v>
      </c>
      <c r="AO23" s="73" t="e">
        <f>AVERAGEIFS(RoadTra_BY!AW$2:AW$999,RoadTra_BY!$B$2:$B$999,'Road transport'!$C23,RoadTra_BY!$C$2:$C$999,'Road transport'!$AX23)</f>
        <v>#DIV/0!</v>
      </c>
      <c r="AP23" s="73" t="e">
        <f>AVERAGEIFS(RoadTra_BY!AX$2:AX$999,RoadTra_BY!$B$2:$B$999,'Road transport'!$C23,RoadTra_BY!$C$2:$C$999,'Road transport'!$AX23)</f>
        <v>#DIV/0!</v>
      </c>
      <c r="AQ23" s="73" t="e">
        <f>AVERAGEIFS(RoadTra_BY!AY$2:AY$999,RoadTra_BY!$B$2:$B$999,'Road transport'!$C23,RoadTra_BY!$C$2:$C$999,'Road transport'!$AX23)</f>
        <v>#DIV/0!</v>
      </c>
      <c r="AR23" s="73" t="e">
        <f>AVERAGEIFS(RoadTra_BY!AZ$2:AZ$999,RoadTra_BY!$B$2:$B$999,'Road transport'!$C23,RoadTra_BY!$C$2:$C$999,'Road transport'!$AX23)</f>
        <v>#DIV/0!</v>
      </c>
      <c r="AS23" s="73" t="e">
        <f>AVERAGEIFS(RoadTra_BY!BA$2:BA$999,RoadTra_BY!$B$2:$B$999,'Road transport'!$C23,RoadTra_BY!$C$2:$C$999,'Road transport'!$AX23)</f>
        <v>#DIV/0!</v>
      </c>
      <c r="AT23" s="73" t="e">
        <f>AVERAGEIFS(RoadTra_BY!BB$2:BB$999,RoadTra_BY!$B$2:$B$999,'Road transport'!$C23,RoadTra_BY!$C$2:$C$999,'Road transport'!$AX23)</f>
        <v>#DIV/0!</v>
      </c>
      <c r="AU23" s="73" t="e">
        <f>AVERAGEIFS(RoadTra_BY!BC$2:BC$999,RoadTra_BY!$B$2:$B$999,'Road transport'!$C23,RoadTra_BY!$C$2:$C$999,'Road transport'!$AX23)</f>
        <v>#DIV/0!</v>
      </c>
      <c r="AV23" s="73" t="e">
        <f>AVERAGEIFS(RoadTra_BY!BD$2:BD$999,RoadTra_BY!$B$2:$B$999,'Road transport'!$C23,RoadTra_BY!$C$2:$C$999,'Road transport'!$AX23)</f>
        <v>#DIV/0!</v>
      </c>
      <c r="AW23" s="73" t="e">
        <f>AVERAGEIFS(RoadTra_BY!BE$2:BE$999,RoadTra_BY!$B$2:$B$999,'Road transport'!$C23,RoadTra_BY!$C$2:$C$999,'Road transport'!$AX23)</f>
        <v>#DIV/0!</v>
      </c>
      <c r="AX23" t="s">
        <v>159</v>
      </c>
    </row>
    <row r="24" spans="2:50">
      <c r="C24" t="s">
        <v>113</v>
      </c>
      <c r="D24" s="73">
        <f>AVERAGEIFS(RoadTra_BY!L$2:L$999,RoadTra_BY!$B$2:$B$999,'Road transport'!$C24,RoadTra_BY!$C$2:$C$999,'Road transport'!$AX24)</f>
        <v>15</v>
      </c>
      <c r="E24" s="73">
        <f>AVERAGEIFS(RoadTra_BY!M$2:M$999,RoadTra_BY!$B$2:$B$999,'Road transport'!$C24,RoadTra_BY!$C$2:$C$999,'Road transport'!$AX24)</f>
        <v>15</v>
      </c>
      <c r="F24" s="73">
        <f>AVERAGEIFS(RoadTra_BY!N$2:N$999,RoadTra_BY!$B$2:$B$999,'Road transport'!$C24,RoadTra_BY!$C$2:$C$999,'Road transport'!$AX24)</f>
        <v>15</v>
      </c>
      <c r="G24" s="73">
        <f>AVERAGEIFS(RoadTra_BY!O$2:O$999,RoadTra_BY!$B$2:$B$999,'Road transport'!$C24,RoadTra_BY!$C$2:$C$999,'Road transport'!$AX24)</f>
        <v>15</v>
      </c>
      <c r="H24" s="73">
        <f>AVERAGEIFS(RoadTra_BY!P$2:P$999,RoadTra_BY!$B$2:$B$999,'Road transport'!$C24,RoadTra_BY!$C$2:$C$999,'Road transport'!$AX24)</f>
        <v>15</v>
      </c>
      <c r="I24" s="73">
        <f>AVERAGEIFS(RoadTra_BY!Q$2:Q$999,RoadTra_BY!$B$2:$B$999,'Road transport'!$C24,RoadTra_BY!$C$2:$C$999,'Road transport'!$AX24)</f>
        <v>15</v>
      </c>
      <c r="J24" s="73">
        <f>AVERAGEIFS(RoadTra_BY!R$2:R$999,RoadTra_BY!$B$2:$B$999,'Road transport'!$C24,RoadTra_BY!$C$2:$C$999,'Road transport'!$AX24)</f>
        <v>15</v>
      </c>
      <c r="K24" s="73">
        <f>AVERAGEIFS(RoadTra_BY!S$2:S$999,RoadTra_BY!$B$2:$B$999,'Road transport'!$C24,RoadTra_BY!$C$2:$C$999,'Road transport'!$AX24)</f>
        <v>15</v>
      </c>
      <c r="L24" s="73">
        <f>AVERAGEIFS(RoadTra_BY!T$2:T$999,RoadTra_BY!$B$2:$B$999,'Road transport'!$C24,RoadTra_BY!$C$2:$C$999,'Road transport'!$AX24)</f>
        <v>15</v>
      </c>
      <c r="M24" s="73">
        <f>AVERAGEIFS(RoadTra_BY!U$2:U$999,RoadTra_BY!$B$2:$B$999,'Road transport'!$C24,RoadTra_BY!$C$2:$C$999,'Road transport'!$AX24)</f>
        <v>15</v>
      </c>
      <c r="N24" s="73">
        <f>AVERAGEIFS(RoadTra_BY!V$2:V$999,RoadTra_BY!$B$2:$B$999,'Road transport'!$C24,RoadTra_BY!$C$2:$C$999,'Road transport'!$AX24)</f>
        <v>15</v>
      </c>
      <c r="O24" s="73">
        <f>AVERAGEIFS(RoadTra_BY!W$2:W$999,RoadTra_BY!$B$2:$B$999,'Road transport'!$C24,RoadTra_BY!$C$2:$C$999,'Road transport'!$AX24)</f>
        <v>15</v>
      </c>
      <c r="P24" s="73">
        <f>AVERAGEIFS(RoadTra_BY!X$2:X$999,RoadTra_BY!$B$2:$B$999,'Road transport'!$C24,RoadTra_BY!$C$2:$C$999,'Road transport'!$AX24)</f>
        <v>15</v>
      </c>
      <c r="Q24" s="73">
        <f>AVERAGEIFS(RoadTra_BY!Y$2:Y$999,RoadTra_BY!$B$2:$B$999,'Road transport'!$C24,RoadTra_BY!$C$2:$C$999,'Road transport'!$AX24)</f>
        <v>15</v>
      </c>
      <c r="R24" s="73">
        <f>AVERAGEIFS(RoadTra_BY!Z$2:Z$999,RoadTra_BY!$B$2:$B$999,'Road transport'!$C24,RoadTra_BY!$C$2:$C$999,'Road transport'!$AX24)</f>
        <v>15</v>
      </c>
      <c r="S24" s="73">
        <f>AVERAGEIFS(RoadTra_BY!AA$2:AA$999,RoadTra_BY!$B$2:$B$999,'Road transport'!$C24,RoadTra_BY!$C$2:$C$999,'Road transport'!$AX24)</f>
        <v>15</v>
      </c>
      <c r="T24" s="73">
        <f>AVERAGEIFS(RoadTra_BY!AB$2:AB$999,RoadTra_BY!$B$2:$B$999,'Road transport'!$C24,RoadTra_BY!$C$2:$C$999,'Road transport'!$AX24)</f>
        <v>15</v>
      </c>
      <c r="U24" s="73">
        <f>AVERAGEIFS(RoadTra_BY!AC$2:AC$999,RoadTra_BY!$B$2:$B$999,'Road transport'!$C24,RoadTra_BY!$C$2:$C$999,'Road transport'!$AX24)</f>
        <v>15</v>
      </c>
      <c r="V24" s="73">
        <f>AVERAGEIFS(RoadTra_BY!AD$2:AD$999,RoadTra_BY!$B$2:$B$999,'Road transport'!$C24,RoadTra_BY!$C$2:$C$999,'Road transport'!$AX24)</f>
        <v>15</v>
      </c>
      <c r="W24" s="73">
        <f>AVERAGEIFS(RoadTra_BY!AE$2:AE$999,RoadTra_BY!$B$2:$B$999,'Road transport'!$C24,RoadTra_BY!$C$2:$C$999,'Road transport'!$AX24)</f>
        <v>15</v>
      </c>
      <c r="X24" s="73">
        <f>AVERAGEIFS(RoadTra_BY!AF$2:AF$999,RoadTra_BY!$B$2:$B$999,'Road transport'!$C24,RoadTra_BY!$C$2:$C$999,'Road transport'!$AX24)</f>
        <v>15</v>
      </c>
      <c r="Y24" s="73">
        <f>AVERAGEIFS(RoadTra_BY!AG$2:AG$999,RoadTra_BY!$B$2:$B$999,'Road transport'!$C24,RoadTra_BY!$C$2:$C$999,'Road transport'!$AX24)</f>
        <v>15</v>
      </c>
      <c r="Z24" s="73">
        <f>AVERAGEIFS(RoadTra_BY!AH$2:AH$999,RoadTra_BY!$B$2:$B$999,'Road transport'!$C24,RoadTra_BY!$C$2:$C$999,'Road transport'!$AX24)</f>
        <v>15</v>
      </c>
      <c r="AA24" s="73">
        <f>AVERAGEIFS(RoadTra_BY!AI$2:AI$999,RoadTra_BY!$B$2:$B$999,'Road transport'!$C24,RoadTra_BY!$C$2:$C$999,'Road transport'!$AX24)</f>
        <v>15</v>
      </c>
      <c r="AB24" s="73">
        <f>AVERAGEIFS(RoadTra_BY!AJ$2:AJ$999,RoadTra_BY!$B$2:$B$999,'Road transport'!$C24,RoadTra_BY!$C$2:$C$999,'Road transport'!$AX24)</f>
        <v>15</v>
      </c>
      <c r="AC24" s="73">
        <f>AVERAGEIFS(RoadTra_BY!AK$2:AK$999,RoadTra_BY!$B$2:$B$999,'Road transport'!$C24,RoadTra_BY!$C$2:$C$999,'Road transport'!$AX24)</f>
        <v>15</v>
      </c>
      <c r="AD24" s="73">
        <f>AVERAGEIFS(RoadTra_BY!AL$2:AL$999,RoadTra_BY!$B$2:$B$999,'Road transport'!$C24,RoadTra_BY!$C$2:$C$999,'Road transport'!$AX24)</f>
        <v>15</v>
      </c>
      <c r="AE24" s="73">
        <f>AVERAGEIFS(RoadTra_BY!AM$2:AM$999,RoadTra_BY!$B$2:$B$999,'Road transport'!$C24,RoadTra_BY!$C$2:$C$999,'Road transport'!$AX24)</f>
        <v>15</v>
      </c>
      <c r="AF24" s="73">
        <f>AVERAGEIFS(RoadTra_BY!AN$2:AN$999,RoadTra_BY!$B$2:$B$999,'Road transport'!$C24,RoadTra_BY!$C$2:$C$999,'Road transport'!$AX24)</f>
        <v>20</v>
      </c>
      <c r="AG24" s="73">
        <f>AVERAGEIFS(RoadTra_BY!AO$2:AO$999,RoadTra_BY!$B$2:$B$999,'Road transport'!$C24,RoadTra_BY!$C$2:$C$999,'Road transport'!$AX24)</f>
        <v>15</v>
      </c>
      <c r="AH24" s="73">
        <f>AVERAGEIFS(RoadTra_BY!AP$2:AP$999,RoadTra_BY!$B$2:$B$999,'Road transport'!$C24,RoadTra_BY!$C$2:$C$999,'Road transport'!$AX24)</f>
        <v>15</v>
      </c>
      <c r="AI24" s="73">
        <f>AVERAGEIFS(RoadTra_BY!AQ$2:AQ$999,RoadTra_BY!$B$2:$B$999,'Road transport'!$C24,RoadTra_BY!$C$2:$C$999,'Road transport'!$AX24)</f>
        <v>15</v>
      </c>
      <c r="AJ24" s="73">
        <f>AVERAGEIFS(RoadTra_BY!AR$2:AR$999,RoadTra_BY!$B$2:$B$999,'Road transport'!$C24,RoadTra_BY!$C$2:$C$999,'Road transport'!$AX24)</f>
        <v>15</v>
      </c>
      <c r="AK24" s="73">
        <f>AVERAGEIFS(RoadTra_BY!AS$2:AS$999,RoadTra_BY!$B$2:$B$999,'Road transport'!$C24,RoadTra_BY!$C$2:$C$999,'Road transport'!$AX24)</f>
        <v>15</v>
      </c>
      <c r="AL24" s="73">
        <f>AVERAGEIFS(RoadTra_BY!AT$2:AT$999,RoadTra_BY!$B$2:$B$999,'Road transport'!$C24,RoadTra_BY!$C$2:$C$999,'Road transport'!$AX24)</f>
        <v>15</v>
      </c>
      <c r="AM24" s="73" t="e">
        <f>AVERAGEIFS(RoadTra_BY!AU$2:AU$999,RoadTra_BY!$B$2:$B$999,'Road transport'!$C24,RoadTra_BY!$C$2:$C$999,'Road transport'!$AX24)</f>
        <v>#DIV/0!</v>
      </c>
      <c r="AN24" s="73" t="e">
        <f>AVERAGEIFS(RoadTra_BY!AV$2:AV$999,RoadTra_BY!$B$2:$B$999,'Road transport'!$C24,RoadTra_BY!$C$2:$C$999,'Road transport'!$AX24)</f>
        <v>#DIV/0!</v>
      </c>
      <c r="AO24" s="73" t="e">
        <f>AVERAGEIFS(RoadTra_BY!AW$2:AW$999,RoadTra_BY!$B$2:$B$999,'Road transport'!$C24,RoadTra_BY!$C$2:$C$999,'Road transport'!$AX24)</f>
        <v>#DIV/0!</v>
      </c>
      <c r="AP24" s="73" t="e">
        <f>AVERAGEIFS(RoadTra_BY!AX$2:AX$999,RoadTra_BY!$B$2:$B$999,'Road transport'!$C24,RoadTra_BY!$C$2:$C$999,'Road transport'!$AX24)</f>
        <v>#DIV/0!</v>
      </c>
      <c r="AQ24" s="73" t="e">
        <f>AVERAGEIFS(RoadTra_BY!AY$2:AY$999,RoadTra_BY!$B$2:$B$999,'Road transport'!$C24,RoadTra_BY!$C$2:$C$999,'Road transport'!$AX24)</f>
        <v>#DIV/0!</v>
      </c>
      <c r="AR24" s="73" t="e">
        <f>AVERAGEIFS(RoadTra_BY!AZ$2:AZ$999,RoadTra_BY!$B$2:$B$999,'Road transport'!$C24,RoadTra_BY!$C$2:$C$999,'Road transport'!$AX24)</f>
        <v>#DIV/0!</v>
      </c>
      <c r="AS24" s="73" t="e">
        <f>AVERAGEIFS(RoadTra_BY!BA$2:BA$999,RoadTra_BY!$B$2:$B$999,'Road transport'!$C24,RoadTra_BY!$C$2:$C$999,'Road transport'!$AX24)</f>
        <v>#DIV/0!</v>
      </c>
      <c r="AT24" s="73" t="e">
        <f>AVERAGEIFS(RoadTra_BY!BB$2:BB$999,RoadTra_BY!$B$2:$B$999,'Road transport'!$C24,RoadTra_BY!$C$2:$C$999,'Road transport'!$AX24)</f>
        <v>#DIV/0!</v>
      </c>
      <c r="AU24" s="73" t="e">
        <f>AVERAGEIFS(RoadTra_BY!BC$2:BC$999,RoadTra_BY!$B$2:$B$999,'Road transport'!$C24,RoadTra_BY!$C$2:$C$999,'Road transport'!$AX24)</f>
        <v>#DIV/0!</v>
      </c>
      <c r="AV24" s="73" t="e">
        <f>AVERAGEIFS(RoadTra_BY!BD$2:BD$999,RoadTra_BY!$B$2:$B$999,'Road transport'!$C24,RoadTra_BY!$C$2:$C$999,'Road transport'!$AX24)</f>
        <v>#DIV/0!</v>
      </c>
      <c r="AW24" s="73" t="e">
        <f>AVERAGEIFS(RoadTra_BY!BE$2:BE$999,RoadTra_BY!$B$2:$B$999,'Road transport'!$C24,RoadTra_BY!$C$2:$C$999,'Road transport'!$AX24)</f>
        <v>#DIV/0!</v>
      </c>
      <c r="AX24" t="s">
        <v>160</v>
      </c>
    </row>
    <row r="25" spans="2:50">
      <c r="C25" t="s">
        <v>113</v>
      </c>
      <c r="D25" s="73">
        <f>AVERAGEIFS(RoadTra_BY!L$2:L$999,RoadTra_BY!$B$2:$B$999,'Road transport'!$C25,RoadTra_BY!$C$2:$C$999,'Road transport'!$AX25)</f>
        <v>35</v>
      </c>
      <c r="E25" s="73">
        <f>AVERAGEIFS(RoadTra_BY!M$2:M$999,RoadTra_BY!$B$2:$B$999,'Road transport'!$C25,RoadTra_BY!$C$2:$C$999,'Road transport'!$AX25)</f>
        <v>35</v>
      </c>
      <c r="F25" s="73">
        <f>AVERAGEIFS(RoadTra_BY!N$2:N$999,RoadTra_BY!$B$2:$B$999,'Road transport'!$C25,RoadTra_BY!$C$2:$C$999,'Road transport'!$AX25)</f>
        <v>35</v>
      </c>
      <c r="G25" s="73">
        <f>AVERAGEIFS(RoadTra_BY!O$2:O$999,RoadTra_BY!$B$2:$B$999,'Road transport'!$C25,RoadTra_BY!$C$2:$C$999,'Road transport'!$AX25)</f>
        <v>35</v>
      </c>
      <c r="H25" s="73">
        <f>AVERAGEIFS(RoadTra_BY!P$2:P$999,RoadTra_BY!$B$2:$B$999,'Road transport'!$C25,RoadTra_BY!$C$2:$C$999,'Road transport'!$AX25)</f>
        <v>35</v>
      </c>
      <c r="I25" s="73">
        <f>AVERAGEIFS(RoadTra_BY!Q$2:Q$999,RoadTra_BY!$B$2:$B$999,'Road transport'!$C25,RoadTra_BY!$C$2:$C$999,'Road transport'!$AX25)</f>
        <v>35</v>
      </c>
      <c r="J25" s="73">
        <f>AVERAGEIFS(RoadTra_BY!R$2:R$999,RoadTra_BY!$B$2:$B$999,'Road transport'!$C25,RoadTra_BY!$C$2:$C$999,'Road transport'!$AX25)</f>
        <v>35</v>
      </c>
      <c r="K25" s="73">
        <f>AVERAGEIFS(RoadTra_BY!S$2:S$999,RoadTra_BY!$B$2:$B$999,'Road transport'!$C25,RoadTra_BY!$C$2:$C$999,'Road transport'!$AX25)</f>
        <v>35</v>
      </c>
      <c r="L25" s="73">
        <f>AVERAGEIFS(RoadTra_BY!T$2:T$999,RoadTra_BY!$B$2:$B$999,'Road transport'!$C25,RoadTra_BY!$C$2:$C$999,'Road transport'!$AX25)</f>
        <v>35</v>
      </c>
      <c r="M25" s="73">
        <f>AVERAGEIFS(RoadTra_BY!U$2:U$999,RoadTra_BY!$B$2:$B$999,'Road transport'!$C25,RoadTra_BY!$C$2:$C$999,'Road transport'!$AX25)</f>
        <v>35</v>
      </c>
      <c r="N25" s="73">
        <f>AVERAGEIFS(RoadTra_BY!V$2:V$999,RoadTra_BY!$B$2:$B$999,'Road transport'!$C25,RoadTra_BY!$C$2:$C$999,'Road transport'!$AX25)</f>
        <v>35</v>
      </c>
      <c r="O25" s="73">
        <f>AVERAGEIFS(RoadTra_BY!W$2:W$999,RoadTra_BY!$B$2:$B$999,'Road transport'!$C25,RoadTra_BY!$C$2:$C$999,'Road transport'!$AX25)</f>
        <v>35</v>
      </c>
      <c r="P25" s="73">
        <f>AVERAGEIFS(RoadTra_BY!X$2:X$999,RoadTra_BY!$B$2:$B$999,'Road transport'!$C25,RoadTra_BY!$C$2:$C$999,'Road transport'!$AX25)</f>
        <v>35</v>
      </c>
      <c r="Q25" s="73">
        <f>AVERAGEIFS(RoadTra_BY!Y$2:Y$999,RoadTra_BY!$B$2:$B$999,'Road transport'!$C25,RoadTra_BY!$C$2:$C$999,'Road transport'!$AX25)</f>
        <v>35</v>
      </c>
      <c r="R25" s="73">
        <f>AVERAGEIFS(RoadTra_BY!Z$2:Z$999,RoadTra_BY!$B$2:$B$999,'Road transport'!$C25,RoadTra_BY!$C$2:$C$999,'Road transport'!$AX25)</f>
        <v>35</v>
      </c>
      <c r="S25" s="73">
        <f>AVERAGEIFS(RoadTra_BY!AA$2:AA$999,RoadTra_BY!$B$2:$B$999,'Road transport'!$C25,RoadTra_BY!$C$2:$C$999,'Road transport'!$AX25)</f>
        <v>35</v>
      </c>
      <c r="T25" s="73">
        <f>AVERAGEIFS(RoadTra_BY!AB$2:AB$999,RoadTra_BY!$B$2:$B$999,'Road transport'!$C25,RoadTra_BY!$C$2:$C$999,'Road transport'!$AX25)</f>
        <v>35</v>
      </c>
      <c r="U25" s="73">
        <f>AVERAGEIFS(RoadTra_BY!AC$2:AC$999,RoadTra_BY!$B$2:$B$999,'Road transport'!$C25,RoadTra_BY!$C$2:$C$999,'Road transport'!$AX25)</f>
        <v>35</v>
      </c>
      <c r="V25" s="73">
        <f>AVERAGEIFS(RoadTra_BY!AD$2:AD$999,RoadTra_BY!$B$2:$B$999,'Road transport'!$C25,RoadTra_BY!$C$2:$C$999,'Road transport'!$AX25)</f>
        <v>35</v>
      </c>
      <c r="W25" s="73">
        <f>AVERAGEIFS(RoadTra_BY!AE$2:AE$999,RoadTra_BY!$B$2:$B$999,'Road transport'!$C25,RoadTra_BY!$C$2:$C$999,'Road transport'!$AX25)</f>
        <v>35</v>
      </c>
      <c r="X25" s="73">
        <f>AVERAGEIFS(RoadTra_BY!AF$2:AF$999,RoadTra_BY!$B$2:$B$999,'Road transport'!$C25,RoadTra_BY!$C$2:$C$999,'Road transport'!$AX25)</f>
        <v>35</v>
      </c>
      <c r="Y25" s="73">
        <f>AVERAGEIFS(RoadTra_BY!AG$2:AG$999,RoadTra_BY!$B$2:$B$999,'Road transport'!$C25,RoadTra_BY!$C$2:$C$999,'Road transport'!$AX25)</f>
        <v>35</v>
      </c>
      <c r="Z25" s="73">
        <f>AVERAGEIFS(RoadTra_BY!AH$2:AH$999,RoadTra_BY!$B$2:$B$999,'Road transport'!$C25,RoadTra_BY!$C$2:$C$999,'Road transport'!$AX25)</f>
        <v>35</v>
      </c>
      <c r="AA25" s="73">
        <f>AVERAGEIFS(RoadTra_BY!AI$2:AI$999,RoadTra_BY!$B$2:$B$999,'Road transport'!$C25,RoadTra_BY!$C$2:$C$999,'Road transport'!$AX25)</f>
        <v>35</v>
      </c>
      <c r="AB25" s="73">
        <f>AVERAGEIFS(RoadTra_BY!AJ$2:AJ$999,RoadTra_BY!$B$2:$B$999,'Road transport'!$C25,RoadTra_BY!$C$2:$C$999,'Road transport'!$AX25)</f>
        <v>35</v>
      </c>
      <c r="AC25" s="73">
        <f>AVERAGEIFS(RoadTra_BY!AK$2:AK$999,RoadTra_BY!$B$2:$B$999,'Road transport'!$C25,RoadTra_BY!$C$2:$C$999,'Road transport'!$AX25)</f>
        <v>35</v>
      </c>
      <c r="AD25" s="73">
        <f>AVERAGEIFS(RoadTra_BY!AL$2:AL$999,RoadTra_BY!$B$2:$B$999,'Road transport'!$C25,RoadTra_BY!$C$2:$C$999,'Road transport'!$AX25)</f>
        <v>35</v>
      </c>
      <c r="AE25" s="73">
        <f>AVERAGEIFS(RoadTra_BY!AM$2:AM$999,RoadTra_BY!$B$2:$B$999,'Road transport'!$C25,RoadTra_BY!$C$2:$C$999,'Road transport'!$AX25)</f>
        <v>35</v>
      </c>
      <c r="AF25" s="73">
        <f>AVERAGEIFS(RoadTra_BY!AN$2:AN$999,RoadTra_BY!$B$2:$B$999,'Road transport'!$C25,RoadTra_BY!$C$2:$C$999,'Road transport'!$AX25)</f>
        <v>35</v>
      </c>
      <c r="AG25" s="73">
        <f>AVERAGEIFS(RoadTra_BY!AO$2:AO$999,RoadTra_BY!$B$2:$B$999,'Road transport'!$C25,RoadTra_BY!$C$2:$C$999,'Road transport'!$AX25)</f>
        <v>35</v>
      </c>
      <c r="AH25" s="73">
        <f>AVERAGEIFS(RoadTra_BY!AP$2:AP$999,RoadTra_BY!$B$2:$B$999,'Road transport'!$C25,RoadTra_BY!$C$2:$C$999,'Road transport'!$AX25)</f>
        <v>35</v>
      </c>
      <c r="AI25" s="73">
        <f>AVERAGEIFS(RoadTra_BY!AQ$2:AQ$999,RoadTra_BY!$B$2:$B$999,'Road transport'!$C25,RoadTra_BY!$C$2:$C$999,'Road transport'!$AX25)</f>
        <v>35</v>
      </c>
      <c r="AJ25" s="73">
        <f>AVERAGEIFS(RoadTra_BY!AR$2:AR$999,RoadTra_BY!$B$2:$B$999,'Road transport'!$C25,RoadTra_BY!$C$2:$C$999,'Road transport'!$AX25)</f>
        <v>35</v>
      </c>
      <c r="AK25" s="73">
        <f>AVERAGEIFS(RoadTra_BY!AS$2:AS$999,RoadTra_BY!$B$2:$B$999,'Road transport'!$C25,RoadTra_BY!$C$2:$C$999,'Road transport'!$AX25)</f>
        <v>35</v>
      </c>
      <c r="AL25" s="73">
        <f>AVERAGEIFS(RoadTra_BY!AT$2:AT$999,RoadTra_BY!$B$2:$B$999,'Road transport'!$C25,RoadTra_BY!$C$2:$C$999,'Road transport'!$AX25)</f>
        <v>20</v>
      </c>
      <c r="AM25" s="73" t="e">
        <f>AVERAGEIFS(RoadTra_BY!AU$2:AU$999,RoadTra_BY!$B$2:$B$999,'Road transport'!$C25,RoadTra_BY!$C$2:$C$999,'Road transport'!$AX25)</f>
        <v>#DIV/0!</v>
      </c>
      <c r="AN25" s="73" t="e">
        <f>AVERAGEIFS(RoadTra_BY!AV$2:AV$999,RoadTra_BY!$B$2:$B$999,'Road transport'!$C25,RoadTra_BY!$C$2:$C$999,'Road transport'!$AX25)</f>
        <v>#DIV/0!</v>
      </c>
      <c r="AO25" s="73" t="e">
        <f>AVERAGEIFS(RoadTra_BY!AW$2:AW$999,RoadTra_BY!$B$2:$B$999,'Road transport'!$C25,RoadTra_BY!$C$2:$C$999,'Road transport'!$AX25)</f>
        <v>#DIV/0!</v>
      </c>
      <c r="AP25" s="73" t="e">
        <f>AVERAGEIFS(RoadTra_BY!AX$2:AX$999,RoadTra_BY!$B$2:$B$999,'Road transport'!$C25,RoadTra_BY!$C$2:$C$999,'Road transport'!$AX25)</f>
        <v>#DIV/0!</v>
      </c>
      <c r="AQ25" s="73" t="e">
        <f>AVERAGEIFS(RoadTra_BY!AY$2:AY$999,RoadTra_BY!$B$2:$B$999,'Road transport'!$C25,RoadTra_BY!$C$2:$C$999,'Road transport'!$AX25)</f>
        <v>#DIV/0!</v>
      </c>
      <c r="AR25" s="73" t="e">
        <f>AVERAGEIFS(RoadTra_BY!AZ$2:AZ$999,RoadTra_BY!$B$2:$B$999,'Road transport'!$C25,RoadTra_BY!$C$2:$C$999,'Road transport'!$AX25)</f>
        <v>#DIV/0!</v>
      </c>
      <c r="AS25" s="73" t="e">
        <f>AVERAGEIFS(RoadTra_BY!BA$2:BA$999,RoadTra_BY!$B$2:$B$999,'Road transport'!$C25,RoadTra_BY!$C$2:$C$999,'Road transport'!$AX25)</f>
        <v>#DIV/0!</v>
      </c>
      <c r="AT25" s="73" t="e">
        <f>AVERAGEIFS(RoadTra_BY!BB$2:BB$999,RoadTra_BY!$B$2:$B$999,'Road transport'!$C25,RoadTra_BY!$C$2:$C$999,'Road transport'!$AX25)</f>
        <v>#DIV/0!</v>
      </c>
      <c r="AU25" s="73" t="e">
        <f>AVERAGEIFS(RoadTra_BY!BC$2:BC$999,RoadTra_BY!$B$2:$B$999,'Road transport'!$C25,RoadTra_BY!$C$2:$C$999,'Road transport'!$AX25)</f>
        <v>#DIV/0!</v>
      </c>
      <c r="AV25" s="73" t="e">
        <f>AVERAGEIFS(RoadTra_BY!BD$2:BD$999,RoadTra_BY!$B$2:$B$999,'Road transport'!$C25,RoadTra_BY!$C$2:$C$999,'Road transport'!$AX25)</f>
        <v>#DIV/0!</v>
      </c>
      <c r="AW25" s="73" t="e">
        <f>AVERAGEIFS(RoadTra_BY!BE$2:BE$999,RoadTra_BY!$B$2:$B$999,'Road transport'!$C25,RoadTra_BY!$C$2:$C$999,'Road transport'!$AX25)</f>
        <v>#DIV/0!</v>
      </c>
      <c r="AX25" t="s">
        <v>161</v>
      </c>
    </row>
    <row r="26" spans="2:50">
      <c r="C26" t="s">
        <v>113</v>
      </c>
      <c r="D26" s="73">
        <f>AVERAGEIFS(RoadTra_BY!L$2:L$999,RoadTra_BY!$B$2:$B$999,'Road transport'!$C26,RoadTra_BY!$C$2:$C$999,'Road transport'!$AX26)</f>
        <v>12</v>
      </c>
      <c r="E26" s="73">
        <f>AVERAGEIFS(RoadTra_BY!M$2:M$999,RoadTra_BY!$B$2:$B$999,'Road transport'!$C26,RoadTra_BY!$C$2:$C$999,'Road transport'!$AX26)</f>
        <v>12</v>
      </c>
      <c r="F26" s="73">
        <f>AVERAGEIFS(RoadTra_BY!N$2:N$999,RoadTra_BY!$B$2:$B$999,'Road transport'!$C26,RoadTra_BY!$C$2:$C$999,'Road transport'!$AX26)</f>
        <v>12</v>
      </c>
      <c r="G26" s="73">
        <f>AVERAGEIFS(RoadTra_BY!O$2:O$999,RoadTra_BY!$B$2:$B$999,'Road transport'!$C26,RoadTra_BY!$C$2:$C$999,'Road transport'!$AX26)</f>
        <v>12</v>
      </c>
      <c r="H26" s="73">
        <f>AVERAGEIFS(RoadTra_BY!P$2:P$999,RoadTra_BY!$B$2:$B$999,'Road transport'!$C26,RoadTra_BY!$C$2:$C$999,'Road transport'!$AX26)</f>
        <v>12</v>
      </c>
      <c r="I26" s="73">
        <f>AVERAGEIFS(RoadTra_BY!Q$2:Q$999,RoadTra_BY!$B$2:$B$999,'Road transport'!$C26,RoadTra_BY!$C$2:$C$999,'Road transport'!$AX26)</f>
        <v>12</v>
      </c>
      <c r="J26" s="73">
        <f>AVERAGEIFS(RoadTra_BY!R$2:R$999,RoadTra_BY!$B$2:$B$999,'Road transport'!$C26,RoadTra_BY!$C$2:$C$999,'Road transport'!$AX26)</f>
        <v>12</v>
      </c>
      <c r="K26" s="73">
        <f>AVERAGEIFS(RoadTra_BY!S$2:S$999,RoadTra_BY!$B$2:$B$999,'Road transport'!$C26,RoadTra_BY!$C$2:$C$999,'Road transport'!$AX26)</f>
        <v>8</v>
      </c>
      <c r="L26" s="73">
        <f>AVERAGEIFS(RoadTra_BY!T$2:T$999,RoadTra_BY!$B$2:$B$999,'Road transport'!$C26,RoadTra_BY!$C$2:$C$999,'Road transport'!$AX26)</f>
        <v>12</v>
      </c>
      <c r="M26" s="73">
        <f>AVERAGEIFS(RoadTra_BY!U$2:U$999,RoadTra_BY!$B$2:$B$999,'Road transport'!$C26,RoadTra_BY!$C$2:$C$999,'Road transport'!$AX26)</f>
        <v>12</v>
      </c>
      <c r="N26" s="73">
        <f>AVERAGEIFS(RoadTra_BY!V$2:V$999,RoadTra_BY!$B$2:$B$999,'Road transport'!$C26,RoadTra_BY!$C$2:$C$999,'Road transport'!$AX26)</f>
        <v>12</v>
      </c>
      <c r="O26" s="73">
        <f>AVERAGEIFS(RoadTra_BY!W$2:W$999,RoadTra_BY!$B$2:$B$999,'Road transport'!$C26,RoadTra_BY!$C$2:$C$999,'Road transport'!$AX26)</f>
        <v>12</v>
      </c>
      <c r="P26" s="73">
        <f>AVERAGEIFS(RoadTra_BY!X$2:X$999,RoadTra_BY!$B$2:$B$999,'Road transport'!$C26,RoadTra_BY!$C$2:$C$999,'Road transport'!$AX26)</f>
        <v>12</v>
      </c>
      <c r="Q26" s="73">
        <f>AVERAGEIFS(RoadTra_BY!Y$2:Y$999,RoadTra_BY!$B$2:$B$999,'Road transport'!$C26,RoadTra_BY!$C$2:$C$999,'Road transport'!$AX26)</f>
        <v>12</v>
      </c>
      <c r="R26" s="73">
        <f>AVERAGEIFS(RoadTra_BY!Z$2:Z$999,RoadTra_BY!$B$2:$B$999,'Road transport'!$C26,RoadTra_BY!$C$2:$C$999,'Road transport'!$AX26)</f>
        <v>12</v>
      </c>
      <c r="S26" s="73">
        <f>AVERAGEIFS(RoadTra_BY!AA$2:AA$999,RoadTra_BY!$B$2:$B$999,'Road transport'!$C26,RoadTra_BY!$C$2:$C$999,'Road transport'!$AX26)</f>
        <v>12</v>
      </c>
      <c r="T26" s="73">
        <f>AVERAGEIFS(RoadTra_BY!AB$2:AB$999,RoadTra_BY!$B$2:$B$999,'Road transport'!$C26,RoadTra_BY!$C$2:$C$999,'Road transport'!$AX26)</f>
        <v>12</v>
      </c>
      <c r="U26" s="73">
        <f>AVERAGEIFS(RoadTra_BY!AC$2:AC$999,RoadTra_BY!$B$2:$B$999,'Road transport'!$C26,RoadTra_BY!$C$2:$C$999,'Road transport'!$AX26)</f>
        <v>12</v>
      </c>
      <c r="V26" s="73">
        <f>AVERAGEIFS(RoadTra_BY!AD$2:AD$999,RoadTra_BY!$B$2:$B$999,'Road transport'!$C26,RoadTra_BY!$C$2:$C$999,'Road transport'!$AX26)</f>
        <v>12</v>
      </c>
      <c r="W26" s="73">
        <f>AVERAGEIFS(RoadTra_BY!AE$2:AE$999,RoadTra_BY!$B$2:$B$999,'Road transport'!$C26,RoadTra_BY!$C$2:$C$999,'Road transport'!$AX26)</f>
        <v>12</v>
      </c>
      <c r="X26" s="73">
        <f>AVERAGEIFS(RoadTra_BY!AF$2:AF$999,RoadTra_BY!$B$2:$B$999,'Road transport'!$C26,RoadTra_BY!$C$2:$C$999,'Road transport'!$AX26)</f>
        <v>12</v>
      </c>
      <c r="Y26" s="73">
        <f>AVERAGEIFS(RoadTra_BY!AG$2:AG$999,RoadTra_BY!$B$2:$B$999,'Road transport'!$C26,RoadTra_BY!$C$2:$C$999,'Road transport'!$AX26)</f>
        <v>18</v>
      </c>
      <c r="Z26" s="73">
        <f>AVERAGEIFS(RoadTra_BY!AH$2:AH$999,RoadTra_BY!$B$2:$B$999,'Road transport'!$C26,RoadTra_BY!$C$2:$C$999,'Road transport'!$AX26)</f>
        <v>12</v>
      </c>
      <c r="AA26" s="73">
        <f>AVERAGEIFS(RoadTra_BY!AI$2:AI$999,RoadTra_BY!$B$2:$B$999,'Road transport'!$C26,RoadTra_BY!$C$2:$C$999,'Road transport'!$AX26)</f>
        <v>12</v>
      </c>
      <c r="AB26" s="73">
        <f>AVERAGEIFS(RoadTra_BY!AJ$2:AJ$999,RoadTra_BY!$B$2:$B$999,'Road transport'!$C26,RoadTra_BY!$C$2:$C$999,'Road transport'!$AX26)</f>
        <v>12</v>
      </c>
      <c r="AC26" s="73">
        <f>AVERAGEIFS(RoadTra_BY!AK$2:AK$999,RoadTra_BY!$B$2:$B$999,'Road transport'!$C26,RoadTra_BY!$C$2:$C$999,'Road transport'!$AX26)</f>
        <v>12</v>
      </c>
      <c r="AD26" s="73">
        <f>AVERAGEIFS(RoadTra_BY!AL$2:AL$999,RoadTra_BY!$B$2:$B$999,'Road transport'!$C26,RoadTra_BY!$C$2:$C$999,'Road transport'!$AX26)</f>
        <v>12</v>
      </c>
      <c r="AE26" s="73">
        <f>AVERAGEIFS(RoadTra_BY!AM$2:AM$999,RoadTra_BY!$B$2:$B$999,'Road transport'!$C26,RoadTra_BY!$C$2:$C$999,'Road transport'!$AX26)</f>
        <v>12</v>
      </c>
      <c r="AF26" s="73">
        <f>AVERAGEIFS(RoadTra_BY!AN$2:AN$999,RoadTra_BY!$B$2:$B$999,'Road transport'!$C26,RoadTra_BY!$C$2:$C$999,'Road transport'!$AX26)</f>
        <v>12</v>
      </c>
      <c r="AG26" s="73">
        <f>AVERAGEIFS(RoadTra_BY!AO$2:AO$999,RoadTra_BY!$B$2:$B$999,'Road transport'!$C26,RoadTra_BY!$C$2:$C$999,'Road transport'!$AX26)</f>
        <v>12</v>
      </c>
      <c r="AH26" s="73">
        <f>AVERAGEIFS(RoadTra_BY!AP$2:AP$999,RoadTra_BY!$B$2:$B$999,'Road transport'!$C26,RoadTra_BY!$C$2:$C$999,'Road transport'!$AX26)</f>
        <v>12</v>
      </c>
      <c r="AI26" s="73">
        <f>AVERAGEIFS(RoadTra_BY!AQ$2:AQ$999,RoadTra_BY!$B$2:$B$999,'Road transport'!$C26,RoadTra_BY!$C$2:$C$999,'Road transport'!$AX26)</f>
        <v>12</v>
      </c>
      <c r="AJ26" s="73">
        <f>AVERAGEIFS(RoadTra_BY!AR$2:AR$999,RoadTra_BY!$B$2:$B$999,'Road transport'!$C26,RoadTra_BY!$C$2:$C$999,'Road transport'!$AX26)</f>
        <v>12</v>
      </c>
      <c r="AK26" s="73">
        <f>AVERAGEIFS(RoadTra_BY!AS$2:AS$999,RoadTra_BY!$B$2:$B$999,'Road transport'!$C26,RoadTra_BY!$C$2:$C$999,'Road transport'!$AX26)</f>
        <v>12</v>
      </c>
      <c r="AL26" s="73">
        <f>AVERAGEIFS(RoadTra_BY!AT$2:AT$999,RoadTra_BY!$B$2:$B$999,'Road transport'!$C26,RoadTra_BY!$C$2:$C$999,'Road transport'!$AX26)</f>
        <v>12</v>
      </c>
      <c r="AM26" s="73" t="e">
        <f>AVERAGEIFS(RoadTra_BY!AU$2:AU$999,RoadTra_BY!$B$2:$B$999,'Road transport'!$C26,RoadTra_BY!$C$2:$C$999,'Road transport'!$AX26)</f>
        <v>#DIV/0!</v>
      </c>
      <c r="AN26" s="73" t="e">
        <f>AVERAGEIFS(RoadTra_BY!AV$2:AV$999,RoadTra_BY!$B$2:$B$999,'Road transport'!$C26,RoadTra_BY!$C$2:$C$999,'Road transport'!$AX26)</f>
        <v>#DIV/0!</v>
      </c>
      <c r="AO26" s="73" t="e">
        <f>AVERAGEIFS(RoadTra_BY!AW$2:AW$999,RoadTra_BY!$B$2:$B$999,'Road transport'!$C26,RoadTra_BY!$C$2:$C$999,'Road transport'!$AX26)</f>
        <v>#DIV/0!</v>
      </c>
      <c r="AP26" s="73" t="e">
        <f>AVERAGEIFS(RoadTra_BY!AX$2:AX$999,RoadTra_BY!$B$2:$B$999,'Road transport'!$C26,RoadTra_BY!$C$2:$C$999,'Road transport'!$AX26)</f>
        <v>#DIV/0!</v>
      </c>
      <c r="AQ26" s="73" t="e">
        <f>AVERAGEIFS(RoadTra_BY!AY$2:AY$999,RoadTra_BY!$B$2:$B$999,'Road transport'!$C26,RoadTra_BY!$C$2:$C$999,'Road transport'!$AX26)</f>
        <v>#DIV/0!</v>
      </c>
      <c r="AR26" s="73" t="e">
        <f>AVERAGEIFS(RoadTra_BY!AZ$2:AZ$999,RoadTra_BY!$B$2:$B$999,'Road transport'!$C26,RoadTra_BY!$C$2:$C$999,'Road transport'!$AX26)</f>
        <v>#DIV/0!</v>
      </c>
      <c r="AS26" s="73" t="e">
        <f>AVERAGEIFS(RoadTra_BY!BA$2:BA$999,RoadTra_BY!$B$2:$B$999,'Road transport'!$C26,RoadTra_BY!$C$2:$C$999,'Road transport'!$AX26)</f>
        <v>#DIV/0!</v>
      </c>
      <c r="AT26" s="73" t="e">
        <f>AVERAGEIFS(RoadTra_BY!BB$2:BB$999,RoadTra_BY!$B$2:$B$999,'Road transport'!$C26,RoadTra_BY!$C$2:$C$999,'Road transport'!$AX26)</f>
        <v>#DIV/0!</v>
      </c>
      <c r="AU26" s="73" t="e">
        <f>AVERAGEIFS(RoadTra_BY!BC$2:BC$999,RoadTra_BY!$B$2:$B$999,'Road transport'!$C26,RoadTra_BY!$C$2:$C$999,'Road transport'!$AX26)</f>
        <v>#DIV/0!</v>
      </c>
      <c r="AV26" s="73" t="e">
        <f>AVERAGEIFS(RoadTra_BY!BD$2:BD$999,RoadTra_BY!$B$2:$B$999,'Road transport'!$C26,RoadTra_BY!$C$2:$C$999,'Road transport'!$AX26)</f>
        <v>#DIV/0!</v>
      </c>
      <c r="AW26" s="73" t="e">
        <f>AVERAGEIFS(RoadTra_BY!BE$2:BE$999,RoadTra_BY!$B$2:$B$999,'Road transport'!$C26,RoadTra_BY!$C$2:$C$999,'Road transport'!$AX26)</f>
        <v>#DIV/0!</v>
      </c>
      <c r="AX26" t="s">
        <v>162</v>
      </c>
    </row>
    <row r="27" spans="2:50">
      <c r="C27" t="s">
        <v>113</v>
      </c>
      <c r="D27" s="73">
        <f>AVERAGEIFS(RoadTra_BY!L$2:L$999,RoadTra_BY!$B$2:$B$999,'Road transport'!$C27,RoadTra_BY!$C$2:$C$999,'Road transport'!$AX27)</f>
        <v>100</v>
      </c>
      <c r="E27" s="73">
        <f>AVERAGEIFS(RoadTra_BY!M$2:M$999,RoadTra_BY!$B$2:$B$999,'Road transport'!$C27,RoadTra_BY!$C$2:$C$999,'Road transport'!$AX27)</f>
        <v>100</v>
      </c>
      <c r="F27" s="73">
        <f>AVERAGEIFS(RoadTra_BY!N$2:N$999,RoadTra_BY!$B$2:$B$999,'Road transport'!$C27,RoadTra_BY!$C$2:$C$999,'Road transport'!$AX27)</f>
        <v>100</v>
      </c>
      <c r="G27" s="73">
        <f>AVERAGEIFS(RoadTra_BY!O$2:O$999,RoadTra_BY!$B$2:$B$999,'Road transport'!$C27,RoadTra_BY!$C$2:$C$999,'Road transport'!$AX27)</f>
        <v>100</v>
      </c>
      <c r="H27" s="73">
        <f>AVERAGEIFS(RoadTra_BY!P$2:P$999,RoadTra_BY!$B$2:$B$999,'Road transport'!$C27,RoadTra_BY!$C$2:$C$999,'Road transport'!$AX27)</f>
        <v>100</v>
      </c>
      <c r="I27" s="73">
        <f>AVERAGEIFS(RoadTra_BY!Q$2:Q$999,RoadTra_BY!$B$2:$B$999,'Road transport'!$C27,RoadTra_BY!$C$2:$C$999,'Road transport'!$AX27)</f>
        <v>100</v>
      </c>
      <c r="J27" s="73">
        <f>AVERAGEIFS(RoadTra_BY!R$2:R$999,RoadTra_BY!$B$2:$B$999,'Road transport'!$C27,RoadTra_BY!$C$2:$C$999,'Road transport'!$AX27)</f>
        <v>100</v>
      </c>
      <c r="K27" s="73">
        <f>AVERAGEIFS(RoadTra_BY!S$2:S$999,RoadTra_BY!$B$2:$B$999,'Road transport'!$C27,RoadTra_BY!$C$2:$C$999,'Road transport'!$AX27)</f>
        <v>100</v>
      </c>
      <c r="L27" s="73">
        <f>AVERAGEIFS(RoadTra_BY!T$2:T$999,RoadTra_BY!$B$2:$B$999,'Road transport'!$C27,RoadTra_BY!$C$2:$C$999,'Road transport'!$AX27)</f>
        <v>100</v>
      </c>
      <c r="M27" s="73">
        <f>AVERAGEIFS(RoadTra_BY!U$2:U$999,RoadTra_BY!$B$2:$B$999,'Road transport'!$C27,RoadTra_BY!$C$2:$C$999,'Road transport'!$AX27)</f>
        <v>100</v>
      </c>
      <c r="N27" s="73">
        <f>AVERAGEIFS(RoadTra_BY!V$2:V$999,RoadTra_BY!$B$2:$B$999,'Road transport'!$C27,RoadTra_BY!$C$2:$C$999,'Road transport'!$AX27)</f>
        <v>100</v>
      </c>
      <c r="O27" s="73">
        <f>AVERAGEIFS(RoadTra_BY!W$2:W$999,RoadTra_BY!$B$2:$B$999,'Road transport'!$C27,RoadTra_BY!$C$2:$C$999,'Road transport'!$AX27)</f>
        <v>100</v>
      </c>
      <c r="P27" s="73">
        <f>AVERAGEIFS(RoadTra_BY!X$2:X$999,RoadTra_BY!$B$2:$B$999,'Road transport'!$C27,RoadTra_BY!$C$2:$C$999,'Road transport'!$AX27)</f>
        <v>100</v>
      </c>
      <c r="Q27" s="73">
        <f>AVERAGEIFS(RoadTra_BY!Y$2:Y$999,RoadTra_BY!$B$2:$B$999,'Road transport'!$C27,RoadTra_BY!$C$2:$C$999,'Road transport'!$AX27)</f>
        <v>100</v>
      </c>
      <c r="R27" s="73">
        <f>AVERAGEIFS(RoadTra_BY!Z$2:Z$999,RoadTra_BY!$B$2:$B$999,'Road transport'!$C27,RoadTra_BY!$C$2:$C$999,'Road transport'!$AX27)</f>
        <v>100</v>
      </c>
      <c r="S27" s="73">
        <f>AVERAGEIFS(RoadTra_BY!AA$2:AA$999,RoadTra_BY!$B$2:$B$999,'Road transport'!$C27,RoadTra_BY!$C$2:$C$999,'Road transport'!$AX27)</f>
        <v>100</v>
      </c>
      <c r="T27" s="73">
        <f>AVERAGEIFS(RoadTra_BY!AB$2:AB$999,RoadTra_BY!$B$2:$B$999,'Road transport'!$C27,RoadTra_BY!$C$2:$C$999,'Road transport'!$AX27)</f>
        <v>100</v>
      </c>
      <c r="U27" s="73">
        <f>AVERAGEIFS(RoadTra_BY!AC$2:AC$999,RoadTra_BY!$B$2:$B$999,'Road transport'!$C27,RoadTra_BY!$C$2:$C$999,'Road transport'!$AX27)</f>
        <v>100</v>
      </c>
      <c r="V27" s="73">
        <f>AVERAGEIFS(RoadTra_BY!AD$2:AD$999,RoadTra_BY!$B$2:$B$999,'Road transport'!$C27,RoadTra_BY!$C$2:$C$999,'Road transport'!$AX27)</f>
        <v>100</v>
      </c>
      <c r="W27" s="73">
        <f>AVERAGEIFS(RoadTra_BY!AE$2:AE$999,RoadTra_BY!$B$2:$B$999,'Road transport'!$C27,RoadTra_BY!$C$2:$C$999,'Road transport'!$AX27)</f>
        <v>100</v>
      </c>
      <c r="X27" s="73">
        <f>AVERAGEIFS(RoadTra_BY!AF$2:AF$999,RoadTra_BY!$B$2:$B$999,'Road transport'!$C27,RoadTra_BY!$C$2:$C$999,'Road transport'!$AX27)</f>
        <v>100</v>
      </c>
      <c r="Y27" s="73">
        <f>AVERAGEIFS(RoadTra_BY!AG$2:AG$999,RoadTra_BY!$B$2:$B$999,'Road transport'!$C27,RoadTra_BY!$C$2:$C$999,'Road transport'!$AX27)</f>
        <v>100</v>
      </c>
      <c r="Z27" s="73">
        <f>AVERAGEIFS(RoadTra_BY!AH$2:AH$999,RoadTra_BY!$B$2:$B$999,'Road transport'!$C27,RoadTra_BY!$C$2:$C$999,'Road transport'!$AX27)</f>
        <v>100</v>
      </c>
      <c r="AA27" s="73">
        <f>AVERAGEIFS(RoadTra_BY!AI$2:AI$999,RoadTra_BY!$B$2:$B$999,'Road transport'!$C27,RoadTra_BY!$C$2:$C$999,'Road transport'!$AX27)</f>
        <v>100</v>
      </c>
      <c r="AB27" s="73">
        <f>AVERAGEIFS(RoadTra_BY!AJ$2:AJ$999,RoadTra_BY!$B$2:$B$999,'Road transport'!$C27,RoadTra_BY!$C$2:$C$999,'Road transport'!$AX27)</f>
        <v>100</v>
      </c>
      <c r="AC27" s="73">
        <f>AVERAGEIFS(RoadTra_BY!AK$2:AK$999,RoadTra_BY!$B$2:$B$999,'Road transport'!$C27,RoadTra_BY!$C$2:$C$999,'Road transport'!$AX27)</f>
        <v>100</v>
      </c>
      <c r="AD27" s="73">
        <f>AVERAGEIFS(RoadTra_BY!AL$2:AL$999,RoadTra_BY!$B$2:$B$999,'Road transport'!$C27,RoadTra_BY!$C$2:$C$999,'Road transport'!$AX27)</f>
        <v>100</v>
      </c>
      <c r="AE27" s="73">
        <f>AVERAGEIFS(RoadTra_BY!AM$2:AM$999,RoadTra_BY!$B$2:$B$999,'Road transport'!$C27,RoadTra_BY!$C$2:$C$999,'Road transport'!$AX27)</f>
        <v>100</v>
      </c>
      <c r="AF27" s="73">
        <f>AVERAGEIFS(RoadTra_BY!AN$2:AN$999,RoadTra_BY!$B$2:$B$999,'Road transport'!$C27,RoadTra_BY!$C$2:$C$999,'Road transport'!$AX27)</f>
        <v>35</v>
      </c>
      <c r="AG27" s="73">
        <f>AVERAGEIFS(RoadTra_BY!AO$2:AO$999,RoadTra_BY!$B$2:$B$999,'Road transport'!$C27,RoadTra_BY!$C$2:$C$999,'Road transport'!$AX27)</f>
        <v>100</v>
      </c>
      <c r="AH27" s="73">
        <f>AVERAGEIFS(RoadTra_BY!AP$2:AP$999,RoadTra_BY!$B$2:$B$999,'Road transport'!$C27,RoadTra_BY!$C$2:$C$999,'Road transport'!$AX27)</f>
        <v>100</v>
      </c>
      <c r="AI27" s="73">
        <f>AVERAGEIFS(RoadTra_BY!AQ$2:AQ$999,RoadTra_BY!$B$2:$B$999,'Road transport'!$C27,RoadTra_BY!$C$2:$C$999,'Road transport'!$AX27)</f>
        <v>100</v>
      </c>
      <c r="AJ27" s="73">
        <f>AVERAGEIFS(RoadTra_BY!AR$2:AR$999,RoadTra_BY!$B$2:$B$999,'Road transport'!$C27,RoadTra_BY!$C$2:$C$999,'Road transport'!$AX27)</f>
        <v>100</v>
      </c>
      <c r="AK27" s="73">
        <f>AVERAGEIFS(RoadTra_BY!AS$2:AS$999,RoadTra_BY!$B$2:$B$999,'Road transport'!$C27,RoadTra_BY!$C$2:$C$999,'Road transport'!$AX27)</f>
        <v>100</v>
      </c>
      <c r="AL27" s="73">
        <f>AVERAGEIFS(RoadTra_BY!AT$2:AT$999,RoadTra_BY!$B$2:$B$999,'Road transport'!$C27,RoadTra_BY!$C$2:$C$999,'Road transport'!$AX27)</f>
        <v>35</v>
      </c>
      <c r="AM27" s="73" t="e">
        <f>AVERAGEIFS(RoadTra_BY!AU$2:AU$999,RoadTra_BY!$B$2:$B$999,'Road transport'!$C27,RoadTra_BY!$C$2:$C$999,'Road transport'!$AX27)</f>
        <v>#DIV/0!</v>
      </c>
      <c r="AN27" s="73" t="e">
        <f>AVERAGEIFS(RoadTra_BY!AV$2:AV$999,RoadTra_BY!$B$2:$B$999,'Road transport'!$C27,RoadTra_BY!$C$2:$C$999,'Road transport'!$AX27)</f>
        <v>#DIV/0!</v>
      </c>
      <c r="AO27" s="73" t="e">
        <f>AVERAGEIFS(RoadTra_BY!AW$2:AW$999,RoadTra_BY!$B$2:$B$999,'Road transport'!$C27,RoadTra_BY!$C$2:$C$999,'Road transport'!$AX27)</f>
        <v>#DIV/0!</v>
      </c>
      <c r="AP27" s="73" t="e">
        <f>AVERAGEIFS(RoadTra_BY!AX$2:AX$999,RoadTra_BY!$B$2:$B$999,'Road transport'!$C27,RoadTra_BY!$C$2:$C$999,'Road transport'!$AX27)</f>
        <v>#DIV/0!</v>
      </c>
      <c r="AQ27" s="73" t="e">
        <f>AVERAGEIFS(RoadTra_BY!AY$2:AY$999,RoadTra_BY!$B$2:$B$999,'Road transport'!$C27,RoadTra_BY!$C$2:$C$999,'Road transport'!$AX27)</f>
        <v>#DIV/0!</v>
      </c>
      <c r="AR27" s="73" t="e">
        <f>AVERAGEIFS(RoadTra_BY!AZ$2:AZ$999,RoadTra_BY!$B$2:$B$999,'Road transport'!$C27,RoadTra_BY!$C$2:$C$999,'Road transport'!$AX27)</f>
        <v>#DIV/0!</v>
      </c>
      <c r="AS27" s="73" t="e">
        <f>AVERAGEIFS(RoadTra_BY!BA$2:BA$999,RoadTra_BY!$B$2:$B$999,'Road transport'!$C27,RoadTra_BY!$C$2:$C$999,'Road transport'!$AX27)</f>
        <v>#DIV/0!</v>
      </c>
      <c r="AT27" s="73" t="e">
        <f>AVERAGEIFS(RoadTra_BY!BB$2:BB$999,RoadTra_BY!$B$2:$B$999,'Road transport'!$C27,RoadTra_BY!$C$2:$C$999,'Road transport'!$AX27)</f>
        <v>#DIV/0!</v>
      </c>
      <c r="AU27" s="73" t="e">
        <f>AVERAGEIFS(RoadTra_BY!BC$2:BC$999,RoadTra_BY!$B$2:$B$999,'Road transport'!$C27,RoadTra_BY!$C$2:$C$999,'Road transport'!$AX27)</f>
        <v>#DIV/0!</v>
      </c>
      <c r="AV27" s="73" t="e">
        <f>AVERAGEIFS(RoadTra_BY!BD$2:BD$999,RoadTra_BY!$B$2:$B$999,'Road transport'!$C27,RoadTra_BY!$C$2:$C$999,'Road transport'!$AX27)</f>
        <v>#DIV/0!</v>
      </c>
      <c r="AW27" s="73" t="e">
        <f>AVERAGEIFS(RoadTra_BY!BE$2:BE$999,RoadTra_BY!$B$2:$B$999,'Road transport'!$C27,RoadTra_BY!$C$2:$C$999,'Road transport'!$AX27)</f>
        <v>#DIV/0!</v>
      </c>
      <c r="AX27" t="s">
        <v>163</v>
      </c>
    </row>
    <row r="28" spans="2:50">
      <c r="C28" t="s">
        <v>113</v>
      </c>
      <c r="D28" s="73">
        <f>AVERAGEIFS(RoadTra_BY!L$2:L$999,RoadTra_BY!$B$2:$B$999,'Road transport'!$C28,RoadTra_BY!$C$2:$C$999,'Road transport'!$AX28)</f>
        <v>40</v>
      </c>
      <c r="E28" s="73">
        <f>AVERAGEIFS(RoadTra_BY!M$2:M$999,RoadTra_BY!$B$2:$B$999,'Road transport'!$C28,RoadTra_BY!$C$2:$C$999,'Road transport'!$AX28)</f>
        <v>40</v>
      </c>
      <c r="F28" s="73">
        <f>AVERAGEIFS(RoadTra_BY!N$2:N$999,RoadTra_BY!$B$2:$B$999,'Road transport'!$C28,RoadTra_BY!$C$2:$C$999,'Road transport'!$AX28)</f>
        <v>40</v>
      </c>
      <c r="G28" s="73">
        <f>AVERAGEIFS(RoadTra_BY!O$2:O$999,RoadTra_BY!$B$2:$B$999,'Road transport'!$C28,RoadTra_BY!$C$2:$C$999,'Road transport'!$AX28)</f>
        <v>40</v>
      </c>
      <c r="H28" s="73">
        <f>AVERAGEIFS(RoadTra_BY!P$2:P$999,RoadTra_BY!$B$2:$B$999,'Road transport'!$C28,RoadTra_BY!$C$2:$C$999,'Road transport'!$AX28)</f>
        <v>40</v>
      </c>
      <c r="I28" s="73">
        <f>AVERAGEIFS(RoadTra_BY!Q$2:Q$999,RoadTra_BY!$B$2:$B$999,'Road transport'!$C28,RoadTra_BY!$C$2:$C$999,'Road transport'!$AX28)</f>
        <v>40</v>
      </c>
      <c r="J28" s="73">
        <f>AVERAGEIFS(RoadTra_BY!R$2:R$999,RoadTra_BY!$B$2:$B$999,'Road transport'!$C28,RoadTra_BY!$C$2:$C$999,'Road transport'!$AX28)</f>
        <v>40</v>
      </c>
      <c r="K28" s="73">
        <f>AVERAGEIFS(RoadTra_BY!S$2:S$999,RoadTra_BY!$B$2:$B$999,'Road transport'!$C28,RoadTra_BY!$C$2:$C$999,'Road transport'!$AX28)</f>
        <v>40</v>
      </c>
      <c r="L28" s="73">
        <f>AVERAGEIFS(RoadTra_BY!T$2:T$999,RoadTra_BY!$B$2:$B$999,'Road transport'!$C28,RoadTra_BY!$C$2:$C$999,'Road transport'!$AX28)</f>
        <v>40</v>
      </c>
      <c r="M28" s="73">
        <f>AVERAGEIFS(RoadTra_BY!U$2:U$999,RoadTra_BY!$B$2:$B$999,'Road transport'!$C28,RoadTra_BY!$C$2:$C$999,'Road transport'!$AX28)</f>
        <v>40</v>
      </c>
      <c r="N28" s="73">
        <f>AVERAGEIFS(RoadTra_BY!V$2:V$999,RoadTra_BY!$B$2:$B$999,'Road transport'!$C28,RoadTra_BY!$C$2:$C$999,'Road transport'!$AX28)</f>
        <v>40</v>
      </c>
      <c r="O28" s="73">
        <f>AVERAGEIFS(RoadTra_BY!W$2:W$999,RoadTra_BY!$B$2:$B$999,'Road transport'!$C28,RoadTra_BY!$C$2:$C$999,'Road transport'!$AX28)</f>
        <v>40</v>
      </c>
      <c r="P28" s="73">
        <f>AVERAGEIFS(RoadTra_BY!X$2:X$999,RoadTra_BY!$B$2:$B$999,'Road transport'!$C28,RoadTra_BY!$C$2:$C$999,'Road transport'!$AX28)</f>
        <v>40</v>
      </c>
      <c r="Q28" s="73">
        <f>AVERAGEIFS(RoadTra_BY!Y$2:Y$999,RoadTra_BY!$B$2:$B$999,'Road transport'!$C28,RoadTra_BY!$C$2:$C$999,'Road transport'!$AX28)</f>
        <v>40</v>
      </c>
      <c r="R28" s="73">
        <f>AVERAGEIFS(RoadTra_BY!Z$2:Z$999,RoadTra_BY!$B$2:$B$999,'Road transport'!$C28,RoadTra_BY!$C$2:$C$999,'Road transport'!$AX28)</f>
        <v>40</v>
      </c>
      <c r="S28" s="73">
        <f>AVERAGEIFS(RoadTra_BY!AA$2:AA$999,RoadTra_BY!$B$2:$B$999,'Road transport'!$C28,RoadTra_BY!$C$2:$C$999,'Road transport'!$AX28)</f>
        <v>40</v>
      </c>
      <c r="T28" s="73">
        <f>AVERAGEIFS(RoadTra_BY!AB$2:AB$999,RoadTra_BY!$B$2:$B$999,'Road transport'!$C28,RoadTra_BY!$C$2:$C$999,'Road transport'!$AX28)</f>
        <v>40</v>
      </c>
      <c r="U28" s="73">
        <f>AVERAGEIFS(RoadTra_BY!AC$2:AC$999,RoadTra_BY!$B$2:$B$999,'Road transport'!$C28,RoadTra_BY!$C$2:$C$999,'Road transport'!$AX28)</f>
        <v>40</v>
      </c>
      <c r="V28" s="73">
        <f>AVERAGEIFS(RoadTra_BY!AD$2:AD$999,RoadTra_BY!$B$2:$B$999,'Road transport'!$C28,RoadTra_BY!$C$2:$C$999,'Road transport'!$AX28)</f>
        <v>40</v>
      </c>
      <c r="W28" s="73">
        <f>AVERAGEIFS(RoadTra_BY!AE$2:AE$999,RoadTra_BY!$B$2:$B$999,'Road transport'!$C28,RoadTra_BY!$C$2:$C$999,'Road transport'!$AX28)</f>
        <v>40</v>
      </c>
      <c r="X28" s="73">
        <f>AVERAGEIFS(RoadTra_BY!AF$2:AF$999,RoadTra_BY!$B$2:$B$999,'Road transport'!$C28,RoadTra_BY!$C$2:$C$999,'Road transport'!$AX28)</f>
        <v>40</v>
      </c>
      <c r="Y28" s="73">
        <f>AVERAGEIFS(RoadTra_BY!AG$2:AG$999,RoadTra_BY!$B$2:$B$999,'Road transport'!$C28,RoadTra_BY!$C$2:$C$999,'Road transport'!$AX28)</f>
        <v>40</v>
      </c>
      <c r="Z28" s="73">
        <f>AVERAGEIFS(RoadTra_BY!AH$2:AH$999,RoadTra_BY!$B$2:$B$999,'Road transport'!$C28,RoadTra_BY!$C$2:$C$999,'Road transport'!$AX28)</f>
        <v>40</v>
      </c>
      <c r="AA28" s="73">
        <f>AVERAGEIFS(RoadTra_BY!AI$2:AI$999,RoadTra_BY!$B$2:$B$999,'Road transport'!$C28,RoadTra_BY!$C$2:$C$999,'Road transport'!$AX28)</f>
        <v>40</v>
      </c>
      <c r="AB28" s="73">
        <f>AVERAGEIFS(RoadTra_BY!AJ$2:AJ$999,RoadTra_BY!$B$2:$B$999,'Road transport'!$C28,RoadTra_BY!$C$2:$C$999,'Road transport'!$AX28)</f>
        <v>40</v>
      </c>
      <c r="AC28" s="73">
        <f>AVERAGEIFS(RoadTra_BY!AK$2:AK$999,RoadTra_BY!$B$2:$B$999,'Road transport'!$C28,RoadTra_BY!$C$2:$C$999,'Road transport'!$AX28)</f>
        <v>40</v>
      </c>
      <c r="AD28" s="73">
        <f>AVERAGEIFS(RoadTra_BY!AL$2:AL$999,RoadTra_BY!$B$2:$B$999,'Road transport'!$C28,RoadTra_BY!$C$2:$C$999,'Road transport'!$AX28)</f>
        <v>40</v>
      </c>
      <c r="AE28" s="73">
        <f>AVERAGEIFS(RoadTra_BY!AM$2:AM$999,RoadTra_BY!$B$2:$B$999,'Road transport'!$C28,RoadTra_BY!$C$2:$C$999,'Road transport'!$AX28)</f>
        <v>40</v>
      </c>
      <c r="AF28" s="73">
        <f>AVERAGEIFS(RoadTra_BY!AN$2:AN$999,RoadTra_BY!$B$2:$B$999,'Road transport'!$C28,RoadTra_BY!$C$2:$C$999,'Road transport'!$AX28)</f>
        <v>25</v>
      </c>
      <c r="AG28" s="73">
        <f>AVERAGEIFS(RoadTra_BY!AO$2:AO$999,RoadTra_BY!$B$2:$B$999,'Road transport'!$C28,RoadTra_BY!$C$2:$C$999,'Road transport'!$AX28)</f>
        <v>40</v>
      </c>
      <c r="AH28" s="73">
        <f>AVERAGEIFS(RoadTra_BY!AP$2:AP$999,RoadTra_BY!$B$2:$B$999,'Road transport'!$C28,RoadTra_BY!$C$2:$C$999,'Road transport'!$AX28)</f>
        <v>40</v>
      </c>
      <c r="AI28" s="73">
        <f>AVERAGEIFS(RoadTra_BY!AQ$2:AQ$999,RoadTra_BY!$B$2:$B$999,'Road transport'!$C28,RoadTra_BY!$C$2:$C$999,'Road transport'!$AX28)</f>
        <v>40</v>
      </c>
      <c r="AJ28" s="73">
        <f>AVERAGEIFS(RoadTra_BY!AR$2:AR$999,RoadTra_BY!$B$2:$B$999,'Road transport'!$C28,RoadTra_BY!$C$2:$C$999,'Road transport'!$AX28)</f>
        <v>40</v>
      </c>
      <c r="AK28" s="73">
        <f>AVERAGEIFS(RoadTra_BY!AS$2:AS$999,RoadTra_BY!$B$2:$B$999,'Road transport'!$C28,RoadTra_BY!$C$2:$C$999,'Road transport'!$AX28)</f>
        <v>40</v>
      </c>
      <c r="AL28" s="73">
        <f>AVERAGEIFS(RoadTra_BY!AT$2:AT$999,RoadTra_BY!$B$2:$B$999,'Road transport'!$C28,RoadTra_BY!$C$2:$C$999,'Road transport'!$AX28)</f>
        <v>15</v>
      </c>
      <c r="AM28" s="73" t="e">
        <f>AVERAGEIFS(RoadTra_BY!AU$2:AU$999,RoadTra_BY!$B$2:$B$999,'Road transport'!$C28,RoadTra_BY!$C$2:$C$999,'Road transport'!$AX28)</f>
        <v>#DIV/0!</v>
      </c>
      <c r="AN28" s="73" t="e">
        <f>AVERAGEIFS(RoadTra_BY!AV$2:AV$999,RoadTra_BY!$B$2:$B$999,'Road transport'!$C28,RoadTra_BY!$C$2:$C$999,'Road transport'!$AX28)</f>
        <v>#DIV/0!</v>
      </c>
      <c r="AO28" s="73" t="e">
        <f>AVERAGEIFS(RoadTra_BY!AW$2:AW$999,RoadTra_BY!$B$2:$B$999,'Road transport'!$C28,RoadTra_BY!$C$2:$C$999,'Road transport'!$AX28)</f>
        <v>#DIV/0!</v>
      </c>
      <c r="AP28" s="73" t="e">
        <f>AVERAGEIFS(RoadTra_BY!AX$2:AX$999,RoadTra_BY!$B$2:$B$999,'Road transport'!$C28,RoadTra_BY!$C$2:$C$999,'Road transport'!$AX28)</f>
        <v>#DIV/0!</v>
      </c>
      <c r="AQ28" s="73" t="e">
        <f>AVERAGEIFS(RoadTra_BY!AY$2:AY$999,RoadTra_BY!$B$2:$B$999,'Road transport'!$C28,RoadTra_BY!$C$2:$C$999,'Road transport'!$AX28)</f>
        <v>#DIV/0!</v>
      </c>
      <c r="AR28" s="73" t="e">
        <f>AVERAGEIFS(RoadTra_BY!AZ$2:AZ$999,RoadTra_BY!$B$2:$B$999,'Road transport'!$C28,RoadTra_BY!$C$2:$C$999,'Road transport'!$AX28)</f>
        <v>#DIV/0!</v>
      </c>
      <c r="AS28" s="73" t="e">
        <f>AVERAGEIFS(RoadTra_BY!BA$2:BA$999,RoadTra_BY!$B$2:$B$999,'Road transport'!$C28,RoadTra_BY!$C$2:$C$999,'Road transport'!$AX28)</f>
        <v>#DIV/0!</v>
      </c>
      <c r="AT28" s="73" t="e">
        <f>AVERAGEIFS(RoadTra_BY!BB$2:BB$999,RoadTra_BY!$B$2:$B$999,'Road transport'!$C28,RoadTra_BY!$C$2:$C$999,'Road transport'!$AX28)</f>
        <v>#DIV/0!</v>
      </c>
      <c r="AU28" s="73" t="e">
        <f>AVERAGEIFS(RoadTra_BY!BC$2:BC$999,RoadTra_BY!$B$2:$B$999,'Road transport'!$C28,RoadTra_BY!$C$2:$C$999,'Road transport'!$AX28)</f>
        <v>#DIV/0!</v>
      </c>
      <c r="AV28" s="73" t="e">
        <f>AVERAGEIFS(RoadTra_BY!BD$2:BD$999,RoadTra_BY!$B$2:$B$999,'Road transport'!$C28,RoadTra_BY!$C$2:$C$999,'Road transport'!$AX28)</f>
        <v>#DIV/0!</v>
      </c>
      <c r="AW28" s="73"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1" customFormat="1" spans="2:53">
      <c r="C36" s="61" t="s">
        <v>123</v>
      </c>
      <c r="D36" s="61" t="str">
        <f>"*"&amp;ROUND(SUMIFS(RoadTra_BY!L$2:L$79,RoadTra_BY!$B$2:$B$79,'Road transport'!$C36,RoadTra_BY!$C$2:$C$79,'Road transport'!$BA36),3)</f>
        <v>*0.466</v>
      </c>
      <c r="E36" s="61" t="str">
        <f>"*"&amp;ROUND(SUMIFS(RoadTra_BY!M$2:M$79,RoadTra_BY!$B$2:$B$79,'Road transport'!$C36,RoadTra_BY!$C$2:$C$79,'Road transport'!$BA36),3)</f>
        <v>*0.466</v>
      </c>
      <c r="F36" s="61" t="str">
        <f>"*"&amp;ROUND(SUMIFS(RoadTra_BY!N$2:N$79,RoadTra_BY!$B$2:$B$79,'Road transport'!$C36,RoadTra_BY!$C$2:$C$79,'Road transport'!$BA36),3)</f>
        <v>*0.466</v>
      </c>
      <c r="G36" s="61" t="str">
        <f>"*"&amp;ROUND(SUMIFS(RoadTra_BY!O$2:O$79,RoadTra_BY!$B$2:$B$79,'Road transport'!$C36,RoadTra_BY!$C$2:$C$79,'Road transport'!$BA36),3)</f>
        <v>*0.466</v>
      </c>
      <c r="H36" s="61" t="str">
        <f>"*"&amp;ROUND(SUMIFS(RoadTra_BY!P$2:P$79,RoadTra_BY!$B$2:$B$79,'Road transport'!$C36,RoadTra_BY!$C$2:$C$79,'Road transport'!$BA36),3)</f>
        <v>*0.466</v>
      </c>
      <c r="I36" s="61" t="str">
        <f>"*"&amp;ROUND(SUMIFS(RoadTra_BY!Q$2:Q$79,RoadTra_BY!$B$2:$B$79,'Road transport'!$C36,RoadTra_BY!$C$2:$C$79,'Road transport'!$BA36),3)</f>
        <v>*0.466</v>
      </c>
      <c r="J36" s="61" t="str">
        <f>"*"&amp;ROUND(SUMIFS(RoadTra_BY!R$2:R$79,RoadTra_BY!$B$2:$B$79,'Road transport'!$C36,RoadTra_BY!$C$2:$C$79,'Road transport'!$BA36),3)</f>
        <v>*0.466</v>
      </c>
      <c r="K36" s="61" t="str">
        <f>"*"&amp;ROUND(SUMIFS(RoadTra_BY!S$2:S$79,RoadTra_BY!$B$2:$B$79,'Road transport'!$C36,RoadTra_BY!$C$2:$C$79,'Road transport'!$BA36),3)</f>
        <v>*0.466</v>
      </c>
      <c r="L36" s="61" t="str">
        <f>"*"&amp;ROUND(SUMIFS(RoadTra_BY!T$2:T$79,RoadTra_BY!$B$2:$B$79,'Road transport'!$C36,RoadTra_BY!$C$2:$C$79,'Road transport'!$BA36),3)</f>
        <v>*0.466</v>
      </c>
      <c r="M36" s="61" t="str">
        <f>"*"&amp;ROUND(SUMIFS(RoadTra_BY!U$2:U$79,RoadTra_BY!$B$2:$B$79,'Road transport'!$C36,RoadTra_BY!$C$2:$C$79,'Road transport'!$BA36),3)</f>
        <v>*0.466</v>
      </c>
      <c r="N36" s="61" t="str">
        <f>"*"&amp;ROUND(SUMIFS(RoadTra_BY!V$2:V$79,RoadTra_BY!$B$2:$B$79,'Road transport'!$C36,RoadTra_BY!$C$2:$C$79,'Road transport'!$BA36),3)</f>
        <v>*0.466</v>
      </c>
      <c r="O36" s="61" t="str">
        <f>"*"&amp;ROUND(SUMIFS(RoadTra_BY!W$2:W$79,RoadTra_BY!$B$2:$B$79,'Road transport'!$C36,RoadTra_BY!$C$2:$C$79,'Road transport'!$BA36),3)</f>
        <v>*0.466</v>
      </c>
      <c r="P36" s="61" t="str">
        <f>"*"&amp;ROUND(SUMIFS(RoadTra_BY!X$2:X$79,RoadTra_BY!$B$2:$B$79,'Road transport'!$C36,RoadTra_BY!$C$2:$C$79,'Road transport'!$BA36),3)</f>
        <v>*0.466</v>
      </c>
      <c r="Q36" s="61" t="str">
        <f>"*"&amp;ROUND(SUMIFS(RoadTra_BY!Y$2:Y$79,RoadTra_BY!$B$2:$B$79,'Road transport'!$C36,RoadTra_BY!$C$2:$C$79,'Road transport'!$BA36),3)</f>
        <v>*0.466</v>
      </c>
      <c r="R36" s="61" t="str">
        <f>"*"&amp;ROUND(SUMIFS(RoadTra_BY!Z$2:Z$79,RoadTra_BY!$B$2:$B$79,'Road transport'!$C36,RoadTra_BY!$C$2:$C$79,'Road transport'!$BA36),3)</f>
        <v>*0.466</v>
      </c>
      <c r="S36" s="61" t="str">
        <f>"*"&amp;ROUND(SUMIFS(RoadTra_BY!AA$2:AA$79,RoadTra_BY!$B$2:$B$79,'Road transport'!$C36,RoadTra_BY!$C$2:$C$79,'Road transport'!$BA36),3)</f>
        <v>*0.466</v>
      </c>
      <c r="T36" s="61" t="str">
        <f>"*"&amp;ROUND(SUMIFS(RoadTra_BY!AB$2:AB$79,RoadTra_BY!$B$2:$B$79,'Road transport'!$C36,RoadTra_BY!$C$2:$C$79,'Road transport'!$BA36),3)</f>
        <v>*0.466</v>
      </c>
      <c r="U36" s="61" t="str">
        <f>"*"&amp;ROUND(SUMIFS(RoadTra_BY!AC$2:AC$79,RoadTra_BY!$B$2:$B$79,'Road transport'!$C36,RoadTra_BY!$C$2:$C$79,'Road transport'!$BA36),3)</f>
        <v>*0.466</v>
      </c>
      <c r="V36" s="61" t="str">
        <f>"*"&amp;ROUND(SUMIFS(RoadTra_BY!AD$2:AD$79,RoadTra_BY!$B$2:$B$79,'Road transport'!$C36,RoadTra_BY!$C$2:$C$79,'Road transport'!$BA36),3)</f>
        <v>*0.466</v>
      </c>
      <c r="W36" s="61" t="str">
        <f>"*"&amp;ROUND(SUMIFS(RoadTra_BY!AE$2:AE$79,RoadTra_BY!$B$2:$B$79,'Road transport'!$C36,RoadTra_BY!$C$2:$C$79,'Road transport'!$BA36),3)</f>
        <v>*0.466</v>
      </c>
      <c r="X36" s="61" t="str">
        <f>"*"&amp;ROUND(SUMIFS(RoadTra_BY!AF$2:AF$79,RoadTra_BY!$B$2:$B$79,'Road transport'!$C36,RoadTra_BY!$C$2:$C$79,'Road transport'!$BA36),3)</f>
        <v>*0.466</v>
      </c>
      <c r="Y36" s="61" t="str">
        <f>"*"&amp;ROUND(SUMIFS(RoadTra_BY!AG$2:AG$79,RoadTra_BY!$B$2:$B$79,'Road transport'!$C36,RoadTra_BY!$C$2:$C$79,'Road transport'!$BA36),3)</f>
        <v>*0.28</v>
      </c>
      <c r="Z36" s="61" t="str">
        <f>"*"&amp;ROUND(SUMIFS(RoadTra_BY!AH$2:AH$79,RoadTra_BY!$B$2:$B$79,'Road transport'!$C36,RoadTra_BY!$C$2:$C$79,'Road transport'!$BA36),3)</f>
        <v>*0.466</v>
      </c>
      <c r="AA36" s="61" t="str">
        <f>"*"&amp;ROUND(SUMIFS(RoadTra_BY!AI$2:AI$79,RoadTra_BY!$B$2:$B$79,'Road transport'!$C36,RoadTra_BY!$C$2:$C$79,'Road transport'!$BA36),3)</f>
        <v>*0.466</v>
      </c>
      <c r="AB36" s="61" t="str">
        <f>"*"&amp;ROUND(SUMIFS(RoadTra_BY!AJ$2:AJ$79,RoadTra_BY!$B$2:$B$79,'Road transport'!$C36,RoadTra_BY!$C$2:$C$79,'Road transport'!$BA36),3)</f>
        <v>*0.466</v>
      </c>
      <c r="AC36" s="61" t="str">
        <f>"*"&amp;ROUND(SUMIFS(RoadTra_BY!AK$2:AK$79,RoadTra_BY!$B$2:$B$79,'Road transport'!$C36,RoadTra_BY!$C$2:$C$79,'Road transport'!$BA36),3)</f>
        <v>*0.466</v>
      </c>
      <c r="AD36" s="61" t="str">
        <f>"*"&amp;ROUND(SUMIFS(RoadTra_BY!AL$2:AL$79,RoadTra_BY!$B$2:$B$79,'Road transport'!$C36,RoadTra_BY!$C$2:$C$79,'Road transport'!$BA36),3)</f>
        <v>*0.466</v>
      </c>
      <c r="AE36" s="61" t="str">
        <f>"*"&amp;ROUND(SUMIFS(RoadTra_BY!AM$2:AM$79,RoadTra_BY!$B$2:$B$79,'Road transport'!$C36,RoadTra_BY!$C$2:$C$79,'Road transport'!$BA36),3)</f>
        <v>*0.466</v>
      </c>
      <c r="AF36" s="61" t="str">
        <f>"*"&amp;ROUND(SUMIFS(RoadTra_BY!AN$2:AN$79,RoadTra_BY!$B$2:$B$79,'Road transport'!$C36,RoadTra_BY!$C$2:$C$79,'Road transport'!$BA36),3)</f>
        <v>*0.466</v>
      </c>
      <c r="AG36" s="61" t="str">
        <f>"*"&amp;ROUND(SUMIFS(RoadTra_BY!AO$2:AO$79,RoadTra_BY!$B$2:$B$79,'Road transport'!$C36,RoadTra_BY!$C$2:$C$79,'Road transport'!$BA36),3)</f>
        <v>*0.466</v>
      </c>
      <c r="AH36" s="61" t="str">
        <f>"*"&amp;ROUND(SUMIFS(RoadTra_BY!AP$2:AP$79,RoadTra_BY!$B$2:$B$79,'Road transport'!$C36,RoadTra_BY!$C$2:$C$79,'Road transport'!$BA36),3)</f>
        <v>*0.466</v>
      </c>
      <c r="AI36" s="61" t="str">
        <f>"*"&amp;ROUND(SUMIFS(RoadTra_BY!AQ$2:AQ$79,RoadTra_BY!$B$2:$B$79,'Road transport'!$C36,RoadTra_BY!$C$2:$C$79,'Road transport'!$BA36),3)</f>
        <v>*0.466</v>
      </c>
      <c r="AJ36" s="61" t="str">
        <f>"*"&amp;ROUND(SUMIFS(RoadTra_BY!AR$2:AR$79,RoadTra_BY!$B$2:$B$79,'Road transport'!$C36,RoadTra_BY!$C$2:$C$79,'Road transport'!$BA36),3)</f>
        <v>*0.466</v>
      </c>
      <c r="AK36" s="61" t="str">
        <f>"*"&amp;ROUND(SUMIFS(RoadTra_BY!AS$2:AS$79,RoadTra_BY!$B$2:$B$79,'Road transport'!$C36,RoadTra_BY!$C$2:$C$79,'Road transport'!$BA36),3)</f>
        <v>*0.466</v>
      </c>
      <c r="AL36" s="61" t="str">
        <f>"*"&amp;ROUND(SUMIFS(RoadTra_BY!AT$2:AT$79,RoadTra_BY!$B$2:$B$79,'Road transport'!$C36,RoadTra_BY!$C$2:$C$79,'Road transport'!$BA36),3)</f>
        <v>*0.466</v>
      </c>
      <c r="AM36" s="61" t="str">
        <f>"*"&amp;ROUND(SUMIFS(RoadTra_BY!AU$2:AU$79,RoadTra_BY!$B$2:$B$79,'Road transport'!$C36,RoadTra_BY!$C$2:$C$79,'Road transport'!$BA36),3)</f>
        <v>*0</v>
      </c>
      <c r="AN36" s="61" t="str">
        <f>"*"&amp;ROUND(SUMIFS(RoadTra_BY!AV$2:AV$79,RoadTra_BY!$B$2:$B$79,'Road transport'!$C36,RoadTra_BY!$C$2:$C$79,'Road transport'!$BA36),3)</f>
        <v>*0</v>
      </c>
      <c r="AO36" s="61" t="str">
        <f>"*"&amp;ROUND(SUMIFS(RoadTra_BY!AW$2:AW$79,RoadTra_BY!$B$2:$B$79,'Road transport'!$C36,RoadTra_BY!$C$2:$C$79,'Road transport'!$BA36),3)</f>
        <v>*0</v>
      </c>
      <c r="AP36" s="61" t="str">
        <f>"*"&amp;ROUND(SUMIFS(RoadTra_BY!AX$2:AX$79,RoadTra_BY!$B$2:$B$79,'Road transport'!$C36,RoadTra_BY!$C$2:$C$79,'Road transport'!$BA36),3)</f>
        <v>*0</v>
      </c>
      <c r="AQ36" s="61" t="str">
        <f>"*"&amp;ROUND(SUMIFS(RoadTra_BY!AY$2:AY$79,RoadTra_BY!$B$2:$B$79,'Road transport'!$C36,RoadTra_BY!$C$2:$C$79,'Road transport'!$BA36),3)</f>
        <v>*0</v>
      </c>
      <c r="AR36" s="61" t="str">
        <f>"*"&amp;ROUND(SUMIFS(RoadTra_BY!AZ$2:AZ$79,RoadTra_BY!$B$2:$B$79,'Road transport'!$C36,RoadTra_BY!$C$2:$C$79,'Road transport'!$BA36),3)</f>
        <v>*0</v>
      </c>
      <c r="AS36" s="61" t="str">
        <f>"*"&amp;ROUND(SUMIFS(RoadTra_BY!BA$2:BA$79,RoadTra_BY!$B$2:$B$79,'Road transport'!$C36,RoadTra_BY!$C$2:$C$79,'Road transport'!$BA36),3)</f>
        <v>*0</v>
      </c>
      <c r="AT36" s="61" t="str">
        <f>"*"&amp;ROUND(SUMIFS(RoadTra_BY!BB$2:BB$79,RoadTra_BY!$B$2:$B$79,'Road transport'!$C36,RoadTra_BY!$C$2:$C$79,'Road transport'!$BA36),3)</f>
        <v>*0</v>
      </c>
      <c r="AU36" s="61" t="str">
        <f>"*"&amp;ROUND(SUMIFS(RoadTra_BY!BC$2:BC$79,RoadTra_BY!$B$2:$B$79,'Road transport'!$C36,RoadTra_BY!$C$2:$C$79,'Road transport'!$BA36),3)</f>
        <v>*0</v>
      </c>
      <c r="AV36" s="61" t="str">
        <f>"*"&amp;ROUND(SUMIFS(RoadTra_BY!BD$2:BD$79,RoadTra_BY!$B$2:$B$79,'Road transport'!$C36,RoadTra_BY!$C$2:$C$79,'Road transport'!$BA36),3)</f>
        <v>*0</v>
      </c>
      <c r="AW36" s="61" t="str">
        <f>"*"&amp;ROUND(SUMIFS(RoadTra_BY!BE$2:BE$79,RoadTra_BY!$B$2:$B$79,'Road transport'!$C36,RoadTra_BY!$C$2:$C$79,'Road transport'!$BA36),3)</f>
        <v>*0</v>
      </c>
      <c r="AX36" s="61" t="str">
        <f t="shared" si="1"/>
        <v>Trd_car_*</v>
      </c>
      <c r="AZ36" s="61">
        <f t="shared" si="0"/>
        <v>1</v>
      </c>
      <c r="BA36" s="61"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4"/>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42" t="s">
        <v>178</v>
      </c>
    </row>
    <row r="56" spans="1:53">
      <c r="B56" t="s">
        <v>179</v>
      </c>
      <c r="C56">
        <v>1</v>
      </c>
      <c r="F56" t="s">
        <v>180</v>
      </c>
      <c r="G56" t="s">
        <v>119</v>
      </c>
      <c r="H56" t="str">
        <f>F56</f>
        <v>AuxStoIN</v>
      </c>
      <c r="I56" t="s">
        <v>181</v>
      </c>
    </row>
    <row r="62" spans="1:53">
      <c r="H62" s="66"/>
    </row>
    <row r="63" spans="1:53">
      <c r="H63" s="66"/>
      <c r="BA63" s="63"/>
    </row>
    <row r="64" spans="1:53">
      <c r="A64" t="s">
        <v>182</v>
      </c>
    </row>
    <row r="65" s="62" customFormat="1" spans="1:106">
      <c r="A65" s="63"/>
      <c r="B65" s="67"/>
      <c r="C65" s="75"/>
      <c r="D65" s="67"/>
      <c r="E65" s="67"/>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c r="AH65" s="63"/>
      <c r="AI65" s="63"/>
      <c r="AJ65" s="63"/>
      <c r="AK65" s="63"/>
      <c r="AL65" s="63"/>
      <c r="AM65" s="63"/>
      <c r="AN65" s="63"/>
      <c r="AO65" s="63"/>
      <c r="AP65" s="63"/>
      <c r="AY65" s="63"/>
      <c r="AZ65" s="63"/>
      <c r="BB65" s="63"/>
      <c r="BC65" s="63"/>
      <c r="BD65" s="63"/>
      <c r="BE65" s="63"/>
      <c r="BF65" s="63"/>
      <c r="BG65" s="63"/>
      <c r="BH65" s="63"/>
      <c r="BI65" s="63"/>
      <c r="CO65" s="76"/>
      <c r="CP65" s="76"/>
      <c r="CR65" s="76"/>
      <c r="CS65" s="76"/>
      <c r="CT65" s="76"/>
      <c r="CU65" s="76"/>
      <c r="CW65" s="66"/>
      <c r="CX65" s="77" t="s">
        <v>130</v>
      </c>
      <c r="CY65" s="66"/>
      <c r="CZ65" s="66"/>
      <c r="DA65" s="66"/>
      <c r="DB65" s="66"/>
    </row>
    <row r="66" s="63" customFormat="1" spans="1:106">
      <c r="A66" s="63" t="s">
        <v>41</v>
      </c>
      <c r="B66" s="67" t="s">
        <v>132</v>
      </c>
      <c r="C66" s="67" t="s">
        <v>136</v>
      </c>
      <c r="D66" s="67" t="s">
        <v>65</v>
      </c>
      <c r="E66" s="67" t="s">
        <v>111</v>
      </c>
      <c r="F66" s="63" t="s">
        <v>3</v>
      </c>
      <c r="G66" s="63" t="s">
        <v>5</v>
      </c>
      <c r="H66" s="63" t="s">
        <v>6</v>
      </c>
      <c r="I66" s="63" t="s">
        <v>7</v>
      </c>
      <c r="J66" s="63" t="s">
        <v>8</v>
      </c>
      <c r="K66" s="63" t="s">
        <v>9</v>
      </c>
      <c r="L66" s="63" t="s">
        <v>10</v>
      </c>
      <c r="M66" s="63" t="s">
        <v>11</v>
      </c>
      <c r="N66" s="63" t="s">
        <v>12</v>
      </c>
      <c r="O66" s="63" t="s">
        <v>13</v>
      </c>
      <c r="P66" s="63" t="s">
        <v>14</v>
      </c>
      <c r="Q66" s="63" t="s">
        <v>15</v>
      </c>
      <c r="R66" s="63" t="s">
        <v>16</v>
      </c>
      <c r="S66" s="63" t="s">
        <v>17</v>
      </c>
      <c r="T66" s="63" t="s">
        <v>18</v>
      </c>
      <c r="U66" s="63" t="s">
        <v>19</v>
      </c>
      <c r="V66" s="63" t="s">
        <v>20</v>
      </c>
      <c r="W66" s="63" t="s">
        <v>21</v>
      </c>
      <c r="X66" s="63" t="s">
        <v>22</v>
      </c>
      <c r="Y66" s="63" t="s">
        <v>23</v>
      </c>
      <c r="Z66" s="63" t="s">
        <v>24</v>
      </c>
      <c r="AA66" s="63" t="s">
        <v>25</v>
      </c>
      <c r="AB66" s="63" t="s">
        <v>26</v>
      </c>
      <c r="AC66" s="63" t="s">
        <v>27</v>
      </c>
      <c r="AD66" s="63" t="s">
        <v>28</v>
      </c>
      <c r="AE66" s="63" t="s">
        <v>29</v>
      </c>
      <c r="AF66" s="63" t="s">
        <v>30</v>
      </c>
      <c r="AG66" s="63" t="s">
        <v>31</v>
      </c>
      <c r="AH66" s="63" t="s">
        <v>32</v>
      </c>
      <c r="AI66" s="63" t="s">
        <v>33</v>
      </c>
      <c r="AJ66" s="63" t="s">
        <v>34</v>
      </c>
      <c r="AK66" s="63" t="s">
        <v>35</v>
      </c>
      <c r="AL66" s="63" t="s">
        <v>36</v>
      </c>
      <c r="AM66" s="63" t="s">
        <v>37</v>
      </c>
      <c r="AN66" s="63" t="s">
        <v>183</v>
      </c>
      <c r="CQ66" s="78"/>
      <c r="CR66" s="78"/>
      <c r="CT66" s="78"/>
      <c r="CU66" s="78"/>
      <c r="CW66" t="s">
        <v>132</v>
      </c>
      <c r="CX66" t="s">
        <v>136</v>
      </c>
      <c r="CY66" t="s">
        <v>65</v>
      </c>
      <c r="CZ66" t="s">
        <v>111</v>
      </c>
      <c r="DA66" s="79" t="s">
        <v>41</v>
      </c>
      <c r="DB66" s="79" t="s">
        <v>66</v>
      </c>
    </row>
    <row r="67" s="63" customFormat="1" ht="14.5" spans="1:106">
      <c r="A67" s="63">
        <v>2020</v>
      </c>
      <c r="B67" s="80" t="s">
        <v>184</v>
      </c>
      <c r="C67" s="67" t="s">
        <v>185</v>
      </c>
      <c r="D67" s="81" t="s">
        <v>186</v>
      </c>
      <c r="E67" s="75" t="s">
        <v>187</v>
      </c>
      <c r="F67" s="63">
        <f t="shared" ref="F67:L68" si="2">D77/1000</f>
        <v>0</v>
      </c>
      <c r="G67" s="63">
        <f t="shared" si="2"/>
        <v>310</v>
      </c>
      <c r="H67" s="63">
        <f t="shared" si="2"/>
        <v>6200</v>
      </c>
      <c r="I67" s="63">
        <f t="shared" si="2"/>
        <v>0</v>
      </c>
      <c r="J67" s="63">
        <f t="shared" si="2"/>
        <v>0</v>
      </c>
      <c r="K67" s="63">
        <f t="shared" si="2"/>
        <v>0</v>
      </c>
      <c r="L67" s="63">
        <f t="shared" si="2"/>
        <v>250</v>
      </c>
      <c r="M67" s="63">
        <v>2000</v>
      </c>
      <c r="N67" s="63">
        <f t="shared" ref="N67:W68" si="3">L77/1000</f>
        <v>0</v>
      </c>
      <c r="O67" s="63">
        <f t="shared" si="3"/>
        <v>0</v>
      </c>
      <c r="P67" s="63">
        <f t="shared" si="3"/>
        <v>0</v>
      </c>
      <c r="Q67" s="63">
        <f t="shared" si="3"/>
        <v>0</v>
      </c>
      <c r="R67" s="63">
        <f t="shared" si="3"/>
        <v>0</v>
      </c>
      <c r="S67" s="63">
        <f t="shared" si="3"/>
        <v>0</v>
      </c>
      <c r="T67" s="63">
        <f t="shared" si="3"/>
        <v>0</v>
      </c>
      <c r="U67" s="63">
        <f t="shared" si="3"/>
        <v>0</v>
      </c>
      <c r="V67" s="63">
        <f t="shared" si="3"/>
        <v>0</v>
      </c>
      <c r="W67" s="63">
        <f t="shared" si="3"/>
        <v>0</v>
      </c>
      <c r="X67" s="63">
        <f t="shared" ref="X67:AG68" si="4">V77/1000</f>
        <v>0</v>
      </c>
      <c r="Y67" s="63">
        <f t="shared" si="4"/>
        <v>12250</v>
      </c>
      <c r="Z67" s="63">
        <f t="shared" si="4"/>
        <v>0</v>
      </c>
      <c r="AA67" s="63">
        <f t="shared" si="4"/>
        <v>1930</v>
      </c>
      <c r="AB67" s="63">
        <f t="shared" si="4"/>
        <v>0</v>
      </c>
      <c r="AC67" s="63">
        <f t="shared" si="4"/>
        <v>0</v>
      </c>
      <c r="AD67" s="63">
        <f t="shared" si="4"/>
        <v>3300</v>
      </c>
      <c r="AE67" s="63">
        <f t="shared" si="4"/>
        <v>0</v>
      </c>
      <c r="AF67" s="63">
        <f t="shared" si="4"/>
        <v>0</v>
      </c>
      <c r="AG67" s="63">
        <f t="shared" si="4"/>
        <v>0</v>
      </c>
      <c r="AH67" s="63">
        <f t="shared" ref="AH67:AM68" si="5">AF77/1000</f>
        <v>60</v>
      </c>
      <c r="AI67" s="63">
        <f t="shared" si="5"/>
        <v>0</v>
      </c>
      <c r="AJ67" s="63">
        <f t="shared" si="5"/>
        <v>0</v>
      </c>
      <c r="AK67" s="63">
        <f t="shared" si="5"/>
        <v>0</v>
      </c>
      <c r="AL67" s="63">
        <f t="shared" si="5"/>
        <v>0</v>
      </c>
      <c r="AM67" s="63">
        <f t="shared" si="5"/>
        <v>0</v>
      </c>
      <c r="AN67" s="63" t="str">
        <f>E67</f>
        <v>m_lithium</v>
      </c>
      <c r="CQ67" s="78"/>
      <c r="CR67" s="78"/>
      <c r="CT67" s="78"/>
      <c r="CU67" s="78"/>
      <c r="CW67" s="82" t="s">
        <v>184</v>
      </c>
      <c r="CX67" t="s">
        <v>185</v>
      </c>
      <c r="CY67" s="66" t="str">
        <f>D67</f>
        <v>MINBatMaterials_LI</v>
      </c>
      <c r="CZ67" s="66" t="s">
        <v>187</v>
      </c>
      <c r="DA67" s="79">
        <v>0</v>
      </c>
      <c r="DB67" s="79">
        <v>-1</v>
      </c>
    </row>
    <row r="68" s="63" customFormat="1" ht="16" spans="1:106">
      <c r="A68" s="63">
        <v>2020</v>
      </c>
      <c r="B68" s="80" t="s">
        <v>184</v>
      </c>
      <c r="C68" s="67" t="s">
        <v>185</v>
      </c>
      <c r="D68" s="83" t="s">
        <v>188</v>
      </c>
      <c r="E68" s="75" t="s">
        <v>189</v>
      </c>
      <c r="F68" s="63">
        <f t="shared" si="2"/>
        <v>0</v>
      </c>
      <c r="G68" s="63">
        <f t="shared" si="2"/>
        <v>0</v>
      </c>
      <c r="H68" s="63">
        <f t="shared" si="2"/>
        <v>21000</v>
      </c>
      <c r="I68" s="63">
        <f t="shared" si="2"/>
        <v>0</v>
      </c>
      <c r="J68" s="63">
        <f t="shared" si="2"/>
        <v>0</v>
      </c>
      <c r="K68" s="63">
        <f t="shared" si="2"/>
        <v>0</v>
      </c>
      <c r="L68" s="63">
        <f t="shared" si="2"/>
        <v>16000</v>
      </c>
      <c r="M68" s="63">
        <f>K78/1000</f>
        <v>2100</v>
      </c>
      <c r="N68" s="63">
        <f t="shared" si="3"/>
        <v>0</v>
      </c>
      <c r="O68" s="63">
        <f t="shared" si="3"/>
        <v>0</v>
      </c>
      <c r="P68" s="63">
        <f t="shared" si="3"/>
        <v>0</v>
      </c>
      <c r="Q68" s="63">
        <f t="shared" si="3"/>
        <v>0</v>
      </c>
      <c r="R68" s="63">
        <f t="shared" si="3"/>
        <v>0</v>
      </c>
      <c r="S68" s="63">
        <f t="shared" si="3"/>
        <v>0</v>
      </c>
      <c r="T68" s="63">
        <f t="shared" si="3"/>
        <v>0</v>
      </c>
      <c r="U68" s="63">
        <f t="shared" si="3"/>
        <v>0</v>
      </c>
      <c r="V68" s="63">
        <f t="shared" si="3"/>
        <v>0</v>
      </c>
      <c r="W68" s="63">
        <f t="shared" si="3"/>
        <v>0</v>
      </c>
      <c r="X68" s="63">
        <f t="shared" si="4"/>
        <v>0</v>
      </c>
      <c r="Y68" s="63">
        <f t="shared" si="4"/>
        <v>16000</v>
      </c>
      <c r="Z68" s="63">
        <f t="shared" si="4"/>
        <v>0</v>
      </c>
      <c r="AA68" s="63">
        <f t="shared" si="4"/>
        <v>2570</v>
      </c>
      <c r="AB68" s="63">
        <f t="shared" si="4"/>
        <v>0</v>
      </c>
      <c r="AC68" s="63">
        <f t="shared" si="4"/>
        <v>0</v>
      </c>
      <c r="AD68" s="63">
        <f t="shared" si="4"/>
        <v>52900</v>
      </c>
      <c r="AE68" s="63">
        <f t="shared" si="4"/>
        <v>7500</v>
      </c>
      <c r="AF68" s="63">
        <f t="shared" si="4"/>
        <v>0</v>
      </c>
      <c r="AG68" s="63">
        <f t="shared" si="4"/>
        <v>0</v>
      </c>
      <c r="AH68" s="63">
        <f t="shared" si="5"/>
        <v>0</v>
      </c>
      <c r="AI68" s="63">
        <f t="shared" si="5"/>
        <v>0</v>
      </c>
      <c r="AJ68" s="63">
        <f t="shared" si="5"/>
        <v>0</v>
      </c>
      <c r="AK68" s="63">
        <f t="shared" si="5"/>
        <v>0</v>
      </c>
      <c r="AL68" s="63">
        <f t="shared" si="5"/>
        <v>0</v>
      </c>
      <c r="AM68" s="63">
        <f t="shared" si="5"/>
        <v>0</v>
      </c>
      <c r="AN68" s="63" t="str">
        <f t="shared" ref="AN68:AN73" si="6">E68</f>
        <v>m_nickel</v>
      </c>
      <c r="CQ68" s="78"/>
      <c r="CR68" s="78"/>
      <c r="CT68" s="78"/>
      <c r="CU68" s="78"/>
      <c r="CW68" s="82" t="s">
        <v>184</v>
      </c>
      <c r="CX68" t="s">
        <v>185</v>
      </c>
      <c r="CY68" s="66" t="str">
        <f t="shared" ref="CY68:CY73" si="7">D68</f>
        <v>MINBatMaterials_NI</v>
      </c>
      <c r="CZ68" s="66" t="s">
        <v>189</v>
      </c>
      <c r="DA68" s="79">
        <v>0</v>
      </c>
      <c r="DB68" s="79">
        <v>-1</v>
      </c>
    </row>
    <row r="69" s="64" customFormat="1" ht="16" spans="1:106">
      <c r="A69" s="63">
        <v>2020</v>
      </c>
      <c r="B69" s="84" t="s">
        <v>184</v>
      </c>
      <c r="C69" s="64" t="s">
        <v>185</v>
      </c>
      <c r="D69" s="83" t="s">
        <v>190</v>
      </c>
      <c r="E69" s="85" t="s">
        <v>191</v>
      </c>
      <c r="F69" s="86">
        <v>0</v>
      </c>
      <c r="G69" s="86">
        <f>E79/10000</f>
        <v>410</v>
      </c>
      <c r="H69" s="86">
        <f>F79/10000</f>
        <v>150</v>
      </c>
      <c r="I69" s="86">
        <f>G79/10000</f>
        <v>0</v>
      </c>
      <c r="J69" s="86">
        <f>H79/10000</f>
        <v>0</v>
      </c>
      <c r="K69" s="86">
        <f>I79/10000</f>
        <v>0</v>
      </c>
      <c r="L69" s="86">
        <f t="shared" ref="L69:AM69" si="8">J79/10000</f>
        <v>0</v>
      </c>
      <c r="M69" s="86">
        <f t="shared" si="8"/>
        <v>14</v>
      </c>
      <c r="N69" s="86">
        <f t="shared" si="8"/>
        <v>0</v>
      </c>
      <c r="O69" s="86">
        <f t="shared" si="8"/>
        <v>0</v>
      </c>
      <c r="P69" s="86">
        <f t="shared" si="8"/>
        <v>0</v>
      </c>
      <c r="Q69" s="86">
        <f t="shared" si="8"/>
        <v>0</v>
      </c>
      <c r="R69" s="86">
        <f t="shared" si="8"/>
        <v>0</v>
      </c>
      <c r="S69" s="86">
        <f t="shared" si="8"/>
        <v>0</v>
      </c>
      <c r="T69" s="86">
        <f t="shared" si="8"/>
        <v>0</v>
      </c>
      <c r="U69" s="86">
        <f t="shared" si="8"/>
        <v>0</v>
      </c>
      <c r="V69" s="86">
        <f t="shared" si="8"/>
        <v>0</v>
      </c>
      <c r="W69" s="86">
        <f t="shared" si="8"/>
        <v>0</v>
      </c>
      <c r="X69" s="86">
        <f t="shared" si="8"/>
        <v>0</v>
      </c>
      <c r="Y69" s="86">
        <f t="shared" si="8"/>
        <v>50</v>
      </c>
      <c r="Z69" s="86">
        <f t="shared" si="8"/>
        <v>3.6</v>
      </c>
      <c r="AA69" s="86">
        <f t="shared" si="8"/>
        <v>28.9</v>
      </c>
      <c r="AB69" s="86">
        <f t="shared" si="8"/>
        <v>0</v>
      </c>
      <c r="AC69" s="86">
        <f t="shared" si="8"/>
        <v>0</v>
      </c>
      <c r="AD69" s="86">
        <f t="shared" si="8"/>
        <v>151.7</v>
      </c>
      <c r="AE69" s="86">
        <f t="shared" si="8"/>
        <v>25</v>
      </c>
      <c r="AF69" s="86">
        <f t="shared" si="8"/>
        <v>0</v>
      </c>
      <c r="AG69" s="86">
        <f t="shared" si="8"/>
        <v>0</v>
      </c>
      <c r="AH69" s="86">
        <f t="shared" si="8"/>
        <v>0</v>
      </c>
      <c r="AI69" s="86">
        <f t="shared" si="8"/>
        <v>0</v>
      </c>
      <c r="AJ69" s="86">
        <f t="shared" si="8"/>
        <v>0</v>
      </c>
      <c r="AK69" s="86">
        <f t="shared" si="8"/>
        <v>3.6</v>
      </c>
      <c r="AL69" s="86">
        <f t="shared" si="8"/>
        <v>0</v>
      </c>
      <c r="AM69" s="86">
        <f t="shared" si="8"/>
        <v>0</v>
      </c>
      <c r="AN69" s="63" t="str">
        <f t="shared" si="6"/>
        <v>m_cobalt</v>
      </c>
      <c r="CQ69" s="87"/>
      <c r="CR69" s="87"/>
      <c r="CT69" s="87"/>
      <c r="CU69" s="87"/>
      <c r="CW69" s="84" t="s">
        <v>184</v>
      </c>
      <c r="CX69" s="64" t="s">
        <v>185</v>
      </c>
      <c r="CY69" s="66" t="str">
        <f t="shared" si="7"/>
        <v>MINBatMaterials_COB</v>
      </c>
      <c r="CZ69" s="85" t="s">
        <v>191</v>
      </c>
      <c r="DA69" s="87">
        <v>0</v>
      </c>
      <c r="DB69" s="79">
        <v>-1</v>
      </c>
    </row>
    <row r="70" s="63" customFormat="1" ht="16" spans="1:106">
      <c r="A70" s="63">
        <v>2020</v>
      </c>
      <c r="B70" s="80" t="s">
        <v>184</v>
      </c>
      <c r="C70" s="67" t="s">
        <v>185</v>
      </c>
      <c r="D70" s="83" t="s">
        <v>192</v>
      </c>
      <c r="E70" s="88" t="s">
        <v>193</v>
      </c>
      <c r="F70" s="89">
        <f t="shared" ref="F70:Z70" si="9">D80/1000</f>
        <v>0</v>
      </c>
      <c r="G70" s="89">
        <f t="shared" si="9"/>
        <v>74000</v>
      </c>
      <c r="H70" s="89">
        <f t="shared" si="9"/>
        <v>270000</v>
      </c>
      <c r="I70" s="89">
        <f t="shared" si="9"/>
        <v>0</v>
      </c>
      <c r="J70" s="89">
        <f t="shared" si="9"/>
        <v>0</v>
      </c>
      <c r="K70" s="89">
        <f t="shared" si="9"/>
        <v>0</v>
      </c>
      <c r="L70" s="89">
        <f t="shared" si="9"/>
        <v>270000</v>
      </c>
      <c r="M70" s="89">
        <f t="shared" si="9"/>
        <v>280000</v>
      </c>
      <c r="N70" s="89">
        <f t="shared" si="9"/>
        <v>0</v>
      </c>
      <c r="O70" s="89">
        <f t="shared" si="9"/>
        <v>0</v>
      </c>
      <c r="P70" s="89">
        <f t="shared" si="9"/>
        <v>0</v>
      </c>
      <c r="Q70" s="89">
        <f t="shared" si="9"/>
        <v>0</v>
      </c>
      <c r="R70" s="89">
        <f t="shared" si="9"/>
        <v>0</v>
      </c>
      <c r="S70" s="89">
        <f t="shared" si="9"/>
        <v>0</v>
      </c>
      <c r="T70" s="89">
        <f t="shared" si="9"/>
        <v>0</v>
      </c>
      <c r="U70" s="89">
        <f t="shared" si="9"/>
        <v>34000</v>
      </c>
      <c r="V70" s="89">
        <f t="shared" si="9"/>
        <v>0</v>
      </c>
      <c r="W70" s="89">
        <f t="shared" si="9"/>
        <v>0</v>
      </c>
      <c r="X70" s="89">
        <f t="shared" si="9"/>
        <v>0</v>
      </c>
      <c r="Y70" s="89">
        <f t="shared" si="9"/>
        <v>275000</v>
      </c>
      <c r="Z70" s="89">
        <f t="shared" si="9"/>
        <v>0</v>
      </c>
      <c r="AA70" s="90">
        <v>100</v>
      </c>
      <c r="AB70" s="63">
        <f t="shared" ref="AB70:AM73" si="10">Z80/1000</f>
        <v>0</v>
      </c>
      <c r="AC70" s="63">
        <f t="shared" si="10"/>
        <v>0</v>
      </c>
      <c r="AD70" s="63">
        <f t="shared" si="10"/>
        <v>5000</v>
      </c>
      <c r="AE70" s="63">
        <f t="shared" si="10"/>
        <v>0</v>
      </c>
      <c r="AF70" s="63">
        <f t="shared" si="10"/>
        <v>0</v>
      </c>
      <c r="AG70" s="67">
        <f t="shared" si="10"/>
        <v>640000</v>
      </c>
      <c r="AH70" s="63">
        <f t="shared" si="10"/>
        <v>0</v>
      </c>
      <c r="AI70" s="63">
        <f t="shared" si="10"/>
        <v>0</v>
      </c>
      <c r="AJ70" s="63">
        <f t="shared" si="10"/>
        <v>0</v>
      </c>
      <c r="AK70" s="63">
        <f t="shared" si="10"/>
        <v>0</v>
      </c>
      <c r="AL70" s="63">
        <f t="shared" si="10"/>
        <v>0</v>
      </c>
      <c r="AM70" s="63">
        <f t="shared" si="10"/>
        <v>140000</v>
      </c>
      <c r="AN70" s="63" t="str">
        <f t="shared" si="6"/>
        <v>m_manganese</v>
      </c>
      <c r="CQ70" s="78"/>
      <c r="CR70" s="78"/>
      <c r="CT70" s="78"/>
      <c r="CU70" s="78"/>
      <c r="CW70" s="82" t="s">
        <v>184</v>
      </c>
      <c r="CX70" t="s">
        <v>185</v>
      </c>
      <c r="CY70" s="66" t="str">
        <f t="shared" si="7"/>
        <v>MINBatMaterials_MN</v>
      </c>
      <c r="CZ70" s="91" t="s">
        <v>193</v>
      </c>
      <c r="DA70" s="79">
        <v>0</v>
      </c>
      <c r="DB70" s="79">
        <v>-1</v>
      </c>
    </row>
    <row r="71" s="65" customFormat="1" ht="16" spans="1:106">
      <c r="A71" s="65">
        <v>2020</v>
      </c>
      <c r="B71" s="92" t="s">
        <v>184</v>
      </c>
      <c r="C71" s="65" t="s">
        <v>185</v>
      </c>
      <c r="D71" s="93" t="s">
        <v>194</v>
      </c>
      <c r="E71" s="94" t="s">
        <v>195</v>
      </c>
      <c r="F71" s="65">
        <f t="shared" ref="F71:L73" si="11">D81/1000</f>
        <v>0</v>
      </c>
      <c r="G71" s="65">
        <f t="shared" si="11"/>
        <v>0</v>
      </c>
      <c r="H71" s="65">
        <f t="shared" si="11"/>
        <v>0</v>
      </c>
      <c r="I71" s="65">
        <f t="shared" si="11"/>
        <v>0</v>
      </c>
      <c r="J71" s="65">
        <f t="shared" si="11"/>
        <v>0</v>
      </c>
      <c r="K71" s="65">
        <f t="shared" si="11"/>
        <v>0</v>
      </c>
      <c r="L71" s="65">
        <f t="shared" si="11"/>
        <v>0</v>
      </c>
      <c r="M71" s="95">
        <v>41500</v>
      </c>
      <c r="N71" s="65">
        <f t="shared" ref="N71:Z73" si="12">L81/1000</f>
        <v>0</v>
      </c>
      <c r="O71" s="65">
        <f t="shared" si="12"/>
        <v>0</v>
      </c>
      <c r="P71" s="65">
        <f t="shared" si="12"/>
        <v>0</v>
      </c>
      <c r="Q71" s="65">
        <f t="shared" si="12"/>
        <v>0</v>
      </c>
      <c r="R71" s="65">
        <f t="shared" si="12"/>
        <v>0</v>
      </c>
      <c r="S71" s="65">
        <f t="shared" si="12"/>
        <v>0</v>
      </c>
      <c r="T71" s="65">
        <f t="shared" si="12"/>
        <v>0</v>
      </c>
      <c r="U71" s="65">
        <f t="shared" si="12"/>
        <v>0</v>
      </c>
      <c r="V71" s="65">
        <f t="shared" si="12"/>
        <v>0</v>
      </c>
      <c r="W71" s="65">
        <f t="shared" si="12"/>
        <v>0</v>
      </c>
      <c r="X71" s="65">
        <f t="shared" si="12"/>
        <v>0</v>
      </c>
      <c r="Y71" s="65">
        <f t="shared" si="12"/>
        <v>0</v>
      </c>
      <c r="Z71" s="65">
        <f t="shared" si="12"/>
        <v>0</v>
      </c>
      <c r="AA71" s="95">
        <v>3650</v>
      </c>
      <c r="AB71" s="65">
        <f t="shared" si="10"/>
        <v>0</v>
      </c>
      <c r="AC71" s="65">
        <f t="shared" si="10"/>
        <v>0</v>
      </c>
      <c r="AD71" s="65">
        <f t="shared" si="10"/>
        <v>0</v>
      </c>
      <c r="AE71" s="65">
        <f t="shared" si="10"/>
        <v>0</v>
      </c>
      <c r="AF71" s="65">
        <f t="shared" si="10"/>
        <v>0</v>
      </c>
      <c r="AG71" s="65">
        <f t="shared" si="10"/>
        <v>0</v>
      </c>
      <c r="AH71" s="65">
        <f t="shared" si="10"/>
        <v>0</v>
      </c>
      <c r="AI71" s="65">
        <f t="shared" si="10"/>
        <v>0</v>
      </c>
      <c r="AJ71" s="65">
        <f t="shared" si="10"/>
        <v>0</v>
      </c>
      <c r="AK71" s="65">
        <f t="shared" si="10"/>
        <v>0</v>
      </c>
      <c r="AL71" s="65">
        <f t="shared" si="10"/>
        <v>0</v>
      </c>
      <c r="AM71" s="65">
        <f t="shared" si="10"/>
        <v>0</v>
      </c>
      <c r="AN71" s="65" t="str">
        <f t="shared" si="6"/>
        <v>m_aluminum</v>
      </c>
      <c r="CQ71" s="96"/>
      <c r="CR71" s="96"/>
      <c r="CT71" s="96"/>
      <c r="CU71" s="96"/>
      <c r="CW71" s="92" t="s">
        <v>184</v>
      </c>
      <c r="CX71" s="65" t="s">
        <v>185</v>
      </c>
      <c r="CY71" s="94" t="str">
        <f t="shared" si="7"/>
        <v>MINBatMaterials_AL</v>
      </c>
      <c r="CZ71" s="94" t="s">
        <v>195</v>
      </c>
      <c r="DA71" s="96">
        <v>0</v>
      </c>
      <c r="DB71" s="79">
        <v>-1</v>
      </c>
    </row>
    <row r="72" s="63" customFormat="1" ht="16" spans="1:106">
      <c r="A72" s="63">
        <v>2020</v>
      </c>
      <c r="B72" s="80" t="s">
        <v>184</v>
      </c>
      <c r="C72" s="67" t="s">
        <v>185</v>
      </c>
      <c r="D72" s="83" t="s">
        <v>196</v>
      </c>
      <c r="E72" s="75" t="s">
        <v>197</v>
      </c>
      <c r="F72" s="63">
        <f t="shared" si="11"/>
        <v>0</v>
      </c>
      <c r="G72" s="63">
        <f t="shared" si="11"/>
        <v>50000</v>
      </c>
      <c r="H72" s="63">
        <f t="shared" si="11"/>
        <v>97000</v>
      </c>
      <c r="I72" s="63">
        <f t="shared" si="11"/>
        <v>0</v>
      </c>
      <c r="J72" s="63">
        <f t="shared" si="11"/>
        <v>0</v>
      </c>
      <c r="K72" s="63">
        <f t="shared" si="11"/>
        <v>0</v>
      </c>
      <c r="L72" s="63">
        <f t="shared" si="11"/>
        <v>0</v>
      </c>
      <c r="M72" s="63">
        <f>K82/1000</f>
        <v>27000</v>
      </c>
      <c r="N72" s="63">
        <f t="shared" si="12"/>
        <v>0</v>
      </c>
      <c r="O72" s="63">
        <f t="shared" si="12"/>
        <v>0</v>
      </c>
      <c r="P72" s="63">
        <f t="shared" si="12"/>
        <v>0</v>
      </c>
      <c r="Q72" s="63">
        <f t="shared" si="12"/>
        <v>0</v>
      </c>
      <c r="R72" s="63">
        <f t="shared" si="12"/>
        <v>0</v>
      </c>
      <c r="S72" s="63">
        <f t="shared" si="12"/>
        <v>0</v>
      </c>
      <c r="T72" s="63">
        <f t="shared" si="12"/>
        <v>0</v>
      </c>
      <c r="U72" s="63">
        <f t="shared" si="12"/>
        <v>0</v>
      </c>
      <c r="V72" s="63">
        <f t="shared" si="12"/>
        <v>0</v>
      </c>
      <c r="W72" s="63">
        <f t="shared" si="12"/>
        <v>0</v>
      </c>
      <c r="X72" s="63">
        <f t="shared" si="12"/>
        <v>0</v>
      </c>
      <c r="Y72" s="63">
        <f t="shared" si="12"/>
        <v>324000</v>
      </c>
      <c r="Z72" s="63">
        <f t="shared" si="12"/>
        <v>0</v>
      </c>
      <c r="AA72" s="63">
        <f>Y82/1000</f>
        <v>51600</v>
      </c>
      <c r="AB72" s="63">
        <f t="shared" si="10"/>
        <v>0</v>
      </c>
      <c r="AC72" s="63">
        <f t="shared" si="10"/>
        <v>30000</v>
      </c>
      <c r="AD72" s="63">
        <f t="shared" si="10"/>
        <v>244000</v>
      </c>
      <c r="AE72" s="63">
        <f t="shared" si="10"/>
        <v>62000</v>
      </c>
      <c r="AF72" s="63">
        <f t="shared" si="10"/>
        <v>0</v>
      </c>
      <c r="AG72" s="63">
        <f t="shared" si="10"/>
        <v>0</v>
      </c>
      <c r="AH72" s="63">
        <f t="shared" si="10"/>
        <v>0</v>
      </c>
      <c r="AI72" s="63">
        <f t="shared" si="10"/>
        <v>0</v>
      </c>
      <c r="AJ72" s="63">
        <f t="shared" si="10"/>
        <v>0</v>
      </c>
      <c r="AK72" s="63">
        <f t="shared" si="10"/>
        <v>0</v>
      </c>
      <c r="AL72" s="63">
        <f t="shared" si="10"/>
        <v>0</v>
      </c>
      <c r="AM72" s="63">
        <f t="shared" si="10"/>
        <v>0</v>
      </c>
      <c r="AN72" s="63" t="str">
        <f t="shared" si="6"/>
        <v>m_copper</v>
      </c>
      <c r="CQ72" s="78"/>
      <c r="CR72" s="78"/>
      <c r="CT72" s="78"/>
      <c r="CU72" s="78"/>
      <c r="CW72" s="82" t="s">
        <v>184</v>
      </c>
      <c r="CX72" t="s">
        <v>185</v>
      </c>
      <c r="CY72" s="66" t="str">
        <f t="shared" si="7"/>
        <v>MINBatMaterials_COP</v>
      </c>
      <c r="CZ72" s="66" t="s">
        <v>197</v>
      </c>
      <c r="DA72" s="79">
        <v>0</v>
      </c>
      <c r="DB72" s="79">
        <v>-1</v>
      </c>
    </row>
    <row r="73" s="62" customFormat="1" ht="16" spans="1:106">
      <c r="A73" s="63">
        <v>2020</v>
      </c>
      <c r="B73" s="80" t="s">
        <v>184</v>
      </c>
      <c r="C73" s="67" t="s">
        <v>185</v>
      </c>
      <c r="D73" s="83" t="s">
        <v>198</v>
      </c>
      <c r="E73" s="75" t="s">
        <v>199</v>
      </c>
      <c r="F73" s="63">
        <f t="shared" si="11"/>
        <v>0</v>
      </c>
      <c r="G73" s="63">
        <f t="shared" si="11"/>
        <v>69000</v>
      </c>
      <c r="H73" s="63">
        <f t="shared" si="11"/>
        <v>0</v>
      </c>
      <c r="I73" s="63">
        <f t="shared" si="11"/>
        <v>0</v>
      </c>
      <c r="J73" s="63">
        <f t="shared" si="11"/>
        <v>0</v>
      </c>
      <c r="K73" s="63">
        <f t="shared" si="11"/>
        <v>0</v>
      </c>
      <c r="L73" s="63">
        <f t="shared" si="11"/>
        <v>74000</v>
      </c>
      <c r="M73" s="63">
        <f>K83/1000</f>
        <v>52000</v>
      </c>
      <c r="N73" s="63">
        <f t="shared" si="12"/>
        <v>0</v>
      </c>
      <c r="O73" s="63">
        <f t="shared" si="12"/>
        <v>0</v>
      </c>
      <c r="P73" s="63">
        <f t="shared" si="12"/>
        <v>0</v>
      </c>
      <c r="Q73" s="63">
        <f t="shared" si="12"/>
        <v>0</v>
      </c>
      <c r="R73" s="63">
        <f t="shared" si="12"/>
        <v>0</v>
      </c>
      <c r="S73" s="63">
        <f t="shared" si="12"/>
        <v>0</v>
      </c>
      <c r="T73" s="63">
        <f t="shared" si="12"/>
        <v>0</v>
      </c>
      <c r="U73" s="63">
        <f t="shared" si="12"/>
        <v>8000</v>
      </c>
      <c r="V73" s="63">
        <f t="shared" si="12"/>
        <v>0</v>
      </c>
      <c r="W73" s="63">
        <f t="shared" si="12"/>
        <v>0</v>
      </c>
      <c r="X73" s="63">
        <f t="shared" si="12"/>
        <v>0</v>
      </c>
      <c r="Y73" s="63">
        <f t="shared" si="12"/>
        <v>77100</v>
      </c>
      <c r="Z73" s="63">
        <f t="shared" si="12"/>
        <v>90000</v>
      </c>
      <c r="AA73" s="63">
        <f>Y83/1000</f>
        <v>5700</v>
      </c>
      <c r="AB73" s="63">
        <f t="shared" si="10"/>
        <v>600</v>
      </c>
      <c r="AC73" s="63">
        <f t="shared" si="10"/>
        <v>0</v>
      </c>
      <c r="AD73" s="63">
        <f t="shared" si="10"/>
        <v>12900</v>
      </c>
      <c r="AE73" s="63">
        <f t="shared" si="10"/>
        <v>14000</v>
      </c>
      <c r="AF73" s="63">
        <f t="shared" si="10"/>
        <v>0</v>
      </c>
      <c r="AG73" s="63">
        <f t="shared" si="10"/>
        <v>0</v>
      </c>
      <c r="AH73" s="63">
        <f t="shared" si="10"/>
        <v>0</v>
      </c>
      <c r="AI73" s="63">
        <f t="shared" si="10"/>
        <v>0</v>
      </c>
      <c r="AJ73" s="63">
        <f t="shared" si="10"/>
        <v>0</v>
      </c>
      <c r="AK73" s="63">
        <f t="shared" si="10"/>
        <v>90000</v>
      </c>
      <c r="AL73" s="63">
        <f t="shared" si="10"/>
        <v>0</v>
      </c>
      <c r="AM73" s="63">
        <f t="shared" si="10"/>
        <v>0</v>
      </c>
      <c r="AN73" s="63" t="str">
        <f t="shared" si="6"/>
        <v>m_graphite</v>
      </c>
      <c r="AY73" s="63"/>
      <c r="BB73" s="63"/>
      <c r="CQ73" s="76"/>
      <c r="CR73" s="78"/>
      <c r="CT73" s="76"/>
      <c r="CU73" s="76"/>
      <c r="CW73" s="82" t="s">
        <v>184</v>
      </c>
      <c r="CX73" t="s">
        <v>185</v>
      </c>
      <c r="CY73" s="66" t="str">
        <f t="shared" si="7"/>
        <v>MINBatMaterials_GR</v>
      </c>
      <c r="CZ73" s="66" t="s">
        <v>199</v>
      </c>
      <c r="DA73" s="79">
        <v>0</v>
      </c>
      <c r="DB73" s="79">
        <v>-1</v>
      </c>
    </row>
    <row r="74" s="66" customFormat="1"/>
    <row r="75" s="66" customFormat="1" spans="1:106">
      <c r="E75" s="66" t="s">
        <v>200</v>
      </c>
    </row>
    <row r="76" s="66" customFormat="1"/>
    <row r="77" s="66" customFormat="1" spans="1:106">
      <c r="B77" t="s">
        <v>201</v>
      </c>
      <c r="D77" s="97">
        <v>0</v>
      </c>
      <c r="E77" s="97">
        <v>310000</v>
      </c>
      <c r="F77" s="97">
        <v>6200000</v>
      </c>
      <c r="G77" s="97">
        <v>0</v>
      </c>
      <c r="H77" s="97"/>
      <c r="I77" s="97"/>
      <c r="J77" s="97">
        <v>250000</v>
      </c>
      <c r="K77" s="97">
        <v>2000000</v>
      </c>
      <c r="L77" s="97"/>
      <c r="M77" s="97">
        <v>0</v>
      </c>
      <c r="N77" s="97">
        <v>0</v>
      </c>
      <c r="O77" s="97">
        <v>0</v>
      </c>
      <c r="P77" s="97">
        <v>0</v>
      </c>
      <c r="Q77" s="97"/>
      <c r="R77" s="97"/>
      <c r="S77" s="97">
        <v>0</v>
      </c>
      <c r="T77" s="97"/>
      <c r="U77" s="97"/>
      <c r="V77" s="97">
        <v>0</v>
      </c>
      <c r="W77" s="97">
        <v>12250000</v>
      </c>
      <c r="X77" s="97">
        <v>0</v>
      </c>
      <c r="Y77" s="97">
        <v>1930000</v>
      </c>
      <c r="Z77" s="97">
        <v>0</v>
      </c>
      <c r="AA77" s="97">
        <v>0</v>
      </c>
      <c r="AB77" s="97">
        <v>3300000</v>
      </c>
      <c r="AC77" s="97">
        <v>0</v>
      </c>
      <c r="AD77" s="97">
        <v>0</v>
      </c>
      <c r="AE77" s="97">
        <v>0</v>
      </c>
      <c r="AF77" s="97">
        <v>60000</v>
      </c>
      <c r="AG77" s="97">
        <v>0</v>
      </c>
      <c r="AH77" s="97"/>
      <c r="AI77" s="97">
        <v>0</v>
      </c>
      <c r="AJ77" s="97">
        <v>0</v>
      </c>
      <c r="AK77" s="97">
        <v>0</v>
      </c>
    </row>
    <row r="78" s="66" customFormat="1" spans="1:106">
      <c r="D78" s="97">
        <v>0</v>
      </c>
      <c r="E78" s="97">
        <v>0</v>
      </c>
      <c r="F78" s="97">
        <v>21000000</v>
      </c>
      <c r="G78" s="97">
        <v>0</v>
      </c>
      <c r="H78" s="97"/>
      <c r="I78" s="97"/>
      <c r="J78" s="97">
        <v>16000000</v>
      </c>
      <c r="K78" s="97">
        <v>2100000</v>
      </c>
      <c r="L78" s="97"/>
      <c r="M78" s="97">
        <v>0</v>
      </c>
      <c r="N78" s="97">
        <v>0</v>
      </c>
      <c r="O78" s="97">
        <v>0</v>
      </c>
      <c r="P78" s="97">
        <v>0</v>
      </c>
      <c r="Q78" s="97"/>
      <c r="R78" s="97"/>
      <c r="S78" s="97">
        <v>0</v>
      </c>
      <c r="T78" s="97"/>
      <c r="U78" s="97"/>
      <c r="V78" s="97">
        <v>0</v>
      </c>
      <c r="W78" s="97">
        <v>16000000</v>
      </c>
      <c r="X78" s="97">
        <v>0</v>
      </c>
      <c r="Y78" s="97">
        <v>2570000</v>
      </c>
      <c r="Z78" s="97">
        <v>0</v>
      </c>
      <c r="AA78" s="97">
        <v>0</v>
      </c>
      <c r="AB78" s="97">
        <v>52900000</v>
      </c>
      <c r="AC78" s="97">
        <v>7500000</v>
      </c>
      <c r="AD78" s="97">
        <v>0</v>
      </c>
      <c r="AE78" s="97">
        <v>0</v>
      </c>
      <c r="AF78" s="97">
        <v>0</v>
      </c>
      <c r="AG78" s="97">
        <v>0</v>
      </c>
      <c r="AH78" s="97"/>
      <c r="AI78" s="97">
        <v>0</v>
      </c>
      <c r="AJ78" s="97">
        <v>0</v>
      </c>
      <c r="AK78" s="97">
        <v>0</v>
      </c>
    </row>
    <row r="79" s="66" customFormat="1" spans="1:106">
      <c r="D79" s="97">
        <v>13000</v>
      </c>
      <c r="E79" s="97">
        <v>4100000</v>
      </c>
      <c r="F79" s="97">
        <v>1500000</v>
      </c>
      <c r="G79" s="97">
        <v>0</v>
      </c>
      <c r="H79" s="97"/>
      <c r="I79" s="97"/>
      <c r="J79" s="97">
        <v>0</v>
      </c>
      <c r="K79" s="97">
        <v>140000</v>
      </c>
      <c r="L79" s="97"/>
      <c r="M79" s="97">
        <v>0</v>
      </c>
      <c r="N79" s="97">
        <v>0</v>
      </c>
      <c r="O79" s="97">
        <v>0</v>
      </c>
      <c r="P79" s="97">
        <v>0</v>
      </c>
      <c r="Q79" s="97"/>
      <c r="R79" s="97"/>
      <c r="S79" s="97">
        <v>0</v>
      </c>
      <c r="T79" s="97"/>
      <c r="U79" s="97"/>
      <c r="V79" s="97">
        <v>0</v>
      </c>
      <c r="W79" s="97">
        <v>500000</v>
      </c>
      <c r="X79" s="97">
        <v>36000</v>
      </c>
      <c r="Y79" s="97">
        <v>289000</v>
      </c>
      <c r="Z79" s="97">
        <v>0</v>
      </c>
      <c r="AA79" s="97">
        <v>0</v>
      </c>
      <c r="AB79" s="97">
        <v>1517000</v>
      </c>
      <c r="AC79" s="97">
        <v>250000</v>
      </c>
      <c r="AD79" s="97">
        <v>0</v>
      </c>
      <c r="AE79" s="97">
        <v>0</v>
      </c>
      <c r="AF79" s="97">
        <v>0</v>
      </c>
      <c r="AG79" s="97">
        <v>0</v>
      </c>
      <c r="AH79" s="97"/>
      <c r="AI79" s="97">
        <v>36000</v>
      </c>
      <c r="AJ79" s="97">
        <v>0</v>
      </c>
      <c r="AK79" s="97">
        <v>0</v>
      </c>
    </row>
    <row r="80" s="66" customFormat="1" spans="1:106">
      <c r="D80" s="97">
        <v>0</v>
      </c>
      <c r="E80" s="97">
        <v>74000000</v>
      </c>
      <c r="F80" s="97">
        <v>270000000</v>
      </c>
      <c r="G80" s="97">
        <v>0</v>
      </c>
      <c r="H80" s="97"/>
      <c r="I80" s="97"/>
      <c r="J80" s="97">
        <v>270000000</v>
      </c>
      <c r="K80" s="97">
        <v>280000000</v>
      </c>
      <c r="L80" s="97"/>
      <c r="M80" s="97">
        <v>0</v>
      </c>
      <c r="N80" s="97">
        <v>0</v>
      </c>
      <c r="O80" s="97">
        <v>0</v>
      </c>
      <c r="P80" s="97">
        <v>0</v>
      </c>
      <c r="Q80" s="97"/>
      <c r="R80" s="97"/>
      <c r="S80" s="97">
        <v>34000000</v>
      </c>
      <c r="T80" s="97"/>
      <c r="U80" s="97"/>
      <c r="V80" s="97">
        <v>0</v>
      </c>
      <c r="W80" s="97">
        <v>275000000</v>
      </c>
      <c r="X80" s="97">
        <v>0</v>
      </c>
      <c r="Y80" s="97">
        <v>0</v>
      </c>
      <c r="Z80" s="97">
        <v>0</v>
      </c>
      <c r="AA80" s="97">
        <v>0</v>
      </c>
      <c r="AB80" s="97">
        <v>5000000</v>
      </c>
      <c r="AC80" s="97">
        <v>0</v>
      </c>
      <c r="AD80" s="97">
        <v>0</v>
      </c>
      <c r="AE80" s="97">
        <v>640000000</v>
      </c>
      <c r="AF80" s="97">
        <v>0</v>
      </c>
      <c r="AG80" s="97">
        <v>0</v>
      </c>
      <c r="AH80" s="97"/>
      <c r="AI80" s="97">
        <v>0</v>
      </c>
      <c r="AJ80" s="97">
        <v>0</v>
      </c>
      <c r="AK80" s="97">
        <v>140000000</v>
      </c>
    </row>
    <row r="81" s="66" customFormat="1" spans="1:104">
      <c r="D81" s="97"/>
      <c r="E81" s="97"/>
      <c r="F81" s="97"/>
      <c r="G81" s="97"/>
      <c r="H81" s="97"/>
      <c r="I81" s="97"/>
      <c r="J81" s="97"/>
      <c r="K81" s="97"/>
      <c r="L81" s="97"/>
      <c r="M81" s="97"/>
      <c r="N81" s="97"/>
      <c r="O81" s="97"/>
      <c r="P81" s="97"/>
      <c r="Q81" s="97"/>
      <c r="R81" s="97"/>
      <c r="S81" s="97"/>
      <c r="T81" s="97"/>
      <c r="U81" s="97"/>
      <c r="V81" s="97"/>
      <c r="W81" s="97"/>
      <c r="X81" s="97"/>
      <c r="Y81" s="97">
        <v>0</v>
      </c>
      <c r="Z81" s="97"/>
      <c r="AA81" s="97"/>
      <c r="AB81" s="97"/>
      <c r="AC81" s="97"/>
      <c r="AD81" s="97"/>
      <c r="AE81" s="97"/>
      <c r="AF81" s="97"/>
      <c r="AG81" s="97"/>
      <c r="AH81" s="97"/>
      <c r="AI81" s="97"/>
      <c r="AJ81" s="97"/>
      <c r="AK81" s="97"/>
    </row>
    <row r="82" s="66" customFormat="1" spans="1:104">
      <c r="D82" s="97">
        <v>0</v>
      </c>
      <c r="E82" s="97">
        <v>50000000</v>
      </c>
      <c r="F82" s="97">
        <v>97000000</v>
      </c>
      <c r="G82" s="97">
        <v>0</v>
      </c>
      <c r="H82" s="97"/>
      <c r="I82" s="97"/>
      <c r="J82" s="97">
        <v>0</v>
      </c>
      <c r="K82" s="97">
        <v>27000000</v>
      </c>
      <c r="L82" s="97"/>
      <c r="M82" s="97">
        <v>0</v>
      </c>
      <c r="N82" s="97">
        <v>0</v>
      </c>
      <c r="O82" s="97">
        <v>0</v>
      </c>
      <c r="P82" s="97">
        <v>0</v>
      </c>
      <c r="Q82" s="97"/>
      <c r="R82" s="97"/>
      <c r="S82" s="97">
        <v>0</v>
      </c>
      <c r="T82" s="97"/>
      <c r="U82" s="97"/>
      <c r="V82" s="97">
        <v>0</v>
      </c>
      <c r="W82" s="97">
        <v>324000000</v>
      </c>
      <c r="X82" s="97">
        <v>0</v>
      </c>
      <c r="Y82" s="97">
        <v>51600000</v>
      </c>
      <c r="Z82" s="97">
        <v>0</v>
      </c>
      <c r="AA82" s="97">
        <v>30000000</v>
      </c>
      <c r="AB82" s="97">
        <v>244000000</v>
      </c>
      <c r="AC82" s="97">
        <v>62000000</v>
      </c>
      <c r="AD82" s="97">
        <v>0</v>
      </c>
      <c r="AE82" s="97">
        <v>0</v>
      </c>
      <c r="AF82" s="97">
        <v>0</v>
      </c>
      <c r="AG82" s="97">
        <v>0</v>
      </c>
      <c r="AH82" s="97"/>
      <c r="AI82" s="97">
        <v>0</v>
      </c>
      <c r="AJ82" s="97">
        <v>0</v>
      </c>
      <c r="AK82" s="97">
        <v>0</v>
      </c>
    </row>
    <row r="83" s="66" customFormat="1" spans="1:104">
      <c r="D83" s="97">
        <v>0</v>
      </c>
      <c r="E83" s="97">
        <v>69000000</v>
      </c>
      <c r="F83" s="97">
        <v>0</v>
      </c>
      <c r="G83" s="97">
        <v>0</v>
      </c>
      <c r="H83" s="97"/>
      <c r="I83" s="97"/>
      <c r="J83" s="97">
        <v>74000000</v>
      </c>
      <c r="K83" s="97">
        <v>52000000</v>
      </c>
      <c r="L83" s="97"/>
      <c r="M83" s="97">
        <v>0</v>
      </c>
      <c r="N83" s="97">
        <v>0</v>
      </c>
      <c r="O83" s="97">
        <v>0</v>
      </c>
      <c r="P83" s="97">
        <v>0</v>
      </c>
      <c r="Q83" s="97"/>
      <c r="R83" s="97"/>
      <c r="S83" s="97">
        <v>8000000</v>
      </c>
      <c r="T83" s="97"/>
      <c r="U83" s="97"/>
      <c r="V83" s="97">
        <v>0</v>
      </c>
      <c r="W83" s="97">
        <v>77100000</v>
      </c>
      <c r="X83" s="97">
        <v>90000000</v>
      </c>
      <c r="Y83" s="97">
        <v>5700000</v>
      </c>
      <c r="Z83" s="97">
        <v>600000</v>
      </c>
      <c r="AA83" s="97">
        <v>0</v>
      </c>
      <c r="AB83" s="97">
        <v>12900000</v>
      </c>
      <c r="AC83" s="97">
        <v>14000000</v>
      </c>
      <c r="AD83" s="97">
        <v>0</v>
      </c>
      <c r="AE83" s="97">
        <v>0</v>
      </c>
      <c r="AF83" s="97">
        <v>0</v>
      </c>
      <c r="AG83" s="97">
        <v>0</v>
      </c>
      <c r="AH83" s="97"/>
      <c r="AI83" s="97">
        <v>90000000</v>
      </c>
      <c r="AJ83" s="97">
        <v>0</v>
      </c>
      <c r="AK83" s="97">
        <v>0</v>
      </c>
    </row>
    <row r="84" s="66"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183</v>
      </c>
      <c r="AW87" s="98" t="s">
        <v>1</v>
      </c>
      <c r="AX87" s="99" t="s">
        <v>203</v>
      </c>
      <c r="AY87" s="99" t="s">
        <v>204</v>
      </c>
      <c r="AZ87" s="99" t="s">
        <v>205</v>
      </c>
      <c r="BA87" s="99" t="s">
        <v>206</v>
      </c>
      <c r="BB87" s="99" t="s">
        <v>207</v>
      </c>
      <c r="BC87" s="99" t="s">
        <v>208</v>
      </c>
      <c r="BD87" s="99" t="s">
        <v>209</v>
      </c>
      <c r="BH87" s="100" t="s">
        <v>1</v>
      </c>
      <c r="BI87" s="101" t="s">
        <v>210</v>
      </c>
      <c r="BJ87" s="101" t="s">
        <v>211</v>
      </c>
      <c r="BK87" s="101" t="s">
        <v>212</v>
      </c>
      <c r="BL87" s="101" t="s">
        <v>213</v>
      </c>
      <c r="BM87" s="101" t="s">
        <v>214</v>
      </c>
      <c r="BN87" s="101" t="s">
        <v>215</v>
      </c>
      <c r="BO87" s="101" t="s">
        <v>216</v>
      </c>
      <c r="BQ87" s="100" t="s">
        <v>1</v>
      </c>
      <c r="BR87" s="102" t="s">
        <v>3</v>
      </c>
      <c r="BS87" s="102" t="s">
        <v>5</v>
      </c>
      <c r="BT87" s="102" t="s">
        <v>6</v>
      </c>
      <c r="BU87" s="102" t="s">
        <v>7</v>
      </c>
      <c r="BV87" s="102" t="s">
        <v>8</v>
      </c>
      <c r="BW87" s="102" t="s">
        <v>9</v>
      </c>
      <c r="BX87" s="102" t="s">
        <v>10</v>
      </c>
      <c r="BY87" s="102" t="s">
        <v>11</v>
      </c>
      <c r="BZ87" s="102" t="s">
        <v>12</v>
      </c>
      <c r="CA87" s="102" t="s">
        <v>13</v>
      </c>
      <c r="CB87" s="102" t="s">
        <v>14</v>
      </c>
      <c r="CC87" s="102" t="s">
        <v>15</v>
      </c>
      <c r="CD87" s="102" t="s">
        <v>16</v>
      </c>
      <c r="CE87" s="102" t="s">
        <v>17</v>
      </c>
      <c r="CF87" s="102" t="s">
        <v>18</v>
      </c>
      <c r="CG87" s="102" t="s">
        <v>19</v>
      </c>
      <c r="CH87" s="102" t="s">
        <v>20</v>
      </c>
      <c r="CI87" s="102" t="s">
        <v>21</v>
      </c>
      <c r="CJ87" s="102" t="s">
        <v>22</v>
      </c>
      <c r="CK87" s="102" t="s">
        <v>23</v>
      </c>
      <c r="CL87" s="102" t="s">
        <v>24</v>
      </c>
      <c r="CM87" s="102" t="s">
        <v>25</v>
      </c>
      <c r="CN87" s="102" t="s">
        <v>26</v>
      </c>
      <c r="CO87" s="102" t="s">
        <v>27</v>
      </c>
      <c r="CP87" s="102" t="s">
        <v>28</v>
      </c>
      <c r="CQ87" s="102" t="s">
        <v>29</v>
      </c>
      <c r="CR87" s="102" t="s">
        <v>30</v>
      </c>
      <c r="CS87" s="102" t="s">
        <v>31</v>
      </c>
      <c r="CT87" s="102" t="s">
        <v>32</v>
      </c>
      <c r="CU87" s="102" t="s">
        <v>33</v>
      </c>
      <c r="CV87" s="102" t="s">
        <v>34</v>
      </c>
      <c r="CW87" s="102" t="s">
        <v>35</v>
      </c>
      <c r="CX87" s="102" t="s">
        <v>36</v>
      </c>
      <c r="CY87" s="102" t="s">
        <v>37</v>
      </c>
      <c r="CZ87" s="98"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t="s">
        <v>187</v>
      </c>
      <c r="AW88" s="103" t="s">
        <v>218</v>
      </c>
      <c r="AX88" s="104" t="s">
        <v>219</v>
      </c>
      <c r="AY88" s="104" t="s">
        <v>219</v>
      </c>
      <c r="AZ88" s="104" t="s">
        <v>219</v>
      </c>
      <c r="BA88" s="104" t="s">
        <v>219</v>
      </c>
      <c r="BB88" s="104" t="s">
        <v>219</v>
      </c>
      <c r="BC88" s="104" t="s">
        <v>219</v>
      </c>
      <c r="BD88" s="104" t="s">
        <v>219</v>
      </c>
      <c r="BH88" s="102" t="s">
        <v>3</v>
      </c>
      <c r="BI88" s="105">
        <v>0</v>
      </c>
      <c r="BJ88" s="105">
        <v>0</v>
      </c>
      <c r="BK88" s="105">
        <v>0</v>
      </c>
      <c r="BL88" s="105">
        <v>0</v>
      </c>
      <c r="BM88" s="106">
        <f>Attached_sourcedAlumina_and!P12</f>
        <v>0</v>
      </c>
      <c r="BN88" s="105">
        <v>0</v>
      </c>
      <c r="BO88" s="105">
        <v>0</v>
      </c>
      <c r="BQ88" s="101" t="s">
        <v>210</v>
      </c>
      <c r="BR88" s="107">
        <v>0</v>
      </c>
      <c r="BS88" s="107">
        <v>24.7</v>
      </c>
      <c r="BT88" s="107">
        <v>88</v>
      </c>
      <c r="BU88" s="107">
        <v>0</v>
      </c>
      <c r="BV88" s="107">
        <v>0</v>
      </c>
      <c r="BW88" s="107">
        <v>0</v>
      </c>
      <c r="BX88" s="107">
        <v>10</v>
      </c>
      <c r="BY88" s="107">
        <v>41</v>
      </c>
      <c r="BZ88" s="107">
        <v>0</v>
      </c>
      <c r="CA88" s="107">
        <v>0</v>
      </c>
      <c r="CB88" s="107">
        <v>0</v>
      </c>
      <c r="CC88" s="107">
        <v>0</v>
      </c>
      <c r="CD88" s="107">
        <v>0</v>
      </c>
      <c r="CE88" s="107">
        <v>0</v>
      </c>
      <c r="CF88" s="107">
        <v>0</v>
      </c>
      <c r="CG88" s="107">
        <v>0</v>
      </c>
      <c r="CH88" s="107">
        <v>0</v>
      </c>
      <c r="CI88" s="107">
        <v>0</v>
      </c>
      <c r="CJ88" s="107">
        <v>0</v>
      </c>
      <c r="CK88" s="107">
        <v>67</v>
      </c>
      <c r="CL88" s="107">
        <v>0</v>
      </c>
      <c r="CM88" s="107">
        <v>4.3</v>
      </c>
      <c r="CN88" s="107">
        <v>0</v>
      </c>
      <c r="CO88" s="107">
        <v>0</v>
      </c>
      <c r="CP88" s="107">
        <v>4.6</v>
      </c>
      <c r="CQ88" s="107">
        <v>0</v>
      </c>
      <c r="CR88" s="107">
        <v>0</v>
      </c>
      <c r="CS88" s="107">
        <v>0</v>
      </c>
      <c r="CT88" s="107">
        <v>0.4</v>
      </c>
      <c r="CU88" s="107">
        <v>0</v>
      </c>
      <c r="CV88" s="107">
        <v>0</v>
      </c>
      <c r="CW88" s="107">
        <v>0</v>
      </c>
      <c r="CX88" s="107">
        <v>0</v>
      </c>
      <c r="CY88" s="107">
        <v>0</v>
      </c>
      <c r="CZ88" s="108">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t="s">
        <v>189</v>
      </c>
      <c r="AW89" s="103" t="s">
        <v>220</v>
      </c>
      <c r="AX89" s="109">
        <v>24.7</v>
      </c>
      <c r="AY89" s="109">
        <v>223</v>
      </c>
      <c r="AZ89" s="104" t="s">
        <v>219</v>
      </c>
      <c r="BA89" s="110">
        <v>5780</v>
      </c>
      <c r="BB89" s="110">
        <v>3980</v>
      </c>
      <c r="BC89" s="104" t="s">
        <v>219</v>
      </c>
      <c r="BD89" s="109">
        <v>189</v>
      </c>
      <c r="BH89" s="102" t="s">
        <v>5</v>
      </c>
      <c r="BI89" s="105">
        <v>24.7</v>
      </c>
      <c r="BJ89" s="105">
        <v>0</v>
      </c>
      <c r="BK89" s="105">
        <v>222.6</v>
      </c>
      <c r="BL89" s="111">
        <v>5780</v>
      </c>
      <c r="BM89" s="106">
        <f>Attached_sourcedAlumina_and!P13</f>
        <v>159</v>
      </c>
      <c r="BN89" s="111">
        <v>3980</v>
      </c>
      <c r="BO89" s="105">
        <v>189</v>
      </c>
      <c r="BQ89" s="101" t="s">
        <v>211</v>
      </c>
      <c r="BR89" s="107">
        <v>0</v>
      </c>
      <c r="BS89" s="107">
        <v>0</v>
      </c>
      <c r="BT89" s="107">
        <v>110</v>
      </c>
      <c r="BU89" s="107">
        <v>0</v>
      </c>
      <c r="BV89" s="107">
        <v>0</v>
      </c>
      <c r="BW89" s="107">
        <v>0</v>
      </c>
      <c r="BX89" s="107">
        <v>77</v>
      </c>
      <c r="BY89" s="107">
        <v>120</v>
      </c>
      <c r="BZ89" s="107">
        <v>0</v>
      </c>
      <c r="CA89" s="107">
        <v>0</v>
      </c>
      <c r="CB89" s="107">
        <v>0</v>
      </c>
      <c r="CC89" s="107">
        <v>0</v>
      </c>
      <c r="CD89" s="107">
        <v>0</v>
      </c>
      <c r="CE89" s="107">
        <v>0</v>
      </c>
      <c r="CF89" s="107">
        <v>0</v>
      </c>
      <c r="CG89" s="107">
        <v>0</v>
      </c>
      <c r="CH89" s="107">
        <v>0</v>
      </c>
      <c r="CI89" s="107">
        <v>0</v>
      </c>
      <c r="CJ89" s="107">
        <v>0</v>
      </c>
      <c r="CK89" s="107">
        <v>0</v>
      </c>
      <c r="CL89" s="107">
        <v>0</v>
      </c>
      <c r="CM89" s="107">
        <v>198</v>
      </c>
      <c r="CN89" s="107">
        <v>0</v>
      </c>
      <c r="CO89" s="107">
        <v>0</v>
      </c>
      <c r="CP89" s="107">
        <v>2985</v>
      </c>
      <c r="CQ89" s="107">
        <v>210</v>
      </c>
      <c r="CR89" s="107">
        <v>0</v>
      </c>
      <c r="CS89" s="107">
        <v>0</v>
      </c>
      <c r="CT89" s="107">
        <v>0</v>
      </c>
      <c r="CU89" s="107">
        <v>0</v>
      </c>
      <c r="CV89" s="107">
        <v>0</v>
      </c>
      <c r="CW89" s="107">
        <v>0</v>
      </c>
      <c r="CX89" s="107">
        <v>0</v>
      </c>
      <c r="CY89" s="107">
        <v>0</v>
      </c>
      <c r="CZ89" s="108">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t="s">
        <v>191</v>
      </c>
      <c r="AW90" s="103" t="s">
        <v>221</v>
      </c>
      <c r="AX90" s="109">
        <v>88</v>
      </c>
      <c r="AY90" s="109">
        <v>3.6</v>
      </c>
      <c r="AZ90" s="109">
        <v>110</v>
      </c>
      <c r="BA90" s="110">
        <v>2800</v>
      </c>
      <c r="BB90" s="109">
        <v>800</v>
      </c>
      <c r="BC90" s="110">
        <v>1500</v>
      </c>
      <c r="BD90" s="104" t="s">
        <v>219</v>
      </c>
      <c r="BH90" s="102" t="s">
        <v>6</v>
      </c>
      <c r="BI90" s="105">
        <v>88</v>
      </c>
      <c r="BJ90" s="105">
        <v>110</v>
      </c>
      <c r="BK90" s="105">
        <v>3.6</v>
      </c>
      <c r="BL90" s="111">
        <v>2800</v>
      </c>
      <c r="BM90" s="106">
        <f>Attached_sourcedAlumina_and!P14</f>
        <v>9522</v>
      </c>
      <c r="BN90" s="105">
        <v>800</v>
      </c>
      <c r="BO90" s="105">
        <v>0</v>
      </c>
      <c r="BQ90" s="101" t="s">
        <v>212</v>
      </c>
      <c r="BR90" s="107">
        <v>0</v>
      </c>
      <c r="BS90" s="107">
        <v>222.6</v>
      </c>
      <c r="BT90" s="107">
        <v>3.6</v>
      </c>
      <c r="BU90" s="107">
        <v>0</v>
      </c>
      <c r="BV90" s="107">
        <v>0</v>
      </c>
      <c r="BW90" s="107">
        <v>0</v>
      </c>
      <c r="BX90" s="107">
        <v>0</v>
      </c>
      <c r="BY90" s="107">
        <v>0</v>
      </c>
      <c r="BZ90" s="107">
        <v>0</v>
      </c>
      <c r="CA90" s="107">
        <v>0</v>
      </c>
      <c r="CB90" s="107">
        <v>0</v>
      </c>
      <c r="CC90" s="107">
        <v>0</v>
      </c>
      <c r="CD90" s="107">
        <v>0</v>
      </c>
      <c r="CE90" s="107">
        <v>0</v>
      </c>
      <c r="CF90" s="107">
        <v>0</v>
      </c>
      <c r="CG90" s="107">
        <v>0</v>
      </c>
      <c r="CH90" s="107">
        <v>0</v>
      </c>
      <c r="CI90" s="107">
        <v>0</v>
      </c>
      <c r="CJ90" s="107">
        <v>0</v>
      </c>
      <c r="CK90" s="107">
        <v>3.5</v>
      </c>
      <c r="CL90" s="107">
        <v>0</v>
      </c>
      <c r="CM90" s="107">
        <v>4.8</v>
      </c>
      <c r="CN90" s="107">
        <v>0</v>
      </c>
      <c r="CO90" s="107">
        <v>0</v>
      </c>
      <c r="CP90" s="107">
        <v>43.8</v>
      </c>
      <c r="CQ90" s="107">
        <v>8.7</v>
      </c>
      <c r="CR90" s="107">
        <v>0</v>
      </c>
      <c r="CS90" s="107">
        <v>0</v>
      </c>
      <c r="CT90" s="107">
        <v>0</v>
      </c>
      <c r="CU90" s="107">
        <v>0</v>
      </c>
      <c r="CV90" s="107">
        <v>0</v>
      </c>
      <c r="CW90" s="107">
        <v>2.7</v>
      </c>
      <c r="CX90" s="107">
        <v>0</v>
      </c>
      <c r="CY90" s="107">
        <v>0</v>
      </c>
      <c r="CZ90" s="108">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t="s">
        <v>193</v>
      </c>
      <c r="AW91" s="103" t="s">
        <v>222</v>
      </c>
      <c r="AX91" s="104" t="s">
        <v>219</v>
      </c>
      <c r="AY91" s="104" t="s">
        <v>219</v>
      </c>
      <c r="AZ91" s="104" t="s">
        <v>219</v>
      </c>
      <c r="BA91" s="104" t="s">
        <v>219</v>
      </c>
      <c r="BB91" s="104" t="s">
        <v>219</v>
      </c>
      <c r="BC91" s="104" t="s">
        <v>219</v>
      </c>
      <c r="BD91" s="109">
        <v>0.5</v>
      </c>
      <c r="BH91" s="102" t="s">
        <v>7</v>
      </c>
      <c r="BI91" s="105">
        <v>0</v>
      </c>
      <c r="BJ91" s="105">
        <v>0</v>
      </c>
      <c r="BK91" s="105">
        <v>0</v>
      </c>
      <c r="BL91" s="105">
        <v>0</v>
      </c>
      <c r="BM91" s="106">
        <f>Attached_sourcedAlumina_and!P15</f>
        <v>0</v>
      </c>
      <c r="BN91" s="105">
        <v>0</v>
      </c>
      <c r="BO91" s="105">
        <v>0.5</v>
      </c>
      <c r="BQ91" s="101" t="s">
        <v>213</v>
      </c>
      <c r="BR91" s="107">
        <v>0</v>
      </c>
      <c r="BS91" s="107">
        <v>5780</v>
      </c>
      <c r="BT91" s="107">
        <v>2800</v>
      </c>
      <c r="BU91" s="107">
        <v>0</v>
      </c>
      <c r="BV91" s="107">
        <v>0</v>
      </c>
      <c r="BW91" s="107">
        <v>0</v>
      </c>
      <c r="BX91" s="107">
        <v>590</v>
      </c>
      <c r="BY91" s="107">
        <v>770</v>
      </c>
      <c r="BZ91" s="107">
        <v>0</v>
      </c>
      <c r="CA91" s="107">
        <v>0</v>
      </c>
      <c r="CB91" s="107">
        <v>0</v>
      </c>
      <c r="CC91" s="107">
        <v>0</v>
      </c>
      <c r="CD91" s="107">
        <v>0</v>
      </c>
      <c r="CE91" s="107">
        <v>0</v>
      </c>
      <c r="CF91" s="107">
        <v>0</v>
      </c>
      <c r="CG91" s="107">
        <v>800</v>
      </c>
      <c r="CH91" s="107">
        <v>0</v>
      </c>
      <c r="CI91" s="107">
        <v>0</v>
      </c>
      <c r="CJ91" s="107">
        <v>0</v>
      </c>
      <c r="CK91" s="107">
        <v>0</v>
      </c>
      <c r="CL91" s="107">
        <v>0</v>
      </c>
      <c r="CM91" s="107">
        <v>0</v>
      </c>
      <c r="CN91" s="107">
        <v>0</v>
      </c>
      <c r="CO91" s="107">
        <v>0</v>
      </c>
      <c r="CP91" s="107">
        <v>2060</v>
      </c>
      <c r="CQ91" s="107">
        <v>0</v>
      </c>
      <c r="CR91" s="107">
        <v>0</v>
      </c>
      <c r="CS91" s="107">
        <v>7400</v>
      </c>
      <c r="CT91" s="107">
        <v>0</v>
      </c>
      <c r="CU91" s="107">
        <v>0</v>
      </c>
      <c r="CV91" s="107">
        <v>0</v>
      </c>
      <c r="CW91" s="107">
        <v>0</v>
      </c>
      <c r="CX91" s="107">
        <v>0</v>
      </c>
      <c r="CY91" s="107">
        <v>0</v>
      </c>
      <c r="CZ91" s="108">
        <v>20200</v>
      </c>
    </row>
    <row r="92" spans="1:104">
      <c r="A92">
        <v>2020</v>
      </c>
      <c r="B92" t="s">
        <v>184</v>
      </c>
      <c r="C92" t="s">
        <v>185</v>
      </c>
      <c r="D92" s="66"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t="s">
        <v>195</v>
      </c>
      <c r="AW92" s="103" t="s">
        <v>223</v>
      </c>
      <c r="AX92" s="104" t="s">
        <v>219</v>
      </c>
      <c r="AY92" s="104" t="s">
        <v>219</v>
      </c>
      <c r="AZ92" s="104" t="s">
        <v>219</v>
      </c>
      <c r="BA92" s="104" t="s">
        <v>219</v>
      </c>
      <c r="BB92" s="104" t="s">
        <v>219</v>
      </c>
      <c r="BC92" s="104" t="s">
        <v>219</v>
      </c>
      <c r="BD92" s="104" t="s">
        <v>219</v>
      </c>
      <c r="BH92" s="102" t="s">
        <v>8</v>
      </c>
      <c r="BI92" s="105">
        <v>0</v>
      </c>
      <c r="BJ92" s="105">
        <v>0</v>
      </c>
      <c r="BK92" s="105">
        <v>0</v>
      </c>
      <c r="BL92" s="105">
        <v>0</v>
      </c>
      <c r="BM92" s="106">
        <f>Attached_sourcedAlumina_and!P16</f>
        <v>0</v>
      </c>
      <c r="BN92" s="105">
        <v>0</v>
      </c>
      <c r="BO92" s="105">
        <v>0</v>
      </c>
      <c r="BQ92" s="101" t="s">
        <v>214</v>
      </c>
      <c r="BR92" s="67">
        <v>0</v>
      </c>
      <c r="BS92" s="67">
        <v>159</v>
      </c>
      <c r="BT92" s="67">
        <v>9522</v>
      </c>
      <c r="BU92" s="67">
        <v>0</v>
      </c>
      <c r="BV92" s="67">
        <v>0</v>
      </c>
      <c r="BW92" s="67">
        <v>0</v>
      </c>
      <c r="BX92" s="67">
        <v>5819</v>
      </c>
      <c r="BY92" s="67">
        <v>44436</v>
      </c>
      <c r="BZ92" s="67">
        <v>0</v>
      </c>
      <c r="CA92" s="67">
        <v>0</v>
      </c>
      <c r="CB92" s="67">
        <v>0</v>
      </c>
      <c r="CC92" s="67">
        <v>508</v>
      </c>
      <c r="CD92" s="67">
        <v>455</v>
      </c>
      <c r="CE92" s="67">
        <v>0</v>
      </c>
      <c r="CF92" s="67">
        <v>0</v>
      </c>
      <c r="CG92" s="67">
        <v>4020</v>
      </c>
      <c r="CH92" s="67">
        <v>846</v>
      </c>
      <c r="CI92" s="67">
        <v>0</v>
      </c>
      <c r="CJ92" s="67">
        <v>0</v>
      </c>
      <c r="CK92" s="67">
        <v>0</v>
      </c>
      <c r="CL92" s="67">
        <v>1270</v>
      </c>
      <c r="CM92" s="67">
        <v>1175</v>
      </c>
      <c r="CN92" s="67">
        <v>0</v>
      </c>
      <c r="CO92" s="67">
        <v>0</v>
      </c>
      <c r="CP92" s="67">
        <v>3015</v>
      </c>
      <c r="CQ92" s="67">
        <v>1534</v>
      </c>
      <c r="CR92" s="67">
        <v>952</v>
      </c>
      <c r="CS92" s="67">
        <v>0</v>
      </c>
      <c r="CT92" s="67">
        <v>434</v>
      </c>
      <c r="CU92" s="67">
        <v>0</v>
      </c>
      <c r="CV92" s="67">
        <v>0</v>
      </c>
      <c r="CW92" s="67">
        <v>169</v>
      </c>
      <c r="CX92" s="67">
        <v>0</v>
      </c>
      <c r="CY92" s="67">
        <v>0</v>
      </c>
      <c r="CZ92" s="67">
        <v>75118</v>
      </c>
    </row>
    <row r="93" spans="1:104">
      <c r="A93">
        <v>2020</v>
      </c>
      <c r="B93" t="s">
        <v>184</v>
      </c>
      <c r="C93" s="66" t="s">
        <v>185</v>
      </c>
      <c r="D93" s="66"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t="s">
        <v>197</v>
      </c>
      <c r="AW93" s="103" t="s">
        <v>224</v>
      </c>
      <c r="AX93" s="104" t="s">
        <v>219</v>
      </c>
      <c r="AY93" s="104" t="s">
        <v>219</v>
      </c>
      <c r="AZ93" s="104" t="s">
        <v>219</v>
      </c>
      <c r="BA93" s="104" t="s">
        <v>219</v>
      </c>
      <c r="BB93" s="104" t="s">
        <v>219</v>
      </c>
      <c r="BC93" s="104" t="s">
        <v>219</v>
      </c>
      <c r="BD93" s="104" t="s">
        <v>219</v>
      </c>
      <c r="BH93" s="102" t="s">
        <v>9</v>
      </c>
      <c r="BI93" s="105">
        <v>0</v>
      </c>
      <c r="BJ93" s="105">
        <v>0</v>
      </c>
      <c r="BK93" s="105">
        <v>0</v>
      </c>
      <c r="BL93" s="105">
        <v>0</v>
      </c>
      <c r="BM93" s="106">
        <f>Attached_sourcedAlumina_and!P17</f>
        <v>0</v>
      </c>
      <c r="BN93" s="105">
        <v>0</v>
      </c>
      <c r="BO93" s="105">
        <v>0</v>
      </c>
      <c r="BQ93" s="101" t="s">
        <v>215</v>
      </c>
      <c r="BR93" s="107">
        <v>0</v>
      </c>
      <c r="BS93" s="107">
        <v>3980</v>
      </c>
      <c r="BT93" s="107">
        <v>800</v>
      </c>
      <c r="BU93" s="107">
        <v>0</v>
      </c>
      <c r="BV93" s="107">
        <v>0</v>
      </c>
      <c r="BW93" s="107">
        <v>0</v>
      </c>
      <c r="BX93" s="107">
        <v>0</v>
      </c>
      <c r="BY93" s="107">
        <v>1800</v>
      </c>
      <c r="BZ93" s="107">
        <v>0</v>
      </c>
      <c r="CA93" s="107">
        <v>0</v>
      </c>
      <c r="CB93" s="107">
        <v>0</v>
      </c>
      <c r="CC93" s="107">
        <v>0</v>
      </c>
      <c r="CD93" s="107">
        <v>0</v>
      </c>
      <c r="CE93" s="107">
        <v>0</v>
      </c>
      <c r="CF93" s="107">
        <v>0</v>
      </c>
      <c r="CG93" s="107">
        <v>30</v>
      </c>
      <c r="CH93" s="107">
        <v>0</v>
      </c>
      <c r="CI93" s="107">
        <v>0</v>
      </c>
      <c r="CJ93" s="107">
        <v>0</v>
      </c>
      <c r="CK93" s="107">
        <v>7900</v>
      </c>
      <c r="CL93" s="107">
        <v>0</v>
      </c>
      <c r="CM93" s="107">
        <v>2250</v>
      </c>
      <c r="CN93" s="107">
        <v>0</v>
      </c>
      <c r="CO93" s="107">
        <v>410</v>
      </c>
      <c r="CP93" s="107">
        <v>4700</v>
      </c>
      <c r="CQ93" s="107">
        <v>930</v>
      </c>
      <c r="CR93" s="107">
        <v>0</v>
      </c>
      <c r="CS93" s="107">
        <v>0</v>
      </c>
      <c r="CT93" s="107">
        <v>0</v>
      </c>
      <c r="CU93" s="107">
        <v>0</v>
      </c>
      <c r="CV93" s="107">
        <v>0</v>
      </c>
      <c r="CW93" s="107">
        <v>0</v>
      </c>
      <c r="CX93" s="107">
        <v>0</v>
      </c>
      <c r="CY93" s="107">
        <v>0</v>
      </c>
      <c r="CZ93" s="108">
        <v>22000</v>
      </c>
    </row>
    <row r="94" spans="1:104">
      <c r="A94">
        <v>2020</v>
      </c>
      <c r="B94" t="s">
        <v>184</v>
      </c>
      <c r="C94" s="66" t="s">
        <v>185</v>
      </c>
      <c r="D94" s="66"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t="s">
        <v>199</v>
      </c>
      <c r="AW94" s="103" t="s">
        <v>225</v>
      </c>
      <c r="AX94" s="109">
        <v>10</v>
      </c>
      <c r="AY94" s="104" t="s">
        <v>219</v>
      </c>
      <c r="AZ94" s="109">
        <v>77</v>
      </c>
      <c r="BA94" s="109">
        <v>590</v>
      </c>
      <c r="BB94" s="104" t="s">
        <v>219</v>
      </c>
      <c r="BC94" s="110">
        <v>1100</v>
      </c>
      <c r="BD94" s="109">
        <v>68</v>
      </c>
      <c r="BH94" s="102" t="s">
        <v>10</v>
      </c>
      <c r="BI94" s="105">
        <v>10</v>
      </c>
      <c r="BJ94" s="105">
        <v>77</v>
      </c>
      <c r="BK94" s="105">
        <v>0</v>
      </c>
      <c r="BL94" s="105">
        <v>590</v>
      </c>
      <c r="BM94" s="106">
        <f>Attached_sourcedAlumina_and!P18</f>
        <v>5819</v>
      </c>
      <c r="BN94" s="105">
        <v>0</v>
      </c>
      <c r="BO94" s="105">
        <v>68</v>
      </c>
      <c r="BQ94" s="101" t="s">
        <v>216</v>
      </c>
      <c r="BR94" s="107">
        <v>0</v>
      </c>
      <c r="BS94" s="107">
        <v>189</v>
      </c>
      <c r="BT94" s="107">
        <v>0</v>
      </c>
      <c r="BU94" s="107">
        <v>0.5</v>
      </c>
      <c r="BV94" s="107">
        <v>0</v>
      </c>
      <c r="BW94" s="107">
        <v>0</v>
      </c>
      <c r="BX94" s="107">
        <v>68</v>
      </c>
      <c r="BY94" s="107">
        <v>1270</v>
      </c>
      <c r="BZ94" s="107">
        <v>0</v>
      </c>
      <c r="CA94" s="107">
        <v>0</v>
      </c>
      <c r="CB94" s="107">
        <v>0</v>
      </c>
      <c r="CC94" s="107">
        <v>0.2</v>
      </c>
      <c r="CD94" s="107">
        <v>0</v>
      </c>
      <c r="CE94" s="107">
        <v>0</v>
      </c>
      <c r="CF94" s="107">
        <v>0</v>
      </c>
      <c r="CG94" s="107">
        <v>28</v>
      </c>
      <c r="CH94" s="107">
        <v>0</v>
      </c>
      <c r="CI94" s="107">
        <v>0</v>
      </c>
      <c r="CJ94" s="107">
        <v>0</v>
      </c>
      <c r="CK94" s="107">
        <v>0</v>
      </c>
      <c r="CL94" s="107">
        <v>0</v>
      </c>
      <c r="CM94" s="107">
        <v>20.9</v>
      </c>
      <c r="CN94" s="107">
        <v>7</v>
      </c>
      <c r="CO94" s="107">
        <v>0</v>
      </c>
      <c r="CP94" s="107">
        <v>22.9</v>
      </c>
      <c r="CQ94" s="107">
        <v>20</v>
      </c>
      <c r="CR94" s="107">
        <v>0</v>
      </c>
      <c r="CS94" s="107">
        <v>0</v>
      </c>
      <c r="CT94" s="107">
        <v>0</v>
      </c>
      <c r="CU94" s="107">
        <v>0</v>
      </c>
      <c r="CV94" s="107">
        <v>0</v>
      </c>
      <c r="CW94" s="107">
        <v>3</v>
      </c>
      <c r="CX94" s="107">
        <v>0</v>
      </c>
      <c r="CY94" s="107">
        <v>1.2</v>
      </c>
      <c r="CZ94" s="108">
        <v>1631</v>
      </c>
    </row>
    <row r="95" spans="1:104">
      <c r="C95" s="66"/>
      <c r="D95" s="66"/>
      <c r="F95" s="66"/>
      <c r="H95" s="66"/>
      <c r="I95" s="66"/>
      <c r="J95" s="66"/>
      <c r="K95" s="66"/>
      <c r="L95" s="66"/>
      <c r="AW95" s="103" t="s">
        <v>226</v>
      </c>
      <c r="AX95" s="109">
        <v>41</v>
      </c>
      <c r="AY95" s="104" t="s">
        <v>219</v>
      </c>
      <c r="AZ95" s="109">
        <v>120</v>
      </c>
      <c r="BA95" s="109">
        <v>770</v>
      </c>
      <c r="BB95" s="110">
        <v>1800</v>
      </c>
      <c r="BC95" s="110">
        <v>43000</v>
      </c>
      <c r="BD95" s="110">
        <v>1270</v>
      </c>
      <c r="BH95" s="102" t="s">
        <v>11</v>
      </c>
      <c r="BI95" s="105">
        <v>41</v>
      </c>
      <c r="BJ95" s="105">
        <v>120</v>
      </c>
      <c r="BK95" s="105">
        <v>0</v>
      </c>
      <c r="BL95" s="105">
        <v>770</v>
      </c>
      <c r="BM95" s="106">
        <f>Attached_sourcedAlumina_and!P19</f>
        <v>44436</v>
      </c>
      <c r="BN95" s="111">
        <v>1800</v>
      </c>
      <c r="BO95" s="111">
        <v>1270</v>
      </c>
    </row>
    <row r="96" spans="1:104">
      <c r="C96" s="66"/>
      <c r="D96" s="66"/>
      <c r="H96" s="66"/>
      <c r="I96" s="66"/>
      <c r="J96" s="66"/>
      <c r="K96" s="66"/>
      <c r="L96" s="66"/>
      <c r="AW96" s="103" t="s">
        <v>227</v>
      </c>
      <c r="AX96" s="104" t="s">
        <v>219</v>
      </c>
      <c r="AY96" s="104" t="s">
        <v>219</v>
      </c>
      <c r="AZ96" s="104" t="s">
        <v>219</v>
      </c>
      <c r="BA96" s="104" t="s">
        <v>219</v>
      </c>
      <c r="BB96" s="104" t="s">
        <v>219</v>
      </c>
      <c r="BC96" s="104" t="s">
        <v>219</v>
      </c>
      <c r="BD96" s="104" t="s">
        <v>219</v>
      </c>
      <c r="BH96" s="102" t="s">
        <v>12</v>
      </c>
      <c r="BI96" s="105">
        <v>0</v>
      </c>
      <c r="BJ96" s="105">
        <v>0</v>
      </c>
      <c r="BK96" s="105">
        <v>0</v>
      </c>
      <c r="BL96" s="105">
        <v>0</v>
      </c>
      <c r="BM96" s="106">
        <f>Attached_sourcedAlumina_and!P20</f>
        <v>0</v>
      </c>
      <c r="BN96" s="105">
        <v>0</v>
      </c>
      <c r="BO96" s="105">
        <v>0</v>
      </c>
    </row>
    <row r="97" spans="3:67">
      <c r="C97" s="66"/>
      <c r="D97" s="66"/>
      <c r="F97" s="66"/>
      <c r="H97" s="66"/>
      <c r="I97" s="66"/>
      <c r="J97" s="66"/>
      <c r="K97" s="66"/>
      <c r="L97" s="66"/>
      <c r="AW97" s="103" t="s">
        <v>228</v>
      </c>
      <c r="AX97" s="104" t="s">
        <v>219</v>
      </c>
      <c r="AY97" s="104" t="s">
        <v>219</v>
      </c>
      <c r="AZ97" s="104" t="s">
        <v>219</v>
      </c>
      <c r="BA97" s="104" t="s">
        <v>219</v>
      </c>
      <c r="BB97" s="104" t="s">
        <v>219</v>
      </c>
      <c r="BC97" s="104" t="s">
        <v>219</v>
      </c>
      <c r="BD97" s="104" t="s">
        <v>219</v>
      </c>
      <c r="BH97" s="102" t="s">
        <v>13</v>
      </c>
      <c r="BI97" s="105">
        <v>0</v>
      </c>
      <c r="BJ97" s="105">
        <v>0</v>
      </c>
      <c r="BK97" s="105">
        <v>0</v>
      </c>
      <c r="BL97" s="105">
        <v>0</v>
      </c>
      <c r="BM97" s="106">
        <f>Attached_sourcedAlumina_and!P21</f>
        <v>0</v>
      </c>
      <c r="BN97" s="105">
        <v>0</v>
      </c>
      <c r="BO97" s="105">
        <v>0</v>
      </c>
    </row>
    <row r="98" spans="3:67">
      <c r="C98" s="66"/>
      <c r="D98" s="66"/>
      <c r="H98" s="66"/>
      <c r="I98" s="66"/>
      <c r="J98" s="66"/>
      <c r="K98" s="66"/>
      <c r="L98" s="66"/>
      <c r="AW98" s="103" t="s">
        <v>229</v>
      </c>
      <c r="AX98" s="104" t="s">
        <v>219</v>
      </c>
      <c r="AY98" s="104" t="s">
        <v>219</v>
      </c>
      <c r="AZ98" s="104" t="s">
        <v>219</v>
      </c>
      <c r="BA98" s="104" t="s">
        <v>219</v>
      </c>
      <c r="BB98" s="104" t="s">
        <v>219</v>
      </c>
      <c r="BC98" s="104" t="s">
        <v>219</v>
      </c>
      <c r="BD98" s="104" t="s">
        <v>219</v>
      </c>
      <c r="BH98" s="102" t="s">
        <v>14</v>
      </c>
      <c r="BI98" s="105">
        <v>0</v>
      </c>
      <c r="BJ98" s="105">
        <v>0</v>
      </c>
      <c r="BK98" s="105">
        <v>0</v>
      </c>
      <c r="BL98" s="105">
        <v>0</v>
      </c>
      <c r="BM98" s="106">
        <f>Attached_sourcedAlumina_and!P22</f>
        <v>0</v>
      </c>
      <c r="BN98" s="105">
        <v>0</v>
      </c>
      <c r="BO98" s="105">
        <v>0</v>
      </c>
    </row>
    <row r="99" spans="3:67">
      <c r="C99" s="66"/>
      <c r="F99" s="66"/>
      <c r="AW99" s="103" t="s">
        <v>230</v>
      </c>
      <c r="AX99" s="104" t="s">
        <v>219</v>
      </c>
      <c r="AY99" s="104" t="s">
        <v>219</v>
      </c>
      <c r="AZ99" s="104" t="s">
        <v>219</v>
      </c>
      <c r="BA99" s="104" t="s">
        <v>219</v>
      </c>
      <c r="BB99" s="104" t="s">
        <v>219</v>
      </c>
      <c r="BC99" s="104" t="s">
        <v>219</v>
      </c>
      <c r="BD99" s="109">
        <v>0.2</v>
      </c>
      <c r="BH99" s="102" t="s">
        <v>15</v>
      </c>
      <c r="BI99" s="105">
        <v>0</v>
      </c>
      <c r="BJ99" s="105">
        <v>0</v>
      </c>
      <c r="BK99" s="105">
        <v>0</v>
      </c>
      <c r="BL99" s="105">
        <v>0</v>
      </c>
      <c r="BM99" s="106">
        <f>Attached_sourcedAlumina_and!P23</f>
        <v>508</v>
      </c>
      <c r="BN99" s="105">
        <v>0</v>
      </c>
      <c r="BO99" s="105">
        <v>0.2</v>
      </c>
    </row>
    <row r="100" spans="3:67">
      <c r="C100" s="66"/>
      <c r="D100" s="66"/>
      <c r="AW100" s="103" t="s">
        <v>231</v>
      </c>
      <c r="AX100" s="104" t="s">
        <v>219</v>
      </c>
      <c r="AY100" s="104" t="s">
        <v>219</v>
      </c>
      <c r="AZ100" s="104" t="s">
        <v>219</v>
      </c>
      <c r="BA100" s="104" t="s">
        <v>219</v>
      </c>
      <c r="BB100" s="104" t="s">
        <v>219</v>
      </c>
      <c r="BC100" s="104" t="s">
        <v>219</v>
      </c>
      <c r="BD100" s="104" t="s">
        <v>219</v>
      </c>
      <c r="BH100" s="102" t="s">
        <v>16</v>
      </c>
      <c r="BI100" s="105">
        <v>0</v>
      </c>
      <c r="BJ100" s="105">
        <v>0</v>
      </c>
      <c r="BK100" s="105">
        <v>0</v>
      </c>
      <c r="BL100" s="105">
        <v>0</v>
      </c>
      <c r="BM100" s="106">
        <f>Attached_sourcedAlumina_and!P24</f>
        <v>455</v>
      </c>
      <c r="BN100" s="105">
        <v>0</v>
      </c>
      <c r="BO100" s="105">
        <v>0</v>
      </c>
    </row>
    <row r="101" spans="3:67">
      <c r="C101" s="66"/>
      <c r="D101" s="112"/>
      <c r="E101" s="112"/>
      <c r="F101" s="112"/>
      <c r="G101" s="112"/>
      <c r="AW101" s="103" t="s">
        <v>232</v>
      </c>
      <c r="AX101" s="104" t="s">
        <v>219</v>
      </c>
      <c r="AY101" s="104" t="s">
        <v>219</v>
      </c>
      <c r="AZ101" s="104" t="s">
        <v>219</v>
      </c>
      <c r="BA101" s="104" t="s">
        <v>219</v>
      </c>
      <c r="BB101" s="104" t="s">
        <v>219</v>
      </c>
      <c r="BC101" s="104" t="s">
        <v>219</v>
      </c>
      <c r="BD101" s="104" t="s">
        <v>219</v>
      </c>
      <c r="BH101" s="102" t="s">
        <v>17</v>
      </c>
      <c r="BI101" s="105">
        <v>0</v>
      </c>
      <c r="BJ101" s="105">
        <v>0</v>
      </c>
      <c r="BK101" s="105">
        <v>0</v>
      </c>
      <c r="BL101" s="105">
        <v>0</v>
      </c>
      <c r="BM101" s="106">
        <f>Attached_sourcedAlumina_and!P25</f>
        <v>0</v>
      </c>
      <c r="BN101" s="105">
        <v>0</v>
      </c>
      <c r="BO101" s="105">
        <v>0</v>
      </c>
    </row>
    <row r="102" spans="3:67">
      <c r="C102" s="66"/>
      <c r="D102" t="s">
        <v>130</v>
      </c>
      <c r="M102" s="66"/>
      <c r="N102" t="s">
        <v>130</v>
      </c>
      <c r="Y102" s="66"/>
      <c r="Z102" t="s">
        <v>130</v>
      </c>
      <c r="AW102" s="103" t="s">
        <v>233</v>
      </c>
      <c r="AX102" s="104" t="s">
        <v>219</v>
      </c>
      <c r="AY102" s="104" t="s">
        <v>219</v>
      </c>
      <c r="AZ102" s="104" t="s">
        <v>219</v>
      </c>
      <c r="BA102" s="104" t="s">
        <v>219</v>
      </c>
      <c r="BB102" s="104" t="s">
        <v>219</v>
      </c>
      <c r="BC102" s="109">
        <v>780</v>
      </c>
      <c r="BD102" s="104" t="s">
        <v>219</v>
      </c>
      <c r="BH102" s="102" t="s">
        <v>18</v>
      </c>
      <c r="BI102" s="105">
        <v>0</v>
      </c>
      <c r="BJ102" s="105">
        <v>0</v>
      </c>
      <c r="BK102" s="105">
        <v>0</v>
      </c>
      <c r="BL102" s="105">
        <v>0</v>
      </c>
      <c r="BM102" s="106">
        <f>Attached_sourcedAlumina_and!P26</f>
        <v>0</v>
      </c>
      <c r="BN102" s="105">
        <v>0</v>
      </c>
      <c r="BO102" s="105">
        <v>0</v>
      </c>
    </row>
    <row r="103" spans="3:67">
      <c r="C103" s="66" t="s">
        <v>132</v>
      </c>
      <c r="D103" s="112" t="s">
        <v>65</v>
      </c>
      <c r="E103" s="112" t="s">
        <v>66</v>
      </c>
      <c r="F103" s="112" t="s">
        <v>11</v>
      </c>
      <c r="G103" s="112" t="s">
        <v>25</v>
      </c>
      <c r="L103" t="s">
        <v>41</v>
      </c>
      <c r="M103" s="66" t="s">
        <v>132</v>
      </c>
      <c r="N103" s="112" t="s">
        <v>65</v>
      </c>
      <c r="O103" s="112" t="s">
        <v>66</v>
      </c>
      <c r="P103" s="112" t="s">
        <v>11</v>
      </c>
      <c r="Q103" s="112" t="s">
        <v>25</v>
      </c>
      <c r="X103" t="s">
        <v>41</v>
      </c>
      <c r="Y103" s="66" t="s">
        <v>132</v>
      </c>
      <c r="Z103" s="112" t="s">
        <v>65</v>
      </c>
      <c r="AA103" s="112" t="s">
        <v>66</v>
      </c>
      <c r="AB103" s="112" t="s">
        <v>11</v>
      </c>
      <c r="AC103" s="112" t="s">
        <v>25</v>
      </c>
      <c r="AW103" s="103" t="s">
        <v>234</v>
      </c>
      <c r="AX103" s="104" t="s">
        <v>219</v>
      </c>
      <c r="AY103" s="104" t="s">
        <v>219</v>
      </c>
      <c r="AZ103" s="104" t="s">
        <v>219</v>
      </c>
      <c r="BA103" s="109">
        <v>800</v>
      </c>
      <c r="BB103" s="109">
        <v>30</v>
      </c>
      <c r="BC103" s="110">
        <v>4200</v>
      </c>
      <c r="BD103" s="109">
        <v>28</v>
      </c>
      <c r="BH103" s="102" t="s">
        <v>19</v>
      </c>
      <c r="BI103" s="105">
        <v>0</v>
      </c>
      <c r="BJ103" s="105">
        <v>0</v>
      </c>
      <c r="BK103" s="105">
        <v>0</v>
      </c>
      <c r="BL103" s="105">
        <v>800</v>
      </c>
      <c r="BM103" s="106">
        <f>Attached_sourcedAlumina_and!P27</f>
        <v>4020</v>
      </c>
      <c r="BN103" s="105">
        <v>30</v>
      </c>
      <c r="BO103" s="105">
        <v>28</v>
      </c>
    </row>
    <row r="104" spans="3:67">
      <c r="C104" s="66" t="s">
        <v>235</v>
      </c>
      <c r="D104" s="112" t="s">
        <v>236</v>
      </c>
      <c r="E104" s="112">
        <v>7.11384396954065</v>
      </c>
      <c r="F104" s="113">
        <v>5.40179852616065</v>
      </c>
      <c r="G104" s="113">
        <v>8.85540744288872</v>
      </c>
      <c r="L104">
        <v>2050</v>
      </c>
      <c r="M104" s="66" t="s">
        <v>235</v>
      </c>
      <c r="N104" s="112" t="s">
        <v>236</v>
      </c>
      <c r="O104" s="112">
        <f>E104*0.313</f>
        <v>2.22663316246622</v>
      </c>
      <c r="P104" s="112">
        <f>F104*0.313</f>
        <v>1.69076293868828</v>
      </c>
      <c r="Q104" s="112">
        <f>G104*0.313</f>
        <v>2.77174252962417</v>
      </c>
      <c r="X104">
        <v>0</v>
      </c>
      <c r="Y104" s="66" t="s">
        <v>235</v>
      </c>
      <c r="Z104" s="112" t="s">
        <v>236</v>
      </c>
      <c r="AA104" s="112">
        <v>5</v>
      </c>
      <c r="AB104" s="112">
        <v>5</v>
      </c>
      <c r="AC104" s="112">
        <v>5</v>
      </c>
      <c r="AW104" s="103" t="s">
        <v>237</v>
      </c>
      <c r="AX104" s="104" t="s">
        <v>219</v>
      </c>
      <c r="AY104" s="104" t="s">
        <v>219</v>
      </c>
      <c r="AZ104" s="104" t="s">
        <v>219</v>
      </c>
      <c r="BA104" s="104" t="s">
        <v>219</v>
      </c>
      <c r="BB104" s="104" t="s">
        <v>219</v>
      </c>
      <c r="BC104" s="104" t="s">
        <v>219</v>
      </c>
      <c r="BD104" s="104" t="s">
        <v>219</v>
      </c>
      <c r="BH104" s="102" t="s">
        <v>20</v>
      </c>
      <c r="BI104" s="105">
        <v>0</v>
      </c>
      <c r="BJ104" s="105">
        <v>0</v>
      </c>
      <c r="BK104" s="105">
        <v>0</v>
      </c>
      <c r="BL104" s="105">
        <v>0</v>
      </c>
      <c r="BM104" s="106">
        <f>Attached_sourcedAlumina_and!P28</f>
        <v>846</v>
      </c>
      <c r="BN104" s="105">
        <v>0</v>
      </c>
      <c r="BO104" s="105">
        <v>0</v>
      </c>
    </row>
    <row r="105" spans="3:67">
      <c r="C105" s="66" t="s">
        <v>235</v>
      </c>
      <c r="D105" s="112" t="s">
        <v>238</v>
      </c>
      <c r="E105" s="112">
        <v>7.11384396954065</v>
      </c>
      <c r="F105" s="113">
        <v>5.40179852616065</v>
      </c>
      <c r="G105" s="113">
        <v>8.85540744288872</v>
      </c>
      <c r="L105">
        <v>2050</v>
      </c>
      <c r="M105" s="66" t="s">
        <v>235</v>
      </c>
      <c r="N105" s="112" t="s">
        <v>238</v>
      </c>
      <c r="O105" s="112">
        <f t="shared" ref="O105:O124" si="20">E105*0.313</f>
        <v>2.22663316246622</v>
      </c>
      <c r="P105" s="112">
        <f t="shared" ref="P105:P124" si="21">F105*0.313</f>
        <v>1.69076293868828</v>
      </c>
      <c r="Q105" s="112">
        <f t="shared" ref="Q105:Q124" si="22">G105*0.313</f>
        <v>2.77174252962417</v>
      </c>
      <c r="X105">
        <v>0</v>
      </c>
      <c r="Y105" s="66" t="s">
        <v>235</v>
      </c>
      <c r="Z105" s="112" t="s">
        <v>238</v>
      </c>
      <c r="AA105" s="112">
        <v>5</v>
      </c>
      <c r="AB105" s="112">
        <v>5</v>
      </c>
      <c r="AC105" s="112">
        <v>5</v>
      </c>
      <c r="AW105" s="103" t="s">
        <v>239</v>
      </c>
      <c r="AX105" s="104" t="s">
        <v>219</v>
      </c>
      <c r="AY105" s="104" t="s">
        <v>219</v>
      </c>
      <c r="AZ105" s="104" t="s">
        <v>219</v>
      </c>
      <c r="BA105" s="104" t="s">
        <v>219</v>
      </c>
      <c r="BB105" s="104" t="s">
        <v>219</v>
      </c>
      <c r="BC105" s="104" t="s">
        <v>219</v>
      </c>
      <c r="BD105" s="104" t="s">
        <v>219</v>
      </c>
      <c r="BH105" s="102" t="s">
        <v>21</v>
      </c>
      <c r="BI105" s="105">
        <v>0</v>
      </c>
      <c r="BJ105" s="105">
        <v>0</v>
      </c>
      <c r="BK105" s="105">
        <v>0</v>
      </c>
      <c r="BL105" s="105">
        <v>0</v>
      </c>
      <c r="BM105" s="106">
        <f>Attached_sourcedAlumina_and!P29</f>
        <v>0</v>
      </c>
      <c r="BN105" s="105">
        <v>0</v>
      </c>
      <c r="BO105" s="105">
        <v>0</v>
      </c>
    </row>
    <row r="106" spans="3:67">
      <c r="C106" s="66" t="s">
        <v>235</v>
      </c>
      <c r="D106" s="112" t="s">
        <v>240</v>
      </c>
      <c r="E106" s="112">
        <v>7.62975445836404</v>
      </c>
      <c r="F106" s="113">
        <v>5.79354797347089</v>
      </c>
      <c r="G106" s="113">
        <v>9.49761967575534</v>
      </c>
      <c r="L106">
        <v>2050</v>
      </c>
      <c r="M106" s="66" t="s">
        <v>235</v>
      </c>
      <c r="N106" s="112" t="s">
        <v>240</v>
      </c>
      <c r="O106" s="112">
        <f t="shared" si="20"/>
        <v>2.38811314546794</v>
      </c>
      <c r="P106" s="112">
        <f t="shared" si="21"/>
        <v>1.81338051569639</v>
      </c>
      <c r="Q106" s="112">
        <f t="shared" si="22"/>
        <v>2.97275495851142</v>
      </c>
      <c r="X106">
        <v>0</v>
      </c>
      <c r="Y106" s="66" t="s">
        <v>235</v>
      </c>
      <c r="Z106" s="112" t="s">
        <v>240</v>
      </c>
      <c r="AA106" s="112">
        <v>5</v>
      </c>
      <c r="AB106" s="112">
        <v>5</v>
      </c>
      <c r="AC106" s="112">
        <v>5</v>
      </c>
      <c r="AW106" s="103" t="s">
        <v>241</v>
      </c>
      <c r="AX106" s="104" t="s">
        <v>219</v>
      </c>
      <c r="AY106" s="104" t="s">
        <v>219</v>
      </c>
      <c r="AZ106" s="104" t="s">
        <v>219</v>
      </c>
      <c r="BA106" s="104" t="s">
        <v>219</v>
      </c>
      <c r="BB106" s="104" t="s">
        <v>219</v>
      </c>
      <c r="BC106" s="104" t="s">
        <v>219</v>
      </c>
      <c r="BD106" s="104" t="s">
        <v>219</v>
      </c>
      <c r="BH106" s="102" t="s">
        <v>22</v>
      </c>
      <c r="BI106" s="105">
        <v>0</v>
      </c>
      <c r="BJ106" s="105">
        <v>0</v>
      </c>
      <c r="BK106" s="105">
        <v>0</v>
      </c>
      <c r="BL106" s="105">
        <v>0</v>
      </c>
      <c r="BM106" s="106">
        <f>Attached_sourcedAlumina_and!P30</f>
        <v>0</v>
      </c>
      <c r="BN106" s="105">
        <v>0</v>
      </c>
      <c r="BO106" s="105">
        <v>0</v>
      </c>
    </row>
    <row r="107" spans="3:67">
      <c r="C107" s="66" t="s">
        <v>235</v>
      </c>
      <c r="D107" s="112" t="s">
        <v>242</v>
      </c>
      <c r="E107" s="112">
        <v>7.47097081798084</v>
      </c>
      <c r="F107" s="113">
        <v>5.67297781871776</v>
      </c>
      <c r="G107" s="113">
        <v>9.29996366985999</v>
      </c>
      <c r="L107">
        <v>2050</v>
      </c>
      <c r="M107" s="66" t="s">
        <v>235</v>
      </c>
      <c r="N107" s="112" t="s">
        <v>242</v>
      </c>
      <c r="O107" s="112">
        <f t="shared" si="20"/>
        <v>2.338413866028</v>
      </c>
      <c r="P107" s="112">
        <f t="shared" si="21"/>
        <v>1.77564205725866</v>
      </c>
      <c r="Q107" s="112">
        <f t="shared" si="22"/>
        <v>2.91088862866618</v>
      </c>
      <c r="X107">
        <v>0</v>
      </c>
      <c r="Y107" s="66" t="s">
        <v>235</v>
      </c>
      <c r="Z107" s="112" t="s">
        <v>242</v>
      </c>
      <c r="AA107" s="112">
        <v>5</v>
      </c>
      <c r="AB107" s="112">
        <v>5</v>
      </c>
      <c r="AC107" s="112">
        <v>5</v>
      </c>
      <c r="AW107" s="103" t="s">
        <v>243</v>
      </c>
      <c r="AX107" s="109">
        <v>67</v>
      </c>
      <c r="AY107" s="109">
        <v>3.5</v>
      </c>
      <c r="AZ107" s="104" t="s">
        <v>219</v>
      </c>
      <c r="BA107" s="104" t="s">
        <v>219</v>
      </c>
      <c r="BB107" s="110">
        <v>7900</v>
      </c>
      <c r="BC107" s="104" t="s">
        <v>219</v>
      </c>
      <c r="BD107" s="104" t="s">
        <v>219</v>
      </c>
      <c r="BH107" s="102" t="s">
        <v>23</v>
      </c>
      <c r="BI107" s="105">
        <v>67</v>
      </c>
      <c r="BJ107" s="105">
        <v>0</v>
      </c>
      <c r="BK107" s="105">
        <v>3.5</v>
      </c>
      <c r="BL107" s="105">
        <v>0</v>
      </c>
      <c r="BM107" s="106">
        <f>Attached_sourcedAlumina_and!P31</f>
        <v>0</v>
      </c>
      <c r="BN107" s="111">
        <v>7900</v>
      </c>
      <c r="BO107" s="105">
        <v>0</v>
      </c>
    </row>
    <row r="108" spans="3:67">
      <c r="C108" s="66" t="s">
        <v>235</v>
      </c>
      <c r="D108" s="112" t="s">
        <v>244</v>
      </c>
      <c r="E108" s="112">
        <v>7.51643520019651</v>
      </c>
      <c r="F108" s="113">
        <v>5.70750058953574</v>
      </c>
      <c r="G108" s="113">
        <v>9.35655836403832</v>
      </c>
      <c r="L108">
        <v>2050</v>
      </c>
      <c r="M108" s="66" t="s">
        <v>235</v>
      </c>
      <c r="N108" s="112" t="s">
        <v>244</v>
      </c>
      <c r="O108" s="112">
        <f t="shared" si="20"/>
        <v>2.35264421766151</v>
      </c>
      <c r="P108" s="112">
        <f t="shared" si="21"/>
        <v>1.78644768452469</v>
      </c>
      <c r="Q108" s="112">
        <f t="shared" si="22"/>
        <v>2.92860276794399</v>
      </c>
      <c r="X108">
        <v>0</v>
      </c>
      <c r="Y108" s="66" t="s">
        <v>235</v>
      </c>
      <c r="Z108" s="112" t="s">
        <v>244</v>
      </c>
      <c r="AA108" s="112">
        <v>5</v>
      </c>
      <c r="AB108" s="112">
        <v>5</v>
      </c>
      <c r="AC108" s="112">
        <v>5</v>
      </c>
      <c r="AW108" s="103" t="s">
        <v>245</v>
      </c>
      <c r="AX108" s="104" t="s">
        <v>219</v>
      </c>
      <c r="AY108" s="104" t="s">
        <v>219</v>
      </c>
      <c r="AZ108" s="104" t="s">
        <v>219</v>
      </c>
      <c r="BA108" s="104" t="s">
        <v>219</v>
      </c>
      <c r="BB108" s="104" t="s">
        <v>219</v>
      </c>
      <c r="BC108" s="110">
        <v>4300</v>
      </c>
      <c r="BD108" s="104" t="s">
        <v>219</v>
      </c>
      <c r="BH108" s="102" t="s">
        <v>24</v>
      </c>
      <c r="BI108" s="105">
        <v>0</v>
      </c>
      <c r="BJ108" s="105">
        <v>0</v>
      </c>
      <c r="BK108" s="105">
        <v>0</v>
      </c>
      <c r="BL108" s="105">
        <v>0</v>
      </c>
      <c r="BM108" s="106">
        <f>Attached_sourcedAlumina_and!P32</f>
        <v>1270</v>
      </c>
      <c r="BN108" s="105">
        <v>0</v>
      </c>
      <c r="BO108" s="105">
        <v>0</v>
      </c>
    </row>
    <row r="109" spans="3:67">
      <c r="C109" s="66" t="s">
        <v>235</v>
      </c>
      <c r="D109" s="112" t="s">
        <v>246</v>
      </c>
      <c r="E109" s="112">
        <v>7.55036263817244</v>
      </c>
      <c r="F109" s="113">
        <v>5.73326293294031</v>
      </c>
      <c r="G109" s="113">
        <v>9.39879167280766</v>
      </c>
      <c r="L109">
        <v>2050</v>
      </c>
      <c r="M109" s="66" t="s">
        <v>235</v>
      </c>
      <c r="N109" s="112" t="s">
        <v>246</v>
      </c>
      <c r="O109" s="112">
        <f t="shared" si="20"/>
        <v>2.36326350574797</v>
      </c>
      <c r="P109" s="112">
        <f t="shared" si="21"/>
        <v>1.79451129801032</v>
      </c>
      <c r="Q109" s="112">
        <f t="shared" si="22"/>
        <v>2.9418217935888</v>
      </c>
      <c r="X109">
        <v>0</v>
      </c>
      <c r="Y109" s="66" t="s">
        <v>235</v>
      </c>
      <c r="Z109" s="112" t="s">
        <v>246</v>
      </c>
      <c r="AA109" s="112">
        <v>5</v>
      </c>
      <c r="AB109" s="112">
        <v>5</v>
      </c>
      <c r="AC109" s="112">
        <v>5</v>
      </c>
      <c r="AW109" s="103" t="s">
        <v>247</v>
      </c>
      <c r="AX109" s="109">
        <v>4.3</v>
      </c>
      <c r="AY109" s="109">
        <v>4.8</v>
      </c>
      <c r="AZ109" s="109">
        <v>198</v>
      </c>
      <c r="BA109" s="104" t="s">
        <v>219</v>
      </c>
      <c r="BB109" s="110">
        <v>2250</v>
      </c>
      <c r="BC109" s="110">
        <v>3970</v>
      </c>
      <c r="BD109" s="109">
        <v>20.9</v>
      </c>
      <c r="BH109" s="102" t="s">
        <v>25</v>
      </c>
      <c r="BI109" s="105">
        <v>4.3</v>
      </c>
      <c r="BJ109" s="105">
        <v>198</v>
      </c>
      <c r="BK109" s="105">
        <v>4.8</v>
      </c>
      <c r="BL109" s="105">
        <v>0</v>
      </c>
      <c r="BM109" s="106">
        <f>Attached_sourcedAlumina_and!P33</f>
        <v>1175</v>
      </c>
      <c r="BN109" s="111">
        <v>2250</v>
      </c>
      <c r="BO109" s="105">
        <v>20.9</v>
      </c>
    </row>
    <row r="110" spans="3:67">
      <c r="C110" s="66" t="s">
        <v>235</v>
      </c>
      <c r="D110" s="112" t="s">
        <v>248</v>
      </c>
      <c r="E110" s="112">
        <v>7.62975445836404</v>
      </c>
      <c r="F110" s="113">
        <v>5.79354797347089</v>
      </c>
      <c r="G110" s="113">
        <v>9.49761967575534</v>
      </c>
      <c r="L110">
        <v>2050</v>
      </c>
      <c r="M110" s="66" t="s">
        <v>235</v>
      </c>
      <c r="N110" s="112" t="s">
        <v>248</v>
      </c>
      <c r="O110" s="112">
        <f t="shared" si="20"/>
        <v>2.38811314546794</v>
      </c>
      <c r="P110" s="112">
        <f t="shared" si="21"/>
        <v>1.81338051569639</v>
      </c>
      <c r="Q110" s="112">
        <f t="shared" si="22"/>
        <v>2.97275495851142</v>
      </c>
      <c r="X110">
        <v>0</v>
      </c>
      <c r="Y110" s="66" t="s">
        <v>235</v>
      </c>
      <c r="Z110" s="112" t="s">
        <v>248</v>
      </c>
      <c r="AA110" s="112">
        <v>5</v>
      </c>
      <c r="AB110" s="112">
        <v>5</v>
      </c>
      <c r="AC110" s="112">
        <v>5</v>
      </c>
      <c r="AW110" s="103" t="s">
        <v>249</v>
      </c>
      <c r="AX110" s="104" t="s">
        <v>219</v>
      </c>
      <c r="AY110" s="104" t="s">
        <v>219</v>
      </c>
      <c r="AZ110" s="104" t="s">
        <v>219</v>
      </c>
      <c r="BA110" s="104" t="s">
        <v>219</v>
      </c>
      <c r="BB110" s="104" t="s">
        <v>219</v>
      </c>
      <c r="BC110" s="110">
        <v>1300</v>
      </c>
      <c r="BD110" s="109">
        <v>7</v>
      </c>
      <c r="BH110" s="102" t="s">
        <v>26</v>
      </c>
      <c r="BI110" s="105">
        <v>0</v>
      </c>
      <c r="BJ110" s="105">
        <v>0</v>
      </c>
      <c r="BK110" s="105">
        <v>0</v>
      </c>
      <c r="BL110" s="105">
        <v>0</v>
      </c>
      <c r="BM110" s="106">
        <f>Attached_sourcedAlumina_and!P34</f>
        <v>0</v>
      </c>
      <c r="BN110" s="105">
        <v>0</v>
      </c>
      <c r="BO110" s="105">
        <v>7</v>
      </c>
    </row>
    <row r="111" spans="3:67">
      <c r="C111" s="66" t="s">
        <v>235</v>
      </c>
      <c r="D111" s="112" t="s">
        <v>250</v>
      </c>
      <c r="E111" s="112">
        <v>4.18384600835176</v>
      </c>
      <c r="F111" s="113">
        <v>3.17694532056006</v>
      </c>
      <c r="G111" s="113">
        <v>5.20810707442889</v>
      </c>
      <c r="L111">
        <v>2050</v>
      </c>
      <c r="M111" s="66" t="s">
        <v>235</v>
      </c>
      <c r="N111" s="112" t="s">
        <v>250</v>
      </c>
      <c r="O111" s="112">
        <f t="shared" si="20"/>
        <v>1.3095438006141</v>
      </c>
      <c r="P111" s="112">
        <f t="shared" si="21"/>
        <v>0.994383885335299</v>
      </c>
      <c r="Q111" s="112">
        <f t="shared" si="22"/>
        <v>1.63013751429624</v>
      </c>
      <c r="X111">
        <v>0</v>
      </c>
      <c r="Y111" s="66" t="s">
        <v>235</v>
      </c>
      <c r="Z111" s="112" t="s">
        <v>250</v>
      </c>
      <c r="AA111" s="112">
        <v>5</v>
      </c>
      <c r="AB111" s="112">
        <v>5</v>
      </c>
      <c r="AC111" s="112">
        <v>5</v>
      </c>
      <c r="AW111" s="103" t="s">
        <v>251</v>
      </c>
      <c r="AX111" s="104" t="s">
        <v>219</v>
      </c>
      <c r="AY111" s="104" t="s">
        <v>219</v>
      </c>
      <c r="AZ111" s="104" t="s">
        <v>219</v>
      </c>
      <c r="BA111" s="104" t="s">
        <v>219</v>
      </c>
      <c r="BB111" s="109">
        <v>410</v>
      </c>
      <c r="BC111" s="104" t="s">
        <v>219</v>
      </c>
      <c r="BD111" s="104" t="s">
        <v>219</v>
      </c>
      <c r="BH111" s="102" t="s">
        <v>27</v>
      </c>
      <c r="BI111" s="105">
        <v>0</v>
      </c>
      <c r="BJ111" s="105">
        <v>0</v>
      </c>
      <c r="BK111" s="105">
        <v>0</v>
      </c>
      <c r="BL111" s="105">
        <v>0</v>
      </c>
      <c r="BM111" s="106">
        <f>Attached_sourcedAlumina_and!P35</f>
        <v>0</v>
      </c>
      <c r="BN111" s="105">
        <v>410</v>
      </c>
      <c r="BO111" s="105">
        <v>0</v>
      </c>
    </row>
    <row r="112" spans="3:67">
      <c r="C112" s="66" t="s">
        <v>235</v>
      </c>
      <c r="D112" s="112" t="s">
        <v>252</v>
      </c>
      <c r="E112" s="112">
        <v>4.18384600835176</v>
      </c>
      <c r="F112" s="113">
        <v>3.17694532056006</v>
      </c>
      <c r="G112" s="113">
        <v>5.20810707442889</v>
      </c>
      <c r="L112">
        <v>2050</v>
      </c>
      <c r="M112" s="66" t="s">
        <v>235</v>
      </c>
      <c r="N112" s="112" t="s">
        <v>252</v>
      </c>
      <c r="O112" s="112">
        <f t="shared" si="20"/>
        <v>1.3095438006141</v>
      </c>
      <c r="P112" s="112">
        <f t="shared" si="21"/>
        <v>0.994383885335299</v>
      </c>
      <c r="Q112" s="112">
        <f t="shared" si="22"/>
        <v>1.63013751429624</v>
      </c>
      <c r="X112">
        <v>0</v>
      </c>
      <c r="Y112" s="66" t="s">
        <v>235</v>
      </c>
      <c r="Z112" s="112" t="s">
        <v>252</v>
      </c>
      <c r="AA112" s="112">
        <v>5</v>
      </c>
      <c r="AB112" s="112">
        <v>5</v>
      </c>
      <c r="AC112" s="112">
        <v>5</v>
      </c>
      <c r="AW112" s="103" t="s">
        <v>28</v>
      </c>
      <c r="AX112" s="109">
        <v>4.6</v>
      </c>
      <c r="AY112" s="109">
        <v>43.8</v>
      </c>
      <c r="AZ112" s="110">
        <v>2985</v>
      </c>
      <c r="BA112" s="110">
        <v>2060</v>
      </c>
      <c r="BB112" s="110">
        <v>4700</v>
      </c>
      <c r="BC112" s="110">
        <v>8050</v>
      </c>
      <c r="BD112" s="109">
        <v>22.9</v>
      </c>
      <c r="BH112" s="102" t="s">
        <v>28</v>
      </c>
      <c r="BI112" s="105">
        <v>4.6</v>
      </c>
      <c r="BJ112" s="111">
        <v>2985</v>
      </c>
      <c r="BK112" s="105">
        <v>43.8</v>
      </c>
      <c r="BL112" s="111">
        <v>2060</v>
      </c>
      <c r="BM112" s="106">
        <f>Attached_sourcedAlumina_and!P36</f>
        <v>3015</v>
      </c>
      <c r="BN112" s="111">
        <v>4700</v>
      </c>
      <c r="BO112" s="105">
        <v>22.9</v>
      </c>
    </row>
    <row r="113" spans="3:67">
      <c r="C113" s="66" t="s">
        <v>235</v>
      </c>
      <c r="D113" s="112" t="s">
        <v>253</v>
      </c>
      <c r="E113" s="112">
        <v>4.18384600835176</v>
      </c>
      <c r="F113" s="113">
        <v>3.17694532056006</v>
      </c>
      <c r="G113" s="113">
        <v>5.20810707442889</v>
      </c>
      <c r="L113">
        <v>2050</v>
      </c>
      <c r="M113" s="66" t="s">
        <v>235</v>
      </c>
      <c r="N113" s="112" t="s">
        <v>253</v>
      </c>
      <c r="O113" s="112">
        <f t="shared" si="20"/>
        <v>1.3095438006141</v>
      </c>
      <c r="P113" s="112">
        <f t="shared" si="21"/>
        <v>0.994383885335299</v>
      </c>
      <c r="Q113" s="112">
        <f t="shared" si="22"/>
        <v>1.63013751429624</v>
      </c>
      <c r="X113">
        <v>0</v>
      </c>
      <c r="Y113" s="66" t="s">
        <v>235</v>
      </c>
      <c r="Z113" s="112" t="s">
        <v>253</v>
      </c>
      <c r="AA113" s="112">
        <v>5</v>
      </c>
      <c r="AB113" s="112">
        <v>5</v>
      </c>
      <c r="AC113" s="112">
        <v>5</v>
      </c>
      <c r="AW113" s="103" t="s">
        <v>254</v>
      </c>
      <c r="AX113" s="104" t="s">
        <v>219</v>
      </c>
      <c r="AY113" s="109">
        <v>8.7</v>
      </c>
      <c r="AZ113" s="109">
        <v>210</v>
      </c>
      <c r="BA113" s="104" t="s">
        <v>219</v>
      </c>
      <c r="BB113" s="109">
        <v>930</v>
      </c>
      <c r="BC113" s="110">
        <v>3800</v>
      </c>
      <c r="BD113" s="109">
        <v>20</v>
      </c>
      <c r="BH113" s="102" t="s">
        <v>29</v>
      </c>
      <c r="BI113" s="105">
        <v>0</v>
      </c>
      <c r="BJ113" s="105">
        <v>210</v>
      </c>
      <c r="BK113" s="105">
        <v>8.7</v>
      </c>
      <c r="BL113" s="105">
        <v>0</v>
      </c>
      <c r="BM113" s="106">
        <f>Attached_sourcedAlumina_and!P37</f>
        <v>1534</v>
      </c>
      <c r="BN113" s="105">
        <v>930</v>
      </c>
      <c r="BO113" s="105">
        <v>20</v>
      </c>
    </row>
    <row r="114" spans="3:67">
      <c r="C114" s="66" t="s">
        <v>235</v>
      </c>
      <c r="D114" s="112" t="s">
        <v>255</v>
      </c>
      <c r="E114" s="112">
        <v>4.18384600835176</v>
      </c>
      <c r="F114" s="113">
        <v>3.17694532056006</v>
      </c>
      <c r="G114" s="113">
        <v>5.20810707442889</v>
      </c>
      <c r="L114">
        <v>2050</v>
      </c>
      <c r="M114" s="66" t="s">
        <v>235</v>
      </c>
      <c r="N114" s="112" t="s">
        <v>255</v>
      </c>
      <c r="O114" s="112">
        <f t="shared" si="20"/>
        <v>1.3095438006141</v>
      </c>
      <c r="P114" s="112">
        <f t="shared" si="21"/>
        <v>0.994383885335299</v>
      </c>
      <c r="Q114" s="112">
        <f t="shared" si="22"/>
        <v>1.63013751429624</v>
      </c>
      <c r="X114">
        <v>0</v>
      </c>
      <c r="Y114" s="66" t="s">
        <v>235</v>
      </c>
      <c r="Z114" s="112" t="s">
        <v>255</v>
      </c>
      <c r="AA114" s="112">
        <v>5</v>
      </c>
      <c r="AB114" s="112">
        <v>5</v>
      </c>
      <c r="AC114" s="112">
        <v>5</v>
      </c>
      <c r="AW114" s="103" t="s">
        <v>256</v>
      </c>
      <c r="AX114" s="104" t="s">
        <v>219</v>
      </c>
      <c r="AY114" s="104" t="s">
        <v>219</v>
      </c>
      <c r="AZ114" s="104" t="s">
        <v>219</v>
      </c>
      <c r="BA114" s="104" t="s">
        <v>219</v>
      </c>
      <c r="BB114" s="104" t="s">
        <v>219</v>
      </c>
      <c r="BC114" s="104" t="s">
        <v>219</v>
      </c>
      <c r="BD114" s="104" t="s">
        <v>219</v>
      </c>
      <c r="BH114" s="102" t="s">
        <v>30</v>
      </c>
      <c r="BI114" s="105">
        <v>0</v>
      </c>
      <c r="BJ114" s="105">
        <v>0</v>
      </c>
      <c r="BK114" s="105">
        <v>0</v>
      </c>
      <c r="BL114" s="105">
        <v>0</v>
      </c>
      <c r="BM114" s="106">
        <f>Attached_sourcedAlumina_and!P38</f>
        <v>952</v>
      </c>
      <c r="BN114" s="105">
        <v>0</v>
      </c>
      <c r="BO114" s="105">
        <v>0</v>
      </c>
    </row>
    <row r="115" spans="3:67">
      <c r="C115" s="66" t="s">
        <v>235</v>
      </c>
      <c r="D115" s="112" t="s">
        <v>257</v>
      </c>
      <c r="E115" s="112">
        <v>4.18384600835176</v>
      </c>
      <c r="F115" s="113">
        <v>3.17694532056006</v>
      </c>
      <c r="G115" s="113">
        <v>5.20810707442889</v>
      </c>
      <c r="L115">
        <v>2050</v>
      </c>
      <c r="M115" s="66" t="s">
        <v>235</v>
      </c>
      <c r="N115" s="112" t="s">
        <v>257</v>
      </c>
      <c r="O115" s="112">
        <f t="shared" si="20"/>
        <v>1.3095438006141</v>
      </c>
      <c r="P115" s="112">
        <f t="shared" si="21"/>
        <v>0.994383885335299</v>
      </c>
      <c r="Q115" s="112">
        <f t="shared" si="22"/>
        <v>1.63013751429624</v>
      </c>
      <c r="X115">
        <v>0</v>
      </c>
      <c r="Y115" s="66" t="s">
        <v>235</v>
      </c>
      <c r="Z115" s="112" t="s">
        <v>257</v>
      </c>
      <c r="AA115" s="112">
        <v>5</v>
      </c>
      <c r="AB115" s="112">
        <v>5</v>
      </c>
      <c r="AC115" s="112">
        <v>5</v>
      </c>
      <c r="AW115" s="103" t="s">
        <v>258</v>
      </c>
      <c r="AX115" s="104" t="s">
        <v>219</v>
      </c>
      <c r="AY115" s="104" t="s">
        <v>219</v>
      </c>
      <c r="AZ115" s="104" t="s">
        <v>219</v>
      </c>
      <c r="BA115" s="110">
        <v>7400</v>
      </c>
      <c r="BB115" s="104" t="s">
        <v>219</v>
      </c>
      <c r="BC115" s="104" t="s">
        <v>219</v>
      </c>
      <c r="BD115" s="104" t="s">
        <v>219</v>
      </c>
      <c r="BH115" s="102" t="s">
        <v>31</v>
      </c>
      <c r="BI115" s="105">
        <v>0</v>
      </c>
      <c r="BJ115" s="105">
        <v>0</v>
      </c>
      <c r="BK115" s="105">
        <v>0</v>
      </c>
      <c r="BL115" s="111">
        <v>7400</v>
      </c>
      <c r="BM115" s="106">
        <f>Attached_sourcedAlumina_and!P39</f>
        <v>0</v>
      </c>
      <c r="BN115" s="105">
        <v>0</v>
      </c>
      <c r="BO115" s="105">
        <v>0</v>
      </c>
    </row>
    <row r="116" spans="3:67">
      <c r="C116" s="66" t="s">
        <v>235</v>
      </c>
      <c r="D116" s="112" t="s">
        <v>259</v>
      </c>
      <c r="E116" s="112">
        <v>4.18384600835176</v>
      </c>
      <c r="F116" s="113">
        <v>3.17694532056006</v>
      </c>
      <c r="G116" s="113">
        <v>5.20810707442889</v>
      </c>
      <c r="L116">
        <v>2050</v>
      </c>
      <c r="M116" s="66" t="s">
        <v>235</v>
      </c>
      <c r="N116" s="112" t="s">
        <v>259</v>
      </c>
      <c r="O116" s="112">
        <f t="shared" si="20"/>
        <v>1.3095438006141</v>
      </c>
      <c r="P116" s="112">
        <f t="shared" si="21"/>
        <v>0.994383885335299</v>
      </c>
      <c r="Q116" s="112">
        <f t="shared" si="22"/>
        <v>1.63013751429624</v>
      </c>
      <c r="X116">
        <v>0</v>
      </c>
      <c r="Y116" s="66" t="s">
        <v>235</v>
      </c>
      <c r="Z116" s="112" t="s">
        <v>259</v>
      </c>
      <c r="AA116" s="112">
        <v>5</v>
      </c>
      <c r="AB116" s="112">
        <v>5</v>
      </c>
      <c r="AC116" s="112">
        <v>5</v>
      </c>
      <c r="AW116" s="103" t="s">
        <v>260</v>
      </c>
      <c r="AX116" s="109">
        <v>0.4</v>
      </c>
      <c r="AY116" s="104" t="s">
        <v>219</v>
      </c>
      <c r="AZ116" s="104" t="s">
        <v>219</v>
      </c>
      <c r="BA116" s="104" t="s">
        <v>219</v>
      </c>
      <c r="BB116" s="104" t="s">
        <v>219</v>
      </c>
      <c r="BC116" s="104" t="s">
        <v>219</v>
      </c>
      <c r="BD116" s="104" t="s">
        <v>219</v>
      </c>
      <c r="BH116" s="102" t="s">
        <v>32</v>
      </c>
      <c r="BI116" s="105">
        <v>0.4</v>
      </c>
      <c r="BJ116" s="105">
        <v>0</v>
      </c>
      <c r="BK116" s="105">
        <v>0</v>
      </c>
      <c r="BL116" s="105">
        <v>0</v>
      </c>
      <c r="BM116" s="106">
        <f>Attached_sourcedAlumina_and!P40</f>
        <v>434</v>
      </c>
      <c r="BN116" s="105">
        <v>0</v>
      </c>
      <c r="BO116" s="105">
        <v>0</v>
      </c>
    </row>
    <row r="117" spans="3:67">
      <c r="C117" s="66" t="s">
        <v>235</v>
      </c>
      <c r="D117" s="112" t="s">
        <v>261</v>
      </c>
      <c r="E117" s="112">
        <v>4.18384600835176</v>
      </c>
      <c r="F117" s="113">
        <v>3.17694532056006</v>
      </c>
      <c r="G117" s="113">
        <v>5.20810707442889</v>
      </c>
      <c r="L117">
        <v>2050</v>
      </c>
      <c r="M117" s="66" t="s">
        <v>235</v>
      </c>
      <c r="N117" s="112" t="s">
        <v>261</v>
      </c>
      <c r="O117" s="112">
        <f t="shared" si="20"/>
        <v>1.3095438006141</v>
      </c>
      <c r="P117" s="112">
        <f t="shared" si="21"/>
        <v>0.994383885335299</v>
      </c>
      <c r="Q117" s="112">
        <f t="shared" si="22"/>
        <v>1.63013751429624</v>
      </c>
      <c r="X117">
        <v>0</v>
      </c>
      <c r="Y117" s="66" t="s">
        <v>235</v>
      </c>
      <c r="Z117" s="112" t="s">
        <v>261</v>
      </c>
      <c r="AA117" s="112">
        <v>5</v>
      </c>
      <c r="AB117" s="112">
        <v>5</v>
      </c>
      <c r="AC117" s="112">
        <v>5</v>
      </c>
      <c r="AW117" s="103" t="s">
        <v>262</v>
      </c>
      <c r="AX117" s="104" t="s">
        <v>219</v>
      </c>
      <c r="AY117" s="104" t="s">
        <v>219</v>
      </c>
      <c r="AZ117" s="104" t="s">
        <v>219</v>
      </c>
      <c r="BA117" s="104" t="s">
        <v>219</v>
      </c>
      <c r="BB117" s="104" t="s">
        <v>219</v>
      </c>
      <c r="BC117" s="104" t="s">
        <v>219</v>
      </c>
      <c r="BD117" s="104" t="s">
        <v>219</v>
      </c>
      <c r="BH117" s="102" t="s">
        <v>33</v>
      </c>
      <c r="BI117" s="105">
        <v>0</v>
      </c>
      <c r="BJ117" s="105">
        <v>0</v>
      </c>
      <c r="BK117" s="105">
        <v>0</v>
      </c>
      <c r="BL117" s="105">
        <v>0</v>
      </c>
      <c r="BM117" s="106">
        <f>Attached_sourcedAlumina_and!P41</f>
        <v>0</v>
      </c>
      <c r="BN117" s="105">
        <v>0</v>
      </c>
      <c r="BO117" s="105">
        <v>0</v>
      </c>
    </row>
    <row r="118" spans="3:67">
      <c r="C118" s="66" t="s">
        <v>235</v>
      </c>
      <c r="D118" s="112" t="s">
        <v>263</v>
      </c>
      <c r="E118" s="112">
        <v>3.56556266273643</v>
      </c>
      <c r="F118" s="113">
        <v>2.70746042741341</v>
      </c>
      <c r="G118" s="113">
        <v>4.4384597641857</v>
      </c>
      <c r="L118">
        <v>2050</v>
      </c>
      <c r="M118" s="66" t="s">
        <v>235</v>
      </c>
      <c r="N118" s="112" t="s">
        <v>263</v>
      </c>
      <c r="O118" s="112">
        <f t="shared" si="20"/>
        <v>1.1160211134365</v>
      </c>
      <c r="P118" s="112">
        <f t="shared" si="21"/>
        <v>0.847435113780397</v>
      </c>
      <c r="Q118" s="112">
        <f t="shared" si="22"/>
        <v>1.38923790619012</v>
      </c>
      <c r="X118">
        <v>0</v>
      </c>
      <c r="Y118" s="66" t="s">
        <v>235</v>
      </c>
      <c r="Z118" s="112" t="s">
        <v>263</v>
      </c>
      <c r="AA118" s="112">
        <v>5</v>
      </c>
      <c r="AB118" s="112">
        <v>5</v>
      </c>
      <c r="AC118" s="112">
        <v>5</v>
      </c>
      <c r="AW118" s="103" t="s">
        <v>264</v>
      </c>
      <c r="AX118" s="104" t="s">
        <v>219</v>
      </c>
      <c r="AY118" s="104" t="s">
        <v>219</v>
      </c>
      <c r="AZ118" s="104" t="s">
        <v>219</v>
      </c>
      <c r="BA118" s="104" t="s">
        <v>219</v>
      </c>
      <c r="BB118" s="104" t="s">
        <v>219</v>
      </c>
      <c r="BC118" s="104" t="s">
        <v>219</v>
      </c>
      <c r="BD118" s="104" t="s">
        <v>219</v>
      </c>
      <c r="BH118" s="102" t="s">
        <v>34</v>
      </c>
      <c r="BI118" s="105">
        <v>0</v>
      </c>
      <c r="BJ118" s="105">
        <v>0</v>
      </c>
      <c r="BK118" s="105">
        <v>0</v>
      </c>
      <c r="BL118" s="105">
        <v>0</v>
      </c>
      <c r="BM118" s="106">
        <f>Attached_sourcedAlumina_and!P42</f>
        <v>0</v>
      </c>
      <c r="BN118" s="105">
        <v>0</v>
      </c>
      <c r="BO118" s="105">
        <v>0</v>
      </c>
    </row>
    <row r="119" spans="3:67">
      <c r="C119" s="66" t="s">
        <v>235</v>
      </c>
      <c r="D119" s="112" t="s">
        <v>265</v>
      </c>
      <c r="E119" s="112">
        <v>3.60087708179809</v>
      </c>
      <c r="F119" s="113">
        <v>2.73427597641857</v>
      </c>
      <c r="G119" s="113">
        <v>4.48241960206338</v>
      </c>
      <c r="L119">
        <v>2050</v>
      </c>
      <c r="M119" s="66" t="s">
        <v>235</v>
      </c>
      <c r="N119" s="112" t="s">
        <v>265</v>
      </c>
      <c r="O119" s="112">
        <f t="shared" si="20"/>
        <v>1.1270745266028</v>
      </c>
      <c r="P119" s="112">
        <f t="shared" si="21"/>
        <v>0.855828380619012</v>
      </c>
      <c r="Q119" s="112">
        <f t="shared" si="22"/>
        <v>1.40299733544584</v>
      </c>
      <c r="X119">
        <v>0</v>
      </c>
      <c r="Y119" s="66" t="s">
        <v>235</v>
      </c>
      <c r="Z119" s="112" t="s">
        <v>265</v>
      </c>
      <c r="AA119" s="112">
        <v>5</v>
      </c>
      <c r="AB119" s="112">
        <v>5</v>
      </c>
      <c r="AC119" s="112">
        <v>5</v>
      </c>
      <c r="AW119" s="103" t="s">
        <v>266</v>
      </c>
      <c r="AX119" s="104" t="s">
        <v>219</v>
      </c>
      <c r="AY119" s="109">
        <v>2.7</v>
      </c>
      <c r="AZ119" s="104" t="s">
        <v>219</v>
      </c>
      <c r="BA119" s="104" t="s">
        <v>219</v>
      </c>
      <c r="BB119" s="104" t="s">
        <v>219</v>
      </c>
      <c r="BC119" s="104" t="s">
        <v>219</v>
      </c>
      <c r="BD119" s="109">
        <v>3</v>
      </c>
      <c r="BH119" s="102" t="s">
        <v>35</v>
      </c>
      <c r="BI119" s="105">
        <v>0</v>
      </c>
      <c r="BJ119" s="105">
        <v>0</v>
      </c>
      <c r="BK119" s="105">
        <v>2.7</v>
      </c>
      <c r="BL119" s="105">
        <v>0</v>
      </c>
      <c r="BM119" s="106">
        <f>Attached_sourcedAlumina_and!P43</f>
        <v>169</v>
      </c>
      <c r="BN119" s="105">
        <v>0</v>
      </c>
      <c r="BO119" s="105">
        <v>3</v>
      </c>
    </row>
    <row r="120" spans="3:67">
      <c r="C120" s="66" t="s">
        <v>235</v>
      </c>
      <c r="D120" s="112" t="s">
        <v>267</v>
      </c>
      <c r="E120" s="112">
        <v>3.56556266273643</v>
      </c>
      <c r="F120" s="113">
        <v>2.70746042741341</v>
      </c>
      <c r="G120" s="113">
        <v>4.4384597641857</v>
      </c>
      <c r="L120">
        <v>2050</v>
      </c>
      <c r="M120" s="66" t="s">
        <v>235</v>
      </c>
      <c r="N120" s="112" t="s">
        <v>267</v>
      </c>
      <c r="O120" s="112">
        <f t="shared" si="20"/>
        <v>1.1160211134365</v>
      </c>
      <c r="P120" s="112">
        <f t="shared" si="21"/>
        <v>0.847435113780397</v>
      </c>
      <c r="Q120" s="112">
        <f t="shared" si="22"/>
        <v>1.38923790619012</v>
      </c>
      <c r="X120">
        <v>0</v>
      </c>
      <c r="Y120" s="66" t="s">
        <v>235</v>
      </c>
      <c r="Z120" s="112" t="s">
        <v>267</v>
      </c>
      <c r="AA120" s="112">
        <v>5</v>
      </c>
      <c r="AB120" s="112">
        <v>5</v>
      </c>
      <c r="AC120" s="112">
        <v>5</v>
      </c>
      <c r="AW120" s="103" t="s">
        <v>36</v>
      </c>
      <c r="AX120" s="104" t="s">
        <v>219</v>
      </c>
      <c r="AY120" s="104" t="s">
        <v>219</v>
      </c>
      <c r="AZ120" s="104" t="s">
        <v>219</v>
      </c>
      <c r="BA120" s="104" t="s">
        <v>219</v>
      </c>
      <c r="BB120" s="104" t="s">
        <v>219</v>
      </c>
      <c r="BC120" s="104" t="s">
        <v>219</v>
      </c>
      <c r="BD120" s="104" t="s">
        <v>219</v>
      </c>
      <c r="BH120" s="102" t="s">
        <v>36</v>
      </c>
      <c r="BI120" s="105">
        <v>0</v>
      </c>
      <c r="BJ120" s="105">
        <v>0</v>
      </c>
      <c r="BK120" s="105">
        <v>0</v>
      </c>
      <c r="BL120" s="105">
        <v>0</v>
      </c>
      <c r="BM120" s="106">
        <f>Attached_sourcedAlumina_and!P44</f>
        <v>0</v>
      </c>
      <c r="BN120" s="105">
        <v>0</v>
      </c>
      <c r="BO120" s="105">
        <v>0</v>
      </c>
    </row>
    <row r="121" spans="3:67">
      <c r="C121" s="66" t="s">
        <v>235</v>
      </c>
      <c r="D121" s="112" t="s">
        <v>268</v>
      </c>
      <c r="E121" s="112">
        <v>3.56645369688037</v>
      </c>
      <c r="F121" s="113">
        <v>2.70813706705969</v>
      </c>
      <c r="G121" s="113">
        <v>4.43956890198968</v>
      </c>
      <c r="L121">
        <v>2050</v>
      </c>
      <c r="M121" s="66" t="s">
        <v>235</v>
      </c>
      <c r="N121" s="112" t="s">
        <v>268</v>
      </c>
      <c r="O121" s="112">
        <f t="shared" si="20"/>
        <v>1.11630000712356</v>
      </c>
      <c r="P121" s="112">
        <f t="shared" si="21"/>
        <v>0.847646901989683</v>
      </c>
      <c r="Q121" s="112">
        <f t="shared" si="22"/>
        <v>1.38958506632277</v>
      </c>
      <c r="X121">
        <v>0</v>
      </c>
      <c r="Y121" s="66" t="s">
        <v>235</v>
      </c>
      <c r="Z121" s="112" t="s">
        <v>268</v>
      </c>
      <c r="AA121" s="112">
        <v>5</v>
      </c>
      <c r="AB121" s="112">
        <v>5</v>
      </c>
      <c r="AC121" s="112">
        <v>5</v>
      </c>
      <c r="AW121" s="103" t="s">
        <v>269</v>
      </c>
      <c r="AX121" s="104" t="s">
        <v>219</v>
      </c>
      <c r="AY121" s="104" t="s">
        <v>219</v>
      </c>
      <c r="AZ121" s="104" t="s">
        <v>219</v>
      </c>
      <c r="BA121" s="104" t="s">
        <v>219</v>
      </c>
      <c r="BB121" s="104" t="s">
        <v>219</v>
      </c>
      <c r="BC121" s="104" t="s">
        <v>219</v>
      </c>
      <c r="BD121" s="109">
        <v>1.2</v>
      </c>
      <c r="BH121" s="102" t="s">
        <v>37</v>
      </c>
      <c r="BI121" s="105">
        <v>0</v>
      </c>
      <c r="BJ121" s="105">
        <v>0</v>
      </c>
      <c r="BK121" s="105">
        <v>0</v>
      </c>
      <c r="BL121" s="105">
        <v>0</v>
      </c>
      <c r="BM121" s="106">
        <f>Attached_sourcedAlumina_and!P45</f>
        <v>0</v>
      </c>
      <c r="BN121" s="105">
        <v>0</v>
      </c>
      <c r="BO121" s="105">
        <v>1.2</v>
      </c>
    </row>
    <row r="122" spans="3:67">
      <c r="C122" s="66" t="s">
        <v>235</v>
      </c>
      <c r="D122" s="112" t="s">
        <v>270</v>
      </c>
      <c r="E122" s="112">
        <v>3.56585961680177</v>
      </c>
      <c r="F122" s="113">
        <v>2.70768592483419</v>
      </c>
      <c r="G122" s="113">
        <v>4.43882940309506</v>
      </c>
      <c r="L122">
        <v>2050</v>
      </c>
      <c r="M122" s="66" t="s">
        <v>235</v>
      </c>
      <c r="N122" s="112" t="s">
        <v>270</v>
      </c>
      <c r="O122" s="112">
        <f t="shared" si="20"/>
        <v>1.11611406005895</v>
      </c>
      <c r="P122" s="112">
        <f t="shared" si="21"/>
        <v>0.847505694473101</v>
      </c>
      <c r="Q122" s="112">
        <f t="shared" si="22"/>
        <v>1.38935360316875</v>
      </c>
      <c r="X122">
        <v>0</v>
      </c>
      <c r="Y122" s="66" t="s">
        <v>235</v>
      </c>
      <c r="Z122" s="112" t="s">
        <v>270</v>
      </c>
      <c r="AA122" s="112">
        <v>5</v>
      </c>
      <c r="AB122" s="112">
        <v>5</v>
      </c>
      <c r="AC122" s="112">
        <v>5</v>
      </c>
      <c r="AW122" s="103" t="s">
        <v>271</v>
      </c>
      <c r="AX122" s="104" t="s">
        <v>219</v>
      </c>
      <c r="AY122" s="104" t="s">
        <v>219</v>
      </c>
      <c r="AZ122" s="104" t="s">
        <v>219</v>
      </c>
      <c r="BA122" s="104" t="s">
        <v>219</v>
      </c>
      <c r="BB122" s="104" t="s">
        <v>219</v>
      </c>
      <c r="BC122" s="104" t="s">
        <v>219</v>
      </c>
      <c r="BD122" s="104" t="s">
        <v>219</v>
      </c>
      <c r="BH122" s="98" t="s">
        <v>217</v>
      </c>
      <c r="BI122" s="99">
        <v>240</v>
      </c>
      <c r="BJ122" s="114">
        <v>3700</v>
      </c>
      <c r="BK122" s="99">
        <v>290</v>
      </c>
      <c r="BL122" s="114">
        <v>20200</v>
      </c>
      <c r="BM122" s="106">
        <f>Attached_sourcedAlumina_and!P46</f>
        <v>75118</v>
      </c>
      <c r="BN122" s="114">
        <v>22000</v>
      </c>
      <c r="BO122" s="114">
        <v>1631</v>
      </c>
    </row>
    <row r="123" spans="3:67">
      <c r="C123" s="66" t="s">
        <v>235</v>
      </c>
      <c r="D123" s="112" t="s">
        <v>272</v>
      </c>
      <c r="E123" s="112">
        <v>3.56556266273643</v>
      </c>
      <c r="F123" s="113">
        <v>2.70746042741341</v>
      </c>
      <c r="G123" s="113">
        <v>4.4384597641857</v>
      </c>
      <c r="L123">
        <v>2050</v>
      </c>
      <c r="M123" s="66" t="s">
        <v>235</v>
      </c>
      <c r="N123" s="112" t="s">
        <v>272</v>
      </c>
      <c r="O123" s="112">
        <f t="shared" si="20"/>
        <v>1.1160211134365</v>
      </c>
      <c r="P123" s="112">
        <f t="shared" si="21"/>
        <v>0.847435113780397</v>
      </c>
      <c r="Q123" s="112">
        <f t="shared" si="22"/>
        <v>1.38923790619012</v>
      </c>
      <c r="X123">
        <v>0</v>
      </c>
      <c r="Y123" s="66" t="s">
        <v>235</v>
      </c>
      <c r="Z123" s="112" t="s">
        <v>272</v>
      </c>
      <c r="AA123" s="112">
        <v>5</v>
      </c>
      <c r="AB123" s="112">
        <v>5</v>
      </c>
      <c r="AC123" s="112">
        <v>5</v>
      </c>
      <c r="AW123" s="115" t="s">
        <v>217</v>
      </c>
      <c r="AX123" s="116">
        <v>240</v>
      </c>
      <c r="AY123" s="116">
        <v>290</v>
      </c>
      <c r="AZ123" s="117">
        <v>3700</v>
      </c>
      <c r="BA123" s="117">
        <v>20200</v>
      </c>
      <c r="BB123" s="117">
        <v>22000</v>
      </c>
      <c r="BC123" s="117">
        <v>72000</v>
      </c>
      <c r="BD123" s="117">
        <v>1631</v>
      </c>
    </row>
    <row r="124" spans="3:67">
      <c r="C124" s="66" t="s">
        <v>235</v>
      </c>
      <c r="D124" s="118" t="s">
        <v>273</v>
      </c>
      <c r="E124" s="112">
        <v>3.56496890198968</v>
      </c>
      <c r="F124" s="113">
        <v>2.70700957995578</v>
      </c>
      <c r="G124" s="113">
        <v>4.43772063375092</v>
      </c>
      <c r="L124">
        <v>2050</v>
      </c>
      <c r="M124" s="66" t="s">
        <v>235</v>
      </c>
      <c r="N124" s="118" t="s">
        <v>273</v>
      </c>
      <c r="O124" s="112">
        <f t="shared" si="20"/>
        <v>1.11583526632277</v>
      </c>
      <c r="P124" s="112">
        <f t="shared" si="21"/>
        <v>0.847293998526159</v>
      </c>
      <c r="Q124" s="112">
        <f t="shared" si="22"/>
        <v>1.38900655836404</v>
      </c>
      <c r="X124">
        <v>0</v>
      </c>
      <c r="Y124" s="66" t="s">
        <v>235</v>
      </c>
      <c r="Z124" s="112" t="s">
        <v>273</v>
      </c>
      <c r="AA124" s="112">
        <v>5</v>
      </c>
      <c r="AB124" s="112">
        <v>5</v>
      </c>
      <c r="AC124" s="112">
        <v>5</v>
      </c>
    </row>
    <row r="132" spans="3:29">
      <c r="C132" s="75"/>
      <c r="D132" s="67" t="s">
        <v>130</v>
      </c>
      <c r="E132" s="67"/>
      <c r="M132" s="66"/>
      <c r="Y132" s="66"/>
    </row>
    <row r="133" spans="3:29">
      <c r="C133" s="75" t="s">
        <v>132</v>
      </c>
      <c r="D133" s="119" t="s">
        <v>65</v>
      </c>
      <c r="E133" s="119" t="s">
        <v>66</v>
      </c>
      <c r="F133" s="112"/>
      <c r="G133" s="112"/>
      <c r="M133" s="66"/>
      <c r="N133" s="66"/>
      <c r="O133" s="66"/>
      <c r="P133" s="66"/>
      <c r="Q133" s="66"/>
      <c r="Y133" s="66"/>
      <c r="Z133" s="66"/>
      <c r="AA133" s="66"/>
      <c r="AB133" s="66"/>
      <c r="AC133" s="66"/>
    </row>
    <row r="134" spans="3:29">
      <c r="C134" s="75" t="s">
        <v>274</v>
      </c>
      <c r="D134" s="119" t="s">
        <v>236</v>
      </c>
      <c r="E134" s="119">
        <v>10</v>
      </c>
      <c r="F134" s="113"/>
      <c r="G134" s="113"/>
      <c r="M134" s="66"/>
      <c r="N134" s="66"/>
      <c r="O134" s="66"/>
      <c r="P134" s="66"/>
      <c r="Q134" s="66"/>
      <c r="Y134" s="66"/>
      <c r="Z134" s="66"/>
      <c r="AA134" s="66"/>
      <c r="AB134" s="66"/>
      <c r="AC134" s="66"/>
    </row>
    <row r="135" spans="3:29">
      <c r="C135" s="75" t="s">
        <v>274</v>
      </c>
      <c r="D135" s="119" t="s">
        <v>238</v>
      </c>
      <c r="E135" s="119">
        <f>E134</f>
        <v>10</v>
      </c>
      <c r="F135" s="113"/>
      <c r="G135" s="113"/>
      <c r="M135" s="66"/>
      <c r="N135" s="66"/>
      <c r="O135" s="66"/>
      <c r="P135" s="66"/>
      <c r="Q135" s="66"/>
      <c r="Y135" s="66"/>
      <c r="Z135" s="66"/>
      <c r="AA135" s="66"/>
      <c r="AB135" s="66"/>
      <c r="AC135" s="66"/>
    </row>
    <row r="136" spans="3:29">
      <c r="C136" s="75" t="s">
        <v>274</v>
      </c>
      <c r="D136" s="119" t="s">
        <v>240</v>
      </c>
      <c r="E136" s="119">
        <f t="shared" ref="E136:E154" si="23">E135</f>
        <v>10</v>
      </c>
      <c r="F136" s="113"/>
      <c r="G136" s="113"/>
      <c r="M136" s="66"/>
      <c r="N136" s="66"/>
      <c r="O136" s="66"/>
      <c r="P136" s="66"/>
      <c r="Q136" s="66"/>
      <c r="Y136" s="66"/>
      <c r="Z136" s="66"/>
      <c r="AA136" s="66"/>
      <c r="AB136" s="66"/>
      <c r="AC136" s="66"/>
    </row>
    <row r="137" spans="3:29">
      <c r="C137" s="75" t="s">
        <v>274</v>
      </c>
      <c r="D137" s="119" t="s">
        <v>242</v>
      </c>
      <c r="E137" s="119">
        <f t="shared" si="23"/>
        <v>10</v>
      </c>
      <c r="F137" s="113"/>
      <c r="G137" s="113"/>
      <c r="M137" s="66"/>
      <c r="N137" s="66"/>
      <c r="O137" s="66"/>
      <c r="P137" s="66"/>
      <c r="Q137" s="66"/>
      <c r="Y137" s="66"/>
      <c r="Z137" s="66"/>
      <c r="AA137" s="66"/>
      <c r="AB137" s="66"/>
      <c r="AC137" s="66"/>
    </row>
    <row r="138" spans="3:29">
      <c r="C138" s="75" t="s">
        <v>274</v>
      </c>
      <c r="D138" s="119" t="s">
        <v>244</v>
      </c>
      <c r="E138" s="119">
        <f t="shared" si="23"/>
        <v>10</v>
      </c>
      <c r="F138" s="113"/>
      <c r="G138" s="113"/>
      <c r="M138" s="66"/>
      <c r="N138" s="66"/>
      <c r="O138" s="66"/>
      <c r="P138" s="66"/>
      <c r="Q138" s="66"/>
      <c r="Y138" s="66"/>
      <c r="Z138" s="66"/>
      <c r="AA138" s="66"/>
      <c r="AB138" s="66"/>
      <c r="AC138" s="66"/>
    </row>
    <row r="139" spans="3:29">
      <c r="C139" s="75" t="s">
        <v>274</v>
      </c>
      <c r="D139" s="119" t="s">
        <v>246</v>
      </c>
      <c r="E139" s="119">
        <f t="shared" si="23"/>
        <v>10</v>
      </c>
      <c r="F139" s="113"/>
      <c r="G139" s="113"/>
      <c r="M139" s="66"/>
      <c r="N139" s="66"/>
      <c r="O139" s="66"/>
      <c r="P139" s="66"/>
      <c r="Q139" s="66"/>
      <c r="Y139" s="66"/>
      <c r="Z139" s="66"/>
      <c r="AA139" s="66"/>
      <c r="AB139" s="66"/>
      <c r="AC139" s="66"/>
    </row>
    <row r="140" spans="3:29">
      <c r="C140" s="75" t="s">
        <v>274</v>
      </c>
      <c r="D140" s="119" t="s">
        <v>248</v>
      </c>
      <c r="E140" s="119">
        <f t="shared" si="23"/>
        <v>10</v>
      </c>
      <c r="F140" s="113"/>
      <c r="G140" s="113"/>
      <c r="M140" s="66"/>
      <c r="N140" s="66"/>
      <c r="O140" s="66"/>
      <c r="P140" s="66"/>
      <c r="Q140" s="66"/>
      <c r="Y140" s="66"/>
      <c r="Z140" s="66"/>
      <c r="AA140" s="66"/>
      <c r="AB140" s="66"/>
      <c r="AC140" s="66"/>
    </row>
    <row r="141" spans="3:29">
      <c r="C141" s="75" t="s">
        <v>274</v>
      </c>
      <c r="D141" s="119" t="s">
        <v>250</v>
      </c>
      <c r="E141" s="119">
        <f t="shared" si="23"/>
        <v>10</v>
      </c>
      <c r="F141" s="113"/>
      <c r="G141" s="113"/>
      <c r="M141" s="66"/>
      <c r="N141" s="66"/>
      <c r="O141" s="66"/>
      <c r="P141" s="66"/>
      <c r="Q141" s="66"/>
      <c r="Y141" s="66"/>
      <c r="Z141" s="66"/>
      <c r="AA141" s="66"/>
      <c r="AB141" s="66"/>
      <c r="AC141" s="66"/>
    </row>
    <row r="142" spans="3:29">
      <c r="C142" s="75" t="s">
        <v>274</v>
      </c>
      <c r="D142" s="119" t="s">
        <v>252</v>
      </c>
      <c r="E142" s="119">
        <f t="shared" si="23"/>
        <v>10</v>
      </c>
      <c r="F142" s="113"/>
      <c r="G142" s="113"/>
      <c r="M142" s="66"/>
      <c r="N142" s="66"/>
      <c r="O142" s="66"/>
      <c r="P142" s="66"/>
      <c r="Q142" s="66"/>
      <c r="Y142" s="66"/>
      <c r="Z142" s="66"/>
      <c r="AA142" s="66"/>
      <c r="AB142" s="66"/>
      <c r="AC142" s="66"/>
    </row>
    <row r="143" spans="3:29">
      <c r="C143" s="75" t="s">
        <v>274</v>
      </c>
      <c r="D143" s="119" t="s">
        <v>253</v>
      </c>
      <c r="E143" s="119">
        <f t="shared" si="23"/>
        <v>10</v>
      </c>
      <c r="F143" s="113"/>
      <c r="G143" s="113"/>
      <c r="M143" s="66"/>
      <c r="N143" s="66"/>
      <c r="O143" s="66"/>
      <c r="P143" s="66"/>
      <c r="Q143" s="66"/>
      <c r="Y143" s="66"/>
      <c r="Z143" s="66"/>
      <c r="AA143" s="66"/>
      <c r="AB143" s="66"/>
      <c r="AC143" s="66"/>
    </row>
    <row r="144" spans="3:29">
      <c r="C144" s="75" t="s">
        <v>274</v>
      </c>
      <c r="D144" s="119" t="s">
        <v>255</v>
      </c>
      <c r="E144" s="119">
        <f t="shared" si="23"/>
        <v>10</v>
      </c>
      <c r="F144" s="113"/>
      <c r="G144" s="113"/>
      <c r="M144" s="66"/>
      <c r="N144" s="66"/>
      <c r="O144" s="66"/>
      <c r="P144" s="66"/>
      <c r="Q144" s="66"/>
      <c r="Y144" s="66"/>
      <c r="Z144" s="66"/>
      <c r="AA144" s="66"/>
      <c r="AB144" s="66"/>
      <c r="AC144" s="66"/>
    </row>
    <row r="145" spans="3:29">
      <c r="C145" s="75" t="s">
        <v>274</v>
      </c>
      <c r="D145" s="119" t="s">
        <v>257</v>
      </c>
      <c r="E145" s="119">
        <f t="shared" si="23"/>
        <v>10</v>
      </c>
      <c r="F145" s="113"/>
      <c r="G145" s="113"/>
      <c r="M145" s="66"/>
      <c r="N145" s="66"/>
      <c r="O145" s="66"/>
      <c r="P145" s="66"/>
      <c r="Q145" s="66"/>
      <c r="Y145" s="66"/>
      <c r="Z145" s="66"/>
      <c r="AA145" s="66"/>
      <c r="AB145" s="66"/>
      <c r="AC145" s="66"/>
    </row>
    <row r="146" spans="3:29">
      <c r="C146" s="75" t="s">
        <v>274</v>
      </c>
      <c r="D146" s="119" t="s">
        <v>259</v>
      </c>
      <c r="E146" s="119">
        <f t="shared" si="23"/>
        <v>10</v>
      </c>
      <c r="F146" s="113"/>
      <c r="G146" s="113"/>
      <c r="M146" s="66"/>
      <c r="N146" s="66"/>
      <c r="O146" s="66"/>
      <c r="P146" s="66"/>
      <c r="Q146" s="66"/>
      <c r="Y146" s="66"/>
      <c r="Z146" s="66"/>
      <c r="AA146" s="66"/>
      <c r="AB146" s="66"/>
      <c r="AC146" s="66"/>
    </row>
    <row r="147" spans="3:29">
      <c r="C147" s="75" t="s">
        <v>274</v>
      </c>
      <c r="D147" s="119" t="s">
        <v>261</v>
      </c>
      <c r="E147" s="119">
        <f t="shared" si="23"/>
        <v>10</v>
      </c>
      <c r="F147" s="113"/>
      <c r="G147" s="113"/>
      <c r="M147" s="66"/>
      <c r="N147" s="66"/>
      <c r="O147" s="66"/>
      <c r="P147" s="66"/>
      <c r="Q147" s="66"/>
      <c r="Y147" s="66"/>
      <c r="Z147" s="66"/>
      <c r="AA147" s="66"/>
      <c r="AB147" s="66"/>
      <c r="AC147" s="66"/>
    </row>
    <row r="148" spans="3:29">
      <c r="C148" s="75" t="s">
        <v>274</v>
      </c>
      <c r="D148" s="119" t="s">
        <v>263</v>
      </c>
      <c r="E148" s="119">
        <f t="shared" si="23"/>
        <v>10</v>
      </c>
      <c r="F148" s="113"/>
      <c r="G148" s="113"/>
      <c r="M148" s="66"/>
      <c r="N148" s="66"/>
      <c r="O148" s="66"/>
      <c r="P148" s="66"/>
      <c r="Q148" s="66"/>
      <c r="Y148" s="66"/>
      <c r="Z148" s="66"/>
      <c r="AA148" s="66"/>
      <c r="AB148" s="66"/>
      <c r="AC148" s="66"/>
    </row>
    <row r="149" spans="3:29">
      <c r="C149" s="75" t="s">
        <v>274</v>
      </c>
      <c r="D149" s="119" t="s">
        <v>265</v>
      </c>
      <c r="E149" s="119">
        <f t="shared" si="23"/>
        <v>10</v>
      </c>
      <c r="F149" s="113"/>
      <c r="G149" s="113"/>
      <c r="M149" s="66"/>
      <c r="N149" s="66"/>
      <c r="O149" s="66"/>
      <c r="P149" s="66"/>
      <c r="Q149" s="66"/>
      <c r="Y149" s="66"/>
      <c r="Z149" s="66"/>
      <c r="AA149" s="66"/>
      <c r="AB149" s="66"/>
      <c r="AC149" s="66"/>
    </row>
    <row r="150" spans="3:29">
      <c r="C150" s="75" t="s">
        <v>274</v>
      </c>
      <c r="D150" s="119" t="s">
        <v>267</v>
      </c>
      <c r="E150" s="119">
        <f t="shared" si="23"/>
        <v>10</v>
      </c>
      <c r="F150" s="113"/>
      <c r="G150" s="113"/>
      <c r="M150" s="66"/>
      <c r="N150" s="66"/>
      <c r="O150" s="66"/>
      <c r="P150" s="66"/>
      <c r="Q150" s="66"/>
      <c r="Y150" s="66"/>
      <c r="Z150" s="66"/>
      <c r="AA150" s="66"/>
      <c r="AB150" s="66"/>
      <c r="AC150" s="66"/>
    </row>
    <row r="151" spans="3:29">
      <c r="C151" s="75" t="s">
        <v>274</v>
      </c>
      <c r="D151" s="119" t="s">
        <v>268</v>
      </c>
      <c r="E151" s="119">
        <f t="shared" si="23"/>
        <v>10</v>
      </c>
      <c r="F151" s="113"/>
      <c r="G151" s="113"/>
      <c r="M151" s="66"/>
      <c r="N151" s="66"/>
      <c r="O151" s="66"/>
      <c r="P151" s="66"/>
      <c r="Q151" s="66"/>
      <c r="Y151" s="66"/>
      <c r="Z151" s="66"/>
      <c r="AA151" s="66"/>
      <c r="AB151" s="66"/>
      <c r="AC151" s="66"/>
    </row>
    <row r="152" spans="3:29">
      <c r="C152" s="75" t="s">
        <v>274</v>
      </c>
      <c r="D152" s="119" t="s">
        <v>270</v>
      </c>
      <c r="E152" s="119">
        <f t="shared" si="23"/>
        <v>10</v>
      </c>
      <c r="F152" s="113"/>
      <c r="G152" s="113"/>
      <c r="M152" s="66"/>
      <c r="N152" s="66"/>
      <c r="O152" s="66"/>
      <c r="P152" s="66"/>
      <c r="Q152" s="66"/>
      <c r="Y152" s="66"/>
      <c r="Z152" s="66"/>
      <c r="AA152" s="66"/>
      <c r="AB152" s="66"/>
      <c r="AC152" s="66"/>
    </row>
    <row r="153" spans="3:29">
      <c r="C153" s="75" t="s">
        <v>274</v>
      </c>
      <c r="D153" s="119" t="s">
        <v>272</v>
      </c>
      <c r="E153" s="119">
        <f t="shared" si="23"/>
        <v>10</v>
      </c>
      <c r="F153" s="113"/>
      <c r="G153" s="113"/>
      <c r="M153" s="66"/>
      <c r="N153" s="66"/>
      <c r="O153" s="66"/>
      <c r="P153" s="66"/>
      <c r="Q153" s="66"/>
      <c r="Y153" s="66"/>
      <c r="Z153" s="66"/>
      <c r="AA153" s="66"/>
      <c r="AB153" s="66"/>
      <c r="AC153" s="66"/>
    </row>
    <row r="154" spans="3:29">
      <c r="C154" s="75" t="s">
        <v>274</v>
      </c>
      <c r="D154" s="120" t="s">
        <v>273</v>
      </c>
      <c r="E154" s="119">
        <f t="shared" si="23"/>
        <v>10</v>
      </c>
      <c r="F154" s="113"/>
      <c r="G154" s="113"/>
      <c r="M154" s="66"/>
      <c r="N154" s="66"/>
      <c r="O154" s="66"/>
      <c r="P154" s="66"/>
      <c r="Q154" s="66"/>
      <c r="Y154" s="66"/>
      <c r="Z154" s="66"/>
      <c r="AA154" s="66"/>
      <c r="AB154" s="66"/>
      <c r="AC154" s="66"/>
    </row>
    <row r="161" spans="1:40">
      <c r="B161" s="67"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4">G88</f>
        <v>24.7</v>
      </c>
      <c r="H165">
        <f t="shared" si="24"/>
        <v>88</v>
      </c>
      <c r="I165">
        <f t="shared" si="24"/>
        <v>0</v>
      </c>
      <c r="J165">
        <f t="shared" si="24"/>
        <v>0</v>
      </c>
      <c r="K165">
        <f t="shared" si="24"/>
        <v>0</v>
      </c>
      <c r="L165">
        <f t="shared" si="24"/>
        <v>10</v>
      </c>
      <c r="M165">
        <f t="shared" si="24"/>
        <v>41</v>
      </c>
      <c r="N165">
        <f t="shared" si="24"/>
        <v>0</v>
      </c>
      <c r="O165">
        <f t="shared" si="24"/>
        <v>0</v>
      </c>
      <c r="P165">
        <f t="shared" si="24"/>
        <v>0</v>
      </c>
      <c r="Q165">
        <f t="shared" si="24"/>
        <v>0</v>
      </c>
      <c r="R165">
        <f t="shared" si="24"/>
        <v>0</v>
      </c>
      <c r="S165">
        <f t="shared" si="24"/>
        <v>0</v>
      </c>
      <c r="T165">
        <f t="shared" si="24"/>
        <v>0</v>
      </c>
      <c r="U165">
        <f t="shared" si="24"/>
        <v>0</v>
      </c>
      <c r="V165">
        <f t="shared" si="24"/>
        <v>0</v>
      </c>
      <c r="W165">
        <f t="shared" si="24"/>
        <v>0</v>
      </c>
      <c r="X165">
        <f t="shared" si="24"/>
        <v>0</v>
      </c>
      <c r="Y165">
        <f t="shared" si="24"/>
        <v>67</v>
      </c>
      <c r="Z165">
        <f t="shared" si="24"/>
        <v>0</v>
      </c>
      <c r="AA165">
        <f t="shared" si="24"/>
        <v>4.3</v>
      </c>
      <c r="AB165">
        <f t="shared" si="24"/>
        <v>0</v>
      </c>
      <c r="AC165">
        <f t="shared" si="24"/>
        <v>0</v>
      </c>
      <c r="AD165">
        <f t="shared" si="24"/>
        <v>4.6</v>
      </c>
      <c r="AE165">
        <f t="shared" si="24"/>
        <v>0</v>
      </c>
      <c r="AF165">
        <f t="shared" si="24"/>
        <v>0</v>
      </c>
      <c r="AG165">
        <f t="shared" si="24"/>
        <v>0</v>
      </c>
      <c r="AH165">
        <f t="shared" si="24"/>
        <v>0.4</v>
      </c>
      <c r="AI165">
        <f t="shared" si="24"/>
        <v>0</v>
      </c>
      <c r="AJ165">
        <f t="shared" si="24"/>
        <v>0</v>
      </c>
      <c r="AK165">
        <f t="shared" si="24"/>
        <v>0</v>
      </c>
      <c r="AL165">
        <f t="shared" si="24"/>
        <v>0</v>
      </c>
      <c r="AM165">
        <f t="shared" si="24"/>
        <v>0</v>
      </c>
      <c r="AN165" t="s">
        <v>187</v>
      </c>
    </row>
    <row r="166" spans="1:40">
      <c r="A166">
        <v>2025</v>
      </c>
      <c r="B166" t="s">
        <v>184</v>
      </c>
      <c r="C166" t="s">
        <v>185</v>
      </c>
      <c r="D166" t="s">
        <v>188</v>
      </c>
      <c r="E166" t="s">
        <v>189</v>
      </c>
      <c r="F166">
        <f t="shared" ref="F166:F171" si="25">F89</f>
        <v>0</v>
      </c>
      <c r="G166">
        <f t="shared" ref="G166:AM166" si="26">G89</f>
        <v>0</v>
      </c>
      <c r="H166">
        <f t="shared" si="26"/>
        <v>110</v>
      </c>
      <c r="I166">
        <f t="shared" si="26"/>
        <v>0</v>
      </c>
      <c r="J166">
        <f t="shared" si="26"/>
        <v>0</v>
      </c>
      <c r="K166">
        <f t="shared" si="26"/>
        <v>0</v>
      </c>
      <c r="L166">
        <f t="shared" si="26"/>
        <v>77</v>
      </c>
      <c r="M166">
        <f t="shared" si="26"/>
        <v>120</v>
      </c>
      <c r="N166">
        <f t="shared" si="26"/>
        <v>0</v>
      </c>
      <c r="O166">
        <f t="shared" si="26"/>
        <v>0</v>
      </c>
      <c r="P166">
        <f t="shared" si="26"/>
        <v>0</v>
      </c>
      <c r="Q166">
        <f t="shared" si="26"/>
        <v>0</v>
      </c>
      <c r="R166">
        <f t="shared" si="26"/>
        <v>0</v>
      </c>
      <c r="S166">
        <f t="shared" si="26"/>
        <v>0</v>
      </c>
      <c r="T166">
        <f t="shared" si="26"/>
        <v>0</v>
      </c>
      <c r="U166">
        <f t="shared" si="26"/>
        <v>0</v>
      </c>
      <c r="V166">
        <f t="shared" si="26"/>
        <v>0</v>
      </c>
      <c r="W166">
        <f t="shared" si="26"/>
        <v>0</v>
      </c>
      <c r="X166">
        <f t="shared" si="26"/>
        <v>0</v>
      </c>
      <c r="Y166">
        <f t="shared" si="26"/>
        <v>0</v>
      </c>
      <c r="Z166">
        <f t="shared" si="26"/>
        <v>0</v>
      </c>
      <c r="AA166">
        <f t="shared" si="26"/>
        <v>198</v>
      </c>
      <c r="AB166">
        <f t="shared" si="26"/>
        <v>0</v>
      </c>
      <c r="AC166">
        <f t="shared" si="26"/>
        <v>0</v>
      </c>
      <c r="AD166">
        <f t="shared" si="26"/>
        <v>2985</v>
      </c>
      <c r="AE166">
        <f t="shared" si="26"/>
        <v>210</v>
      </c>
      <c r="AF166">
        <f t="shared" si="26"/>
        <v>0</v>
      </c>
      <c r="AG166">
        <f t="shared" si="26"/>
        <v>0</v>
      </c>
      <c r="AH166">
        <f t="shared" si="26"/>
        <v>0</v>
      </c>
      <c r="AI166">
        <f t="shared" si="26"/>
        <v>0</v>
      </c>
      <c r="AJ166">
        <f t="shared" si="26"/>
        <v>0</v>
      </c>
      <c r="AK166">
        <f t="shared" si="26"/>
        <v>0</v>
      </c>
      <c r="AL166">
        <f t="shared" si="26"/>
        <v>0</v>
      </c>
      <c r="AM166">
        <f t="shared" si="26"/>
        <v>0</v>
      </c>
      <c r="AN166" t="s">
        <v>189</v>
      </c>
    </row>
    <row r="167" spans="1:40">
      <c r="A167">
        <v>2025</v>
      </c>
      <c r="B167" t="s">
        <v>184</v>
      </c>
      <c r="C167" t="s">
        <v>185</v>
      </c>
      <c r="D167" t="s">
        <v>190</v>
      </c>
      <c r="E167" t="s">
        <v>191</v>
      </c>
      <c r="F167">
        <f t="shared" si="25"/>
        <v>0</v>
      </c>
      <c r="G167">
        <f t="shared" ref="G167:AM167" si="27">G90</f>
        <v>222.6</v>
      </c>
      <c r="H167">
        <f t="shared" si="27"/>
        <v>3.6</v>
      </c>
      <c r="I167">
        <f t="shared" si="27"/>
        <v>0</v>
      </c>
      <c r="J167">
        <f t="shared" si="27"/>
        <v>0</v>
      </c>
      <c r="K167">
        <f t="shared" si="27"/>
        <v>0</v>
      </c>
      <c r="L167">
        <f t="shared" si="27"/>
        <v>0</v>
      </c>
      <c r="M167">
        <f t="shared" si="27"/>
        <v>0</v>
      </c>
      <c r="N167">
        <f t="shared" si="27"/>
        <v>0</v>
      </c>
      <c r="O167">
        <f t="shared" si="27"/>
        <v>0</v>
      </c>
      <c r="P167">
        <f t="shared" si="27"/>
        <v>0</v>
      </c>
      <c r="Q167">
        <f t="shared" si="27"/>
        <v>0</v>
      </c>
      <c r="R167">
        <f t="shared" si="27"/>
        <v>0</v>
      </c>
      <c r="S167">
        <f t="shared" si="27"/>
        <v>0</v>
      </c>
      <c r="T167">
        <f t="shared" si="27"/>
        <v>0</v>
      </c>
      <c r="U167">
        <f t="shared" si="27"/>
        <v>0</v>
      </c>
      <c r="V167">
        <f t="shared" si="27"/>
        <v>0</v>
      </c>
      <c r="W167">
        <f t="shared" si="27"/>
        <v>0</v>
      </c>
      <c r="X167">
        <f t="shared" si="27"/>
        <v>0</v>
      </c>
      <c r="Y167">
        <f t="shared" si="27"/>
        <v>3.5</v>
      </c>
      <c r="Z167">
        <f t="shared" si="27"/>
        <v>0</v>
      </c>
      <c r="AA167">
        <f t="shared" si="27"/>
        <v>4.8</v>
      </c>
      <c r="AB167">
        <f t="shared" si="27"/>
        <v>0</v>
      </c>
      <c r="AC167">
        <f t="shared" si="27"/>
        <v>0</v>
      </c>
      <c r="AD167">
        <f t="shared" si="27"/>
        <v>43.8</v>
      </c>
      <c r="AE167">
        <f t="shared" si="27"/>
        <v>8.7</v>
      </c>
      <c r="AF167">
        <f t="shared" si="27"/>
        <v>0</v>
      </c>
      <c r="AG167">
        <f t="shared" si="27"/>
        <v>0</v>
      </c>
      <c r="AH167">
        <f t="shared" si="27"/>
        <v>0</v>
      </c>
      <c r="AI167">
        <f t="shared" si="27"/>
        <v>0</v>
      </c>
      <c r="AJ167">
        <f t="shared" si="27"/>
        <v>0</v>
      </c>
      <c r="AK167">
        <f t="shared" si="27"/>
        <v>2.7</v>
      </c>
      <c r="AL167">
        <f t="shared" si="27"/>
        <v>0</v>
      </c>
      <c r="AM167">
        <f t="shared" si="27"/>
        <v>0</v>
      </c>
      <c r="AN167" t="s">
        <v>191</v>
      </c>
    </row>
    <row r="168" spans="1:40">
      <c r="A168">
        <v>2025</v>
      </c>
      <c r="B168" t="s">
        <v>184</v>
      </c>
      <c r="C168" t="s">
        <v>185</v>
      </c>
      <c r="D168" t="s">
        <v>192</v>
      </c>
      <c r="E168" t="s">
        <v>193</v>
      </c>
      <c r="F168">
        <f t="shared" si="25"/>
        <v>0</v>
      </c>
      <c r="G168">
        <f t="shared" ref="G168:AM168" si="28">G91</f>
        <v>5780</v>
      </c>
      <c r="H168">
        <f t="shared" si="28"/>
        <v>2800</v>
      </c>
      <c r="I168">
        <f t="shared" si="28"/>
        <v>0</v>
      </c>
      <c r="J168">
        <f t="shared" si="28"/>
        <v>0</v>
      </c>
      <c r="K168">
        <f t="shared" si="28"/>
        <v>0</v>
      </c>
      <c r="L168">
        <f t="shared" si="28"/>
        <v>590</v>
      </c>
      <c r="M168">
        <f t="shared" si="28"/>
        <v>770</v>
      </c>
      <c r="N168">
        <f t="shared" si="28"/>
        <v>0</v>
      </c>
      <c r="O168">
        <f t="shared" si="28"/>
        <v>0</v>
      </c>
      <c r="P168">
        <f t="shared" si="28"/>
        <v>0</v>
      </c>
      <c r="Q168">
        <f t="shared" si="28"/>
        <v>0</v>
      </c>
      <c r="R168">
        <f t="shared" si="28"/>
        <v>0</v>
      </c>
      <c r="S168">
        <f t="shared" si="28"/>
        <v>0</v>
      </c>
      <c r="T168">
        <f t="shared" si="28"/>
        <v>0</v>
      </c>
      <c r="U168">
        <f t="shared" si="28"/>
        <v>800</v>
      </c>
      <c r="V168">
        <f t="shared" si="28"/>
        <v>0</v>
      </c>
      <c r="W168">
        <f t="shared" si="28"/>
        <v>0</v>
      </c>
      <c r="X168">
        <f t="shared" si="28"/>
        <v>0</v>
      </c>
      <c r="Y168">
        <f t="shared" si="28"/>
        <v>0</v>
      </c>
      <c r="Z168">
        <f t="shared" si="28"/>
        <v>0</v>
      </c>
      <c r="AA168">
        <f t="shared" si="28"/>
        <v>0</v>
      </c>
      <c r="AB168">
        <f t="shared" si="28"/>
        <v>0</v>
      </c>
      <c r="AC168">
        <f t="shared" si="28"/>
        <v>0</v>
      </c>
      <c r="AD168">
        <f t="shared" si="28"/>
        <v>2060</v>
      </c>
      <c r="AE168">
        <f t="shared" si="28"/>
        <v>0</v>
      </c>
      <c r="AF168">
        <f t="shared" si="28"/>
        <v>0</v>
      </c>
      <c r="AG168">
        <f t="shared" si="28"/>
        <v>7400</v>
      </c>
      <c r="AH168">
        <f t="shared" si="28"/>
        <v>0</v>
      </c>
      <c r="AI168">
        <f t="shared" si="28"/>
        <v>0</v>
      </c>
      <c r="AJ168">
        <f t="shared" si="28"/>
        <v>0</v>
      </c>
      <c r="AK168">
        <f t="shared" si="28"/>
        <v>0</v>
      </c>
      <c r="AL168">
        <f t="shared" si="28"/>
        <v>0</v>
      </c>
      <c r="AM168">
        <f t="shared" si="28"/>
        <v>0</v>
      </c>
      <c r="AN168" t="s">
        <v>193</v>
      </c>
    </row>
    <row r="169" spans="1:40">
      <c r="A169">
        <v>2025</v>
      </c>
      <c r="B169" t="s">
        <v>184</v>
      </c>
      <c r="C169" t="s">
        <v>185</v>
      </c>
      <c r="D169" s="66" t="s">
        <v>194</v>
      </c>
      <c r="E169" t="s">
        <v>195</v>
      </c>
      <c r="F169">
        <f t="shared" si="25"/>
        <v>0</v>
      </c>
      <c r="G169">
        <f t="shared" ref="G169:AM169" si="29">G92</f>
        <v>159</v>
      </c>
      <c r="H169">
        <f t="shared" si="29"/>
        <v>9522</v>
      </c>
      <c r="I169">
        <f t="shared" si="29"/>
        <v>0</v>
      </c>
      <c r="J169">
        <f t="shared" si="29"/>
        <v>0</v>
      </c>
      <c r="K169">
        <f t="shared" si="29"/>
        <v>0</v>
      </c>
      <c r="L169">
        <f t="shared" si="29"/>
        <v>5819</v>
      </c>
      <c r="M169">
        <f t="shared" si="29"/>
        <v>44436</v>
      </c>
      <c r="N169">
        <f t="shared" si="29"/>
        <v>0</v>
      </c>
      <c r="O169">
        <f t="shared" si="29"/>
        <v>0</v>
      </c>
      <c r="P169">
        <f t="shared" si="29"/>
        <v>0</v>
      </c>
      <c r="Q169">
        <f t="shared" si="29"/>
        <v>508</v>
      </c>
      <c r="R169">
        <f t="shared" si="29"/>
        <v>455</v>
      </c>
      <c r="S169">
        <f t="shared" si="29"/>
        <v>0</v>
      </c>
      <c r="T169">
        <f t="shared" si="29"/>
        <v>0</v>
      </c>
      <c r="U169">
        <f t="shared" si="29"/>
        <v>4020</v>
      </c>
      <c r="V169">
        <f t="shared" si="29"/>
        <v>846</v>
      </c>
      <c r="W169">
        <f t="shared" si="29"/>
        <v>0</v>
      </c>
      <c r="X169">
        <f t="shared" si="29"/>
        <v>0</v>
      </c>
      <c r="Y169">
        <f t="shared" si="29"/>
        <v>0</v>
      </c>
      <c r="Z169">
        <f t="shared" si="29"/>
        <v>1270</v>
      </c>
      <c r="AA169">
        <f t="shared" si="29"/>
        <v>1175</v>
      </c>
      <c r="AB169">
        <f t="shared" si="29"/>
        <v>0</v>
      </c>
      <c r="AC169">
        <f t="shared" si="29"/>
        <v>0</v>
      </c>
      <c r="AD169">
        <f t="shared" si="29"/>
        <v>3015</v>
      </c>
      <c r="AE169">
        <f t="shared" si="29"/>
        <v>1534</v>
      </c>
      <c r="AF169">
        <f t="shared" si="29"/>
        <v>952</v>
      </c>
      <c r="AG169">
        <f t="shared" si="29"/>
        <v>0</v>
      </c>
      <c r="AH169">
        <f t="shared" si="29"/>
        <v>434</v>
      </c>
      <c r="AI169">
        <f t="shared" si="29"/>
        <v>0</v>
      </c>
      <c r="AJ169">
        <f t="shared" si="29"/>
        <v>0</v>
      </c>
      <c r="AK169">
        <f t="shared" si="29"/>
        <v>169</v>
      </c>
      <c r="AL169">
        <f t="shared" si="29"/>
        <v>0</v>
      </c>
      <c r="AM169">
        <f t="shared" si="29"/>
        <v>0</v>
      </c>
      <c r="AN169" t="s">
        <v>195</v>
      </c>
    </row>
    <row r="170" spans="1:40">
      <c r="A170">
        <v>2025</v>
      </c>
      <c r="B170" t="s">
        <v>184</v>
      </c>
      <c r="C170" s="66" t="s">
        <v>185</v>
      </c>
      <c r="D170" s="66" t="s">
        <v>196</v>
      </c>
      <c r="E170" t="s">
        <v>197</v>
      </c>
      <c r="F170">
        <f t="shared" si="25"/>
        <v>0</v>
      </c>
      <c r="G170">
        <f t="shared" ref="G170:AM170" si="30">G93</f>
        <v>3980</v>
      </c>
      <c r="H170">
        <f t="shared" si="30"/>
        <v>800</v>
      </c>
      <c r="I170">
        <f t="shared" si="30"/>
        <v>0</v>
      </c>
      <c r="J170">
        <f t="shared" si="30"/>
        <v>0</v>
      </c>
      <c r="K170">
        <f t="shared" si="30"/>
        <v>0</v>
      </c>
      <c r="L170">
        <f t="shared" si="30"/>
        <v>0</v>
      </c>
      <c r="M170">
        <f t="shared" si="30"/>
        <v>1800</v>
      </c>
      <c r="N170">
        <f t="shared" si="30"/>
        <v>0</v>
      </c>
      <c r="O170">
        <f t="shared" si="30"/>
        <v>0</v>
      </c>
      <c r="P170">
        <f t="shared" si="30"/>
        <v>0</v>
      </c>
      <c r="Q170">
        <f t="shared" si="30"/>
        <v>0</v>
      </c>
      <c r="R170">
        <f t="shared" si="30"/>
        <v>0</v>
      </c>
      <c r="S170">
        <f t="shared" si="30"/>
        <v>0</v>
      </c>
      <c r="T170">
        <f t="shared" si="30"/>
        <v>0</v>
      </c>
      <c r="U170">
        <f t="shared" si="30"/>
        <v>30</v>
      </c>
      <c r="V170">
        <f t="shared" si="30"/>
        <v>0</v>
      </c>
      <c r="W170">
        <f t="shared" si="30"/>
        <v>0</v>
      </c>
      <c r="X170">
        <f t="shared" si="30"/>
        <v>0</v>
      </c>
      <c r="Y170">
        <f t="shared" si="30"/>
        <v>7900</v>
      </c>
      <c r="Z170">
        <f t="shared" si="30"/>
        <v>0</v>
      </c>
      <c r="AA170">
        <f t="shared" si="30"/>
        <v>2250</v>
      </c>
      <c r="AB170">
        <f t="shared" si="30"/>
        <v>0</v>
      </c>
      <c r="AC170">
        <f t="shared" si="30"/>
        <v>410</v>
      </c>
      <c r="AD170">
        <f t="shared" si="30"/>
        <v>4700</v>
      </c>
      <c r="AE170">
        <f t="shared" si="30"/>
        <v>930</v>
      </c>
      <c r="AF170">
        <f t="shared" si="30"/>
        <v>0</v>
      </c>
      <c r="AG170">
        <f t="shared" si="30"/>
        <v>0</v>
      </c>
      <c r="AH170">
        <f t="shared" si="30"/>
        <v>0</v>
      </c>
      <c r="AI170">
        <f t="shared" si="30"/>
        <v>0</v>
      </c>
      <c r="AJ170">
        <f t="shared" si="30"/>
        <v>0</v>
      </c>
      <c r="AK170">
        <f t="shared" si="30"/>
        <v>0</v>
      </c>
      <c r="AL170">
        <f t="shared" si="30"/>
        <v>0</v>
      </c>
      <c r="AM170">
        <f t="shared" si="30"/>
        <v>0</v>
      </c>
      <c r="AN170" t="s">
        <v>197</v>
      </c>
    </row>
    <row r="171" spans="1:40">
      <c r="A171">
        <v>2025</v>
      </c>
      <c r="B171" t="s">
        <v>184</v>
      </c>
      <c r="C171" s="66" t="s">
        <v>185</v>
      </c>
      <c r="D171" s="66" t="s">
        <v>198</v>
      </c>
      <c r="E171" t="s">
        <v>199</v>
      </c>
      <c r="F171">
        <f t="shared" si="25"/>
        <v>0</v>
      </c>
      <c r="G171">
        <f t="shared" ref="G171:AM171" si="31">G94</f>
        <v>189</v>
      </c>
      <c r="H171">
        <f t="shared" si="31"/>
        <v>0</v>
      </c>
      <c r="I171">
        <f t="shared" si="31"/>
        <v>0.5</v>
      </c>
      <c r="J171">
        <f t="shared" si="31"/>
        <v>0</v>
      </c>
      <c r="K171">
        <f t="shared" si="31"/>
        <v>0</v>
      </c>
      <c r="L171">
        <f t="shared" si="31"/>
        <v>68</v>
      </c>
      <c r="M171">
        <f t="shared" si="31"/>
        <v>1270</v>
      </c>
      <c r="N171">
        <f t="shared" si="31"/>
        <v>0</v>
      </c>
      <c r="O171">
        <f t="shared" si="31"/>
        <v>0</v>
      </c>
      <c r="P171">
        <f t="shared" si="31"/>
        <v>0</v>
      </c>
      <c r="Q171">
        <f t="shared" si="31"/>
        <v>0.2</v>
      </c>
      <c r="R171">
        <f t="shared" si="31"/>
        <v>0</v>
      </c>
      <c r="S171">
        <f t="shared" si="31"/>
        <v>0</v>
      </c>
      <c r="T171">
        <f t="shared" si="31"/>
        <v>0</v>
      </c>
      <c r="U171">
        <f t="shared" si="31"/>
        <v>28</v>
      </c>
      <c r="V171">
        <f t="shared" si="31"/>
        <v>0</v>
      </c>
      <c r="W171">
        <f t="shared" si="31"/>
        <v>0</v>
      </c>
      <c r="X171">
        <f t="shared" si="31"/>
        <v>0</v>
      </c>
      <c r="Y171">
        <f t="shared" si="31"/>
        <v>0</v>
      </c>
      <c r="Z171">
        <f t="shared" si="31"/>
        <v>0</v>
      </c>
      <c r="AA171">
        <f t="shared" si="31"/>
        <v>20.9</v>
      </c>
      <c r="AB171">
        <f t="shared" si="31"/>
        <v>7</v>
      </c>
      <c r="AC171">
        <f t="shared" si="31"/>
        <v>0</v>
      </c>
      <c r="AD171">
        <f t="shared" si="31"/>
        <v>22.9</v>
      </c>
      <c r="AE171">
        <f t="shared" si="31"/>
        <v>20</v>
      </c>
      <c r="AF171">
        <f t="shared" si="31"/>
        <v>0</v>
      </c>
      <c r="AG171">
        <f t="shared" si="31"/>
        <v>0</v>
      </c>
      <c r="AH171">
        <f t="shared" si="31"/>
        <v>0</v>
      </c>
      <c r="AI171">
        <f t="shared" si="31"/>
        <v>0</v>
      </c>
      <c r="AJ171">
        <f t="shared" si="31"/>
        <v>0</v>
      </c>
      <c r="AK171">
        <f t="shared" si="31"/>
        <v>3</v>
      </c>
      <c r="AL171">
        <f t="shared" si="31"/>
        <v>0</v>
      </c>
      <c r="AM171">
        <f t="shared" si="31"/>
        <v>1.2</v>
      </c>
      <c r="AN171" t="s">
        <v>199</v>
      </c>
    </row>
    <row r="178" spans="1:40">
      <c r="B178" s="67"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2">F165/1*10</f>
        <v>0</v>
      </c>
      <c r="G181">
        <f t="shared" si="32"/>
        <v>247</v>
      </c>
      <c r="H181">
        <f t="shared" si="32"/>
        <v>880</v>
      </c>
      <c r="I181">
        <f t="shared" si="32"/>
        <v>0</v>
      </c>
      <c r="J181">
        <f t="shared" si="32"/>
        <v>0</v>
      </c>
      <c r="K181">
        <f t="shared" si="32"/>
        <v>0</v>
      </c>
      <c r="L181">
        <f t="shared" si="32"/>
        <v>100</v>
      </c>
      <c r="M181">
        <f t="shared" si="32"/>
        <v>410</v>
      </c>
      <c r="N181">
        <f t="shared" si="32"/>
        <v>0</v>
      </c>
      <c r="O181">
        <f t="shared" si="32"/>
        <v>0</v>
      </c>
      <c r="P181">
        <f t="shared" si="32"/>
        <v>0</v>
      </c>
      <c r="Q181">
        <f t="shared" si="32"/>
        <v>0</v>
      </c>
      <c r="R181">
        <f t="shared" si="32"/>
        <v>0</v>
      </c>
      <c r="S181">
        <f t="shared" si="32"/>
        <v>0</v>
      </c>
      <c r="T181">
        <f t="shared" si="32"/>
        <v>0</v>
      </c>
      <c r="U181">
        <f t="shared" si="32"/>
        <v>0</v>
      </c>
      <c r="V181">
        <f t="shared" si="32"/>
        <v>0</v>
      </c>
      <c r="W181">
        <f t="shared" si="32"/>
        <v>0</v>
      </c>
      <c r="X181">
        <f t="shared" si="32"/>
        <v>0</v>
      </c>
      <c r="Y181">
        <f t="shared" si="32"/>
        <v>670</v>
      </c>
      <c r="Z181">
        <f t="shared" si="32"/>
        <v>0</v>
      </c>
      <c r="AA181">
        <f t="shared" si="32"/>
        <v>43</v>
      </c>
      <c r="AB181">
        <f t="shared" si="32"/>
        <v>0</v>
      </c>
      <c r="AC181">
        <f t="shared" si="32"/>
        <v>0</v>
      </c>
      <c r="AD181">
        <f t="shared" si="32"/>
        <v>46</v>
      </c>
      <c r="AE181">
        <f t="shared" si="32"/>
        <v>0</v>
      </c>
      <c r="AF181">
        <f t="shared" si="32"/>
        <v>0</v>
      </c>
      <c r="AG181">
        <f t="shared" si="32"/>
        <v>0</v>
      </c>
      <c r="AH181">
        <f t="shared" si="32"/>
        <v>4</v>
      </c>
      <c r="AI181">
        <f t="shared" si="32"/>
        <v>0</v>
      </c>
      <c r="AJ181">
        <f t="shared" si="32"/>
        <v>0</v>
      </c>
      <c r="AK181">
        <f t="shared" si="32"/>
        <v>0</v>
      </c>
      <c r="AL181">
        <f t="shared" si="32"/>
        <v>0</v>
      </c>
      <c r="AM181">
        <f t="shared" si="32"/>
        <v>0</v>
      </c>
      <c r="AN181" t="s">
        <v>187</v>
      </c>
    </row>
    <row r="182" spans="1:40">
      <c r="A182">
        <f t="shared" ref="A182:A187" si="33">A181</f>
        <v>2050</v>
      </c>
      <c r="B182" t="s">
        <v>184</v>
      </c>
      <c r="C182" t="s">
        <v>185</v>
      </c>
      <c r="D182" t="s">
        <v>188</v>
      </c>
      <c r="E182" t="s">
        <v>189</v>
      </c>
      <c r="F182">
        <f t="shared" ref="F182:AM182" si="34">F166/1*10</f>
        <v>0</v>
      </c>
      <c r="G182">
        <f t="shared" si="34"/>
        <v>0</v>
      </c>
      <c r="H182">
        <f t="shared" si="34"/>
        <v>1100</v>
      </c>
      <c r="I182">
        <f t="shared" si="34"/>
        <v>0</v>
      </c>
      <c r="J182">
        <f t="shared" si="34"/>
        <v>0</v>
      </c>
      <c r="K182">
        <f t="shared" si="34"/>
        <v>0</v>
      </c>
      <c r="L182">
        <f t="shared" si="34"/>
        <v>770</v>
      </c>
      <c r="M182">
        <f t="shared" si="34"/>
        <v>1200</v>
      </c>
      <c r="N182">
        <f t="shared" si="34"/>
        <v>0</v>
      </c>
      <c r="O182">
        <f t="shared" si="34"/>
        <v>0</v>
      </c>
      <c r="P182">
        <f t="shared" si="34"/>
        <v>0</v>
      </c>
      <c r="Q182">
        <f t="shared" si="34"/>
        <v>0</v>
      </c>
      <c r="R182">
        <f t="shared" si="34"/>
        <v>0</v>
      </c>
      <c r="S182">
        <f t="shared" si="34"/>
        <v>0</v>
      </c>
      <c r="T182">
        <f t="shared" si="34"/>
        <v>0</v>
      </c>
      <c r="U182">
        <f t="shared" si="34"/>
        <v>0</v>
      </c>
      <c r="V182">
        <f t="shared" si="34"/>
        <v>0</v>
      </c>
      <c r="W182">
        <f t="shared" si="34"/>
        <v>0</v>
      </c>
      <c r="X182">
        <f t="shared" si="34"/>
        <v>0</v>
      </c>
      <c r="Y182">
        <f t="shared" si="34"/>
        <v>0</v>
      </c>
      <c r="Z182">
        <f t="shared" si="34"/>
        <v>0</v>
      </c>
      <c r="AA182">
        <f t="shared" si="34"/>
        <v>1980</v>
      </c>
      <c r="AB182">
        <f t="shared" si="34"/>
        <v>0</v>
      </c>
      <c r="AC182">
        <f t="shared" si="34"/>
        <v>0</v>
      </c>
      <c r="AD182">
        <f t="shared" si="34"/>
        <v>29850</v>
      </c>
      <c r="AE182">
        <f t="shared" si="34"/>
        <v>2100</v>
      </c>
      <c r="AF182">
        <f t="shared" si="34"/>
        <v>0</v>
      </c>
      <c r="AG182">
        <f t="shared" si="34"/>
        <v>0</v>
      </c>
      <c r="AH182">
        <f t="shared" si="34"/>
        <v>0</v>
      </c>
      <c r="AI182">
        <f t="shared" si="34"/>
        <v>0</v>
      </c>
      <c r="AJ182">
        <f t="shared" si="34"/>
        <v>0</v>
      </c>
      <c r="AK182">
        <f t="shared" si="34"/>
        <v>0</v>
      </c>
      <c r="AL182">
        <f t="shared" si="34"/>
        <v>0</v>
      </c>
      <c r="AM182">
        <f t="shared" si="34"/>
        <v>0</v>
      </c>
      <c r="AN182" t="s">
        <v>189</v>
      </c>
    </row>
    <row r="183" spans="1:40">
      <c r="A183">
        <f t="shared" si="33"/>
        <v>2050</v>
      </c>
      <c r="B183" t="s">
        <v>184</v>
      </c>
      <c r="C183" t="s">
        <v>185</v>
      </c>
      <c r="D183" t="s">
        <v>190</v>
      </c>
      <c r="E183" t="s">
        <v>191</v>
      </c>
      <c r="F183">
        <f t="shared" ref="F183:AM183" si="35">F167/1*10</f>
        <v>0</v>
      </c>
      <c r="G183">
        <f t="shared" si="35"/>
        <v>2226</v>
      </c>
      <c r="H183">
        <f t="shared" si="35"/>
        <v>36</v>
      </c>
      <c r="I183">
        <f t="shared" si="35"/>
        <v>0</v>
      </c>
      <c r="J183">
        <f t="shared" si="35"/>
        <v>0</v>
      </c>
      <c r="K183">
        <f t="shared" si="35"/>
        <v>0</v>
      </c>
      <c r="L183">
        <f t="shared" si="35"/>
        <v>0</v>
      </c>
      <c r="M183">
        <f t="shared" si="35"/>
        <v>0</v>
      </c>
      <c r="N183">
        <f t="shared" si="35"/>
        <v>0</v>
      </c>
      <c r="O183">
        <f t="shared" si="35"/>
        <v>0</v>
      </c>
      <c r="P183">
        <f t="shared" si="35"/>
        <v>0</v>
      </c>
      <c r="Q183">
        <f t="shared" si="35"/>
        <v>0</v>
      </c>
      <c r="R183">
        <f t="shared" si="35"/>
        <v>0</v>
      </c>
      <c r="S183">
        <f t="shared" si="35"/>
        <v>0</v>
      </c>
      <c r="T183">
        <f t="shared" si="35"/>
        <v>0</v>
      </c>
      <c r="U183">
        <f t="shared" si="35"/>
        <v>0</v>
      </c>
      <c r="V183">
        <f t="shared" si="35"/>
        <v>0</v>
      </c>
      <c r="W183">
        <f t="shared" si="35"/>
        <v>0</v>
      </c>
      <c r="X183">
        <f t="shared" si="35"/>
        <v>0</v>
      </c>
      <c r="Y183">
        <f t="shared" si="35"/>
        <v>35</v>
      </c>
      <c r="Z183">
        <f t="shared" si="35"/>
        <v>0</v>
      </c>
      <c r="AA183">
        <f t="shared" si="35"/>
        <v>48</v>
      </c>
      <c r="AB183">
        <f t="shared" si="35"/>
        <v>0</v>
      </c>
      <c r="AC183">
        <f t="shared" si="35"/>
        <v>0</v>
      </c>
      <c r="AD183">
        <f t="shared" si="35"/>
        <v>438</v>
      </c>
      <c r="AE183">
        <f t="shared" si="35"/>
        <v>87</v>
      </c>
      <c r="AF183">
        <f t="shared" si="35"/>
        <v>0</v>
      </c>
      <c r="AG183">
        <f t="shared" si="35"/>
        <v>0</v>
      </c>
      <c r="AH183">
        <f t="shared" si="35"/>
        <v>0</v>
      </c>
      <c r="AI183">
        <f t="shared" si="35"/>
        <v>0</v>
      </c>
      <c r="AJ183">
        <f t="shared" si="35"/>
        <v>0</v>
      </c>
      <c r="AK183">
        <f t="shared" si="35"/>
        <v>27</v>
      </c>
      <c r="AL183">
        <f t="shared" si="35"/>
        <v>0</v>
      </c>
      <c r="AM183">
        <f t="shared" si="35"/>
        <v>0</v>
      </c>
      <c r="AN183" t="s">
        <v>191</v>
      </c>
    </row>
    <row r="184" spans="1:40">
      <c r="A184">
        <f t="shared" si="33"/>
        <v>2050</v>
      </c>
      <c r="B184" t="s">
        <v>184</v>
      </c>
      <c r="C184" t="s">
        <v>185</v>
      </c>
      <c r="D184" t="s">
        <v>192</v>
      </c>
      <c r="E184" t="s">
        <v>193</v>
      </c>
      <c r="F184">
        <f t="shared" ref="F184:AM184" si="36">F168/1*10</f>
        <v>0</v>
      </c>
      <c r="G184">
        <f t="shared" si="36"/>
        <v>57800</v>
      </c>
      <c r="H184">
        <f t="shared" si="36"/>
        <v>28000</v>
      </c>
      <c r="I184">
        <f t="shared" si="36"/>
        <v>0</v>
      </c>
      <c r="J184">
        <f t="shared" si="36"/>
        <v>0</v>
      </c>
      <c r="K184">
        <f t="shared" si="36"/>
        <v>0</v>
      </c>
      <c r="L184">
        <f t="shared" si="36"/>
        <v>5900</v>
      </c>
      <c r="M184">
        <f t="shared" si="36"/>
        <v>7700</v>
      </c>
      <c r="N184">
        <f t="shared" si="36"/>
        <v>0</v>
      </c>
      <c r="O184">
        <f t="shared" si="36"/>
        <v>0</v>
      </c>
      <c r="P184">
        <f t="shared" si="36"/>
        <v>0</v>
      </c>
      <c r="Q184">
        <f t="shared" si="36"/>
        <v>0</v>
      </c>
      <c r="R184">
        <f t="shared" si="36"/>
        <v>0</v>
      </c>
      <c r="S184">
        <f t="shared" si="36"/>
        <v>0</v>
      </c>
      <c r="T184">
        <f t="shared" si="36"/>
        <v>0</v>
      </c>
      <c r="U184">
        <f t="shared" si="36"/>
        <v>8000</v>
      </c>
      <c r="V184">
        <f t="shared" si="36"/>
        <v>0</v>
      </c>
      <c r="W184">
        <f t="shared" si="36"/>
        <v>0</v>
      </c>
      <c r="X184">
        <f t="shared" si="36"/>
        <v>0</v>
      </c>
      <c r="Y184">
        <f t="shared" si="36"/>
        <v>0</v>
      </c>
      <c r="Z184">
        <f t="shared" si="36"/>
        <v>0</v>
      </c>
      <c r="AA184">
        <f t="shared" si="36"/>
        <v>0</v>
      </c>
      <c r="AB184">
        <f t="shared" si="36"/>
        <v>0</v>
      </c>
      <c r="AC184">
        <f t="shared" si="36"/>
        <v>0</v>
      </c>
      <c r="AD184">
        <f t="shared" si="36"/>
        <v>20600</v>
      </c>
      <c r="AE184">
        <f t="shared" si="36"/>
        <v>0</v>
      </c>
      <c r="AF184">
        <f t="shared" si="36"/>
        <v>0</v>
      </c>
      <c r="AG184">
        <f t="shared" si="36"/>
        <v>74000</v>
      </c>
      <c r="AH184">
        <f t="shared" si="36"/>
        <v>0</v>
      </c>
      <c r="AI184">
        <f t="shared" si="36"/>
        <v>0</v>
      </c>
      <c r="AJ184">
        <f t="shared" si="36"/>
        <v>0</v>
      </c>
      <c r="AK184">
        <f t="shared" si="36"/>
        <v>0</v>
      </c>
      <c r="AL184">
        <f t="shared" si="36"/>
        <v>0</v>
      </c>
      <c r="AM184">
        <f t="shared" si="36"/>
        <v>0</v>
      </c>
      <c r="AN184" t="s">
        <v>193</v>
      </c>
    </row>
    <row r="185" spans="1:40">
      <c r="A185">
        <f t="shared" si="33"/>
        <v>2050</v>
      </c>
      <c r="B185" t="s">
        <v>184</v>
      </c>
      <c r="C185" t="s">
        <v>185</v>
      </c>
      <c r="D185" t="s">
        <v>194</v>
      </c>
      <c r="E185" t="s">
        <v>195</v>
      </c>
      <c r="F185">
        <f t="shared" ref="F185:AM185" si="37">F169/1*10</f>
        <v>0</v>
      </c>
      <c r="G185">
        <f t="shared" si="37"/>
        <v>1590</v>
      </c>
      <c r="H185">
        <f t="shared" si="37"/>
        <v>95220</v>
      </c>
      <c r="I185">
        <f t="shared" si="37"/>
        <v>0</v>
      </c>
      <c r="J185">
        <f t="shared" si="37"/>
        <v>0</v>
      </c>
      <c r="K185">
        <f t="shared" si="37"/>
        <v>0</v>
      </c>
      <c r="L185">
        <f t="shared" si="37"/>
        <v>58190</v>
      </c>
      <c r="M185">
        <f t="shared" si="37"/>
        <v>444360</v>
      </c>
      <c r="N185">
        <f t="shared" si="37"/>
        <v>0</v>
      </c>
      <c r="O185">
        <f t="shared" si="37"/>
        <v>0</v>
      </c>
      <c r="P185">
        <f t="shared" si="37"/>
        <v>0</v>
      </c>
      <c r="Q185">
        <f t="shared" si="37"/>
        <v>5080</v>
      </c>
      <c r="R185">
        <f t="shared" si="37"/>
        <v>4550</v>
      </c>
      <c r="S185">
        <f t="shared" si="37"/>
        <v>0</v>
      </c>
      <c r="T185">
        <f t="shared" si="37"/>
        <v>0</v>
      </c>
      <c r="U185">
        <f t="shared" si="37"/>
        <v>40200</v>
      </c>
      <c r="V185">
        <f t="shared" si="37"/>
        <v>8460</v>
      </c>
      <c r="W185">
        <f t="shared" si="37"/>
        <v>0</v>
      </c>
      <c r="X185">
        <f t="shared" si="37"/>
        <v>0</v>
      </c>
      <c r="Y185">
        <f t="shared" si="37"/>
        <v>0</v>
      </c>
      <c r="Z185">
        <f t="shared" si="37"/>
        <v>12700</v>
      </c>
      <c r="AA185">
        <f t="shared" si="37"/>
        <v>11750</v>
      </c>
      <c r="AB185">
        <f t="shared" si="37"/>
        <v>0</v>
      </c>
      <c r="AC185">
        <f t="shared" si="37"/>
        <v>0</v>
      </c>
      <c r="AD185">
        <f t="shared" si="37"/>
        <v>30150</v>
      </c>
      <c r="AE185">
        <f t="shared" si="37"/>
        <v>15340</v>
      </c>
      <c r="AF185">
        <f t="shared" si="37"/>
        <v>9520</v>
      </c>
      <c r="AG185">
        <f t="shared" si="37"/>
        <v>0</v>
      </c>
      <c r="AH185">
        <f t="shared" si="37"/>
        <v>4340</v>
      </c>
      <c r="AI185">
        <f t="shared" si="37"/>
        <v>0</v>
      </c>
      <c r="AJ185">
        <f t="shared" si="37"/>
        <v>0</v>
      </c>
      <c r="AK185">
        <f t="shared" si="37"/>
        <v>1690</v>
      </c>
      <c r="AL185">
        <f t="shared" si="37"/>
        <v>0</v>
      </c>
      <c r="AM185">
        <f t="shared" si="37"/>
        <v>0</v>
      </c>
      <c r="AN185" t="s">
        <v>195</v>
      </c>
    </row>
    <row r="186" spans="1:40">
      <c r="A186">
        <f t="shared" si="33"/>
        <v>2050</v>
      </c>
      <c r="B186" t="s">
        <v>184</v>
      </c>
      <c r="C186" t="s">
        <v>185</v>
      </c>
      <c r="D186" t="s">
        <v>196</v>
      </c>
      <c r="E186" t="s">
        <v>197</v>
      </c>
      <c r="F186">
        <f t="shared" ref="F186:AM186" si="38">F170/1*10</f>
        <v>0</v>
      </c>
      <c r="G186">
        <f t="shared" si="38"/>
        <v>39800</v>
      </c>
      <c r="H186">
        <f t="shared" si="38"/>
        <v>8000</v>
      </c>
      <c r="I186">
        <f t="shared" si="38"/>
        <v>0</v>
      </c>
      <c r="J186">
        <f t="shared" si="38"/>
        <v>0</v>
      </c>
      <c r="K186">
        <f t="shared" si="38"/>
        <v>0</v>
      </c>
      <c r="L186">
        <f t="shared" si="38"/>
        <v>0</v>
      </c>
      <c r="M186">
        <f t="shared" si="38"/>
        <v>18000</v>
      </c>
      <c r="N186">
        <f t="shared" si="38"/>
        <v>0</v>
      </c>
      <c r="O186">
        <f t="shared" si="38"/>
        <v>0</v>
      </c>
      <c r="P186">
        <f t="shared" si="38"/>
        <v>0</v>
      </c>
      <c r="Q186">
        <f t="shared" si="38"/>
        <v>0</v>
      </c>
      <c r="R186">
        <f t="shared" si="38"/>
        <v>0</v>
      </c>
      <c r="S186">
        <f t="shared" si="38"/>
        <v>0</v>
      </c>
      <c r="T186">
        <f t="shared" si="38"/>
        <v>0</v>
      </c>
      <c r="U186">
        <f t="shared" si="38"/>
        <v>300</v>
      </c>
      <c r="V186">
        <f t="shared" si="38"/>
        <v>0</v>
      </c>
      <c r="W186">
        <f t="shared" si="38"/>
        <v>0</v>
      </c>
      <c r="X186">
        <f t="shared" si="38"/>
        <v>0</v>
      </c>
      <c r="Y186">
        <f t="shared" si="38"/>
        <v>79000</v>
      </c>
      <c r="Z186">
        <f t="shared" si="38"/>
        <v>0</v>
      </c>
      <c r="AA186">
        <f t="shared" si="38"/>
        <v>22500</v>
      </c>
      <c r="AB186">
        <f t="shared" si="38"/>
        <v>0</v>
      </c>
      <c r="AC186">
        <f t="shared" si="38"/>
        <v>4100</v>
      </c>
      <c r="AD186">
        <f t="shared" si="38"/>
        <v>47000</v>
      </c>
      <c r="AE186">
        <f t="shared" si="38"/>
        <v>9300</v>
      </c>
      <c r="AF186">
        <f t="shared" si="38"/>
        <v>0</v>
      </c>
      <c r="AG186">
        <f t="shared" si="38"/>
        <v>0</v>
      </c>
      <c r="AH186">
        <f t="shared" si="38"/>
        <v>0</v>
      </c>
      <c r="AI186">
        <f t="shared" si="38"/>
        <v>0</v>
      </c>
      <c r="AJ186">
        <f t="shared" si="38"/>
        <v>0</v>
      </c>
      <c r="AK186">
        <f t="shared" si="38"/>
        <v>0</v>
      </c>
      <c r="AL186">
        <f t="shared" si="38"/>
        <v>0</v>
      </c>
      <c r="AM186">
        <f t="shared" si="38"/>
        <v>0</v>
      </c>
      <c r="AN186" t="s">
        <v>197</v>
      </c>
    </row>
    <row r="187" spans="1:40">
      <c r="A187">
        <f t="shared" si="33"/>
        <v>2050</v>
      </c>
      <c r="B187" t="s">
        <v>184</v>
      </c>
      <c r="C187" t="s">
        <v>185</v>
      </c>
      <c r="D187" t="s">
        <v>198</v>
      </c>
      <c r="E187" t="s">
        <v>199</v>
      </c>
      <c r="F187">
        <f t="shared" ref="F187:AM187" si="39">F171/1*10</f>
        <v>0</v>
      </c>
      <c r="G187">
        <f t="shared" si="39"/>
        <v>1890</v>
      </c>
      <c r="H187">
        <f t="shared" si="39"/>
        <v>0</v>
      </c>
      <c r="I187">
        <f t="shared" si="39"/>
        <v>5</v>
      </c>
      <c r="J187">
        <f t="shared" si="39"/>
        <v>0</v>
      </c>
      <c r="K187">
        <f t="shared" si="39"/>
        <v>0</v>
      </c>
      <c r="L187">
        <f t="shared" si="39"/>
        <v>680</v>
      </c>
      <c r="M187">
        <f t="shared" si="39"/>
        <v>12700</v>
      </c>
      <c r="N187">
        <f t="shared" si="39"/>
        <v>0</v>
      </c>
      <c r="O187">
        <f t="shared" si="39"/>
        <v>0</v>
      </c>
      <c r="P187">
        <f t="shared" si="39"/>
        <v>0</v>
      </c>
      <c r="Q187">
        <f t="shared" si="39"/>
        <v>2</v>
      </c>
      <c r="R187">
        <f t="shared" si="39"/>
        <v>0</v>
      </c>
      <c r="S187">
        <f t="shared" si="39"/>
        <v>0</v>
      </c>
      <c r="T187">
        <f t="shared" si="39"/>
        <v>0</v>
      </c>
      <c r="U187">
        <f t="shared" si="39"/>
        <v>280</v>
      </c>
      <c r="V187">
        <f t="shared" si="39"/>
        <v>0</v>
      </c>
      <c r="W187">
        <f t="shared" si="39"/>
        <v>0</v>
      </c>
      <c r="X187">
        <f t="shared" si="39"/>
        <v>0</v>
      </c>
      <c r="Y187">
        <f t="shared" si="39"/>
        <v>0</v>
      </c>
      <c r="Z187">
        <f t="shared" si="39"/>
        <v>0</v>
      </c>
      <c r="AA187">
        <f t="shared" si="39"/>
        <v>209</v>
      </c>
      <c r="AB187">
        <f t="shared" si="39"/>
        <v>70</v>
      </c>
      <c r="AC187">
        <f t="shared" si="39"/>
        <v>0</v>
      </c>
      <c r="AD187">
        <f t="shared" si="39"/>
        <v>229</v>
      </c>
      <c r="AE187">
        <f t="shared" si="39"/>
        <v>200</v>
      </c>
      <c r="AF187">
        <f t="shared" si="39"/>
        <v>0</v>
      </c>
      <c r="AG187">
        <f t="shared" si="39"/>
        <v>0</v>
      </c>
      <c r="AH187">
        <f t="shared" si="39"/>
        <v>0</v>
      </c>
      <c r="AI187">
        <f t="shared" si="39"/>
        <v>0</v>
      </c>
      <c r="AJ187">
        <f t="shared" si="39"/>
        <v>0</v>
      </c>
      <c r="AK187">
        <f t="shared" si="39"/>
        <v>30</v>
      </c>
      <c r="AL187">
        <f t="shared" si="39"/>
        <v>0</v>
      </c>
      <c r="AM187">
        <f t="shared" si="39"/>
        <v>12</v>
      </c>
      <c r="AN187" t="s">
        <v>199</v>
      </c>
    </row>
    <row r="191" spans="1:40">
      <c r="B191" s="67"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0">F165/1*30</f>
        <v>0</v>
      </c>
      <c r="G194">
        <f t="shared" si="40"/>
        <v>741</v>
      </c>
      <c r="H194">
        <f t="shared" si="40"/>
        <v>2640</v>
      </c>
      <c r="I194">
        <f t="shared" si="40"/>
        <v>0</v>
      </c>
      <c r="J194">
        <f t="shared" si="40"/>
        <v>0</v>
      </c>
      <c r="K194">
        <f t="shared" si="40"/>
        <v>0</v>
      </c>
      <c r="L194">
        <f t="shared" si="40"/>
        <v>300</v>
      </c>
      <c r="M194">
        <f t="shared" si="40"/>
        <v>1230</v>
      </c>
      <c r="N194">
        <f t="shared" si="40"/>
        <v>0</v>
      </c>
      <c r="O194">
        <f t="shared" si="40"/>
        <v>0</v>
      </c>
      <c r="P194">
        <f t="shared" si="40"/>
        <v>0</v>
      </c>
      <c r="Q194">
        <f t="shared" si="40"/>
        <v>0</v>
      </c>
      <c r="R194">
        <f t="shared" si="40"/>
        <v>0</v>
      </c>
      <c r="S194">
        <f t="shared" si="40"/>
        <v>0</v>
      </c>
      <c r="T194">
        <f t="shared" si="40"/>
        <v>0</v>
      </c>
      <c r="U194">
        <f t="shared" si="40"/>
        <v>0</v>
      </c>
      <c r="V194">
        <f t="shared" si="40"/>
        <v>0</v>
      </c>
      <c r="W194">
        <f t="shared" si="40"/>
        <v>0</v>
      </c>
      <c r="X194">
        <f t="shared" si="40"/>
        <v>0</v>
      </c>
      <c r="Y194">
        <f t="shared" si="40"/>
        <v>2010</v>
      </c>
      <c r="Z194">
        <f t="shared" si="40"/>
        <v>0</v>
      </c>
      <c r="AA194">
        <f t="shared" si="40"/>
        <v>129</v>
      </c>
      <c r="AB194">
        <f t="shared" si="40"/>
        <v>0</v>
      </c>
      <c r="AC194">
        <f t="shared" si="40"/>
        <v>0</v>
      </c>
      <c r="AD194">
        <f t="shared" si="40"/>
        <v>138</v>
      </c>
      <c r="AE194">
        <f t="shared" si="40"/>
        <v>0</v>
      </c>
      <c r="AF194">
        <f t="shared" si="40"/>
        <v>0</v>
      </c>
      <c r="AG194">
        <f t="shared" si="40"/>
        <v>0</v>
      </c>
      <c r="AH194">
        <f t="shared" si="40"/>
        <v>12</v>
      </c>
      <c r="AI194">
        <f t="shared" si="40"/>
        <v>0</v>
      </c>
      <c r="AJ194">
        <f t="shared" si="40"/>
        <v>0</v>
      </c>
      <c r="AK194">
        <f t="shared" si="40"/>
        <v>0</v>
      </c>
      <c r="AL194">
        <f t="shared" si="40"/>
        <v>0</v>
      </c>
      <c r="AM194">
        <f t="shared" si="40"/>
        <v>0</v>
      </c>
      <c r="AN194" t="s">
        <v>187</v>
      </c>
    </row>
    <row r="195" spans="1:40">
      <c r="A195">
        <v>2100</v>
      </c>
      <c r="B195" t="s">
        <v>184</v>
      </c>
      <c r="C195" t="s">
        <v>185</v>
      </c>
      <c r="D195" t="s">
        <v>188</v>
      </c>
      <c r="E195" t="s">
        <v>189</v>
      </c>
      <c r="F195">
        <f t="shared" ref="F195:AM195" si="41">F166/1*30</f>
        <v>0</v>
      </c>
      <c r="G195">
        <f t="shared" si="41"/>
        <v>0</v>
      </c>
      <c r="H195">
        <f t="shared" si="41"/>
        <v>3300</v>
      </c>
      <c r="I195">
        <f t="shared" si="41"/>
        <v>0</v>
      </c>
      <c r="J195">
        <f t="shared" si="41"/>
        <v>0</v>
      </c>
      <c r="K195">
        <f t="shared" si="41"/>
        <v>0</v>
      </c>
      <c r="L195">
        <f t="shared" si="41"/>
        <v>2310</v>
      </c>
      <c r="M195">
        <f t="shared" si="41"/>
        <v>3600</v>
      </c>
      <c r="N195">
        <f t="shared" si="41"/>
        <v>0</v>
      </c>
      <c r="O195">
        <f t="shared" si="41"/>
        <v>0</v>
      </c>
      <c r="P195">
        <f t="shared" si="41"/>
        <v>0</v>
      </c>
      <c r="Q195">
        <f t="shared" si="41"/>
        <v>0</v>
      </c>
      <c r="R195">
        <f t="shared" si="41"/>
        <v>0</v>
      </c>
      <c r="S195">
        <f t="shared" si="41"/>
        <v>0</v>
      </c>
      <c r="T195">
        <f t="shared" si="41"/>
        <v>0</v>
      </c>
      <c r="U195">
        <f t="shared" si="41"/>
        <v>0</v>
      </c>
      <c r="V195">
        <f t="shared" si="41"/>
        <v>0</v>
      </c>
      <c r="W195">
        <f t="shared" si="41"/>
        <v>0</v>
      </c>
      <c r="X195">
        <f t="shared" si="41"/>
        <v>0</v>
      </c>
      <c r="Y195">
        <f t="shared" si="41"/>
        <v>0</v>
      </c>
      <c r="Z195">
        <f t="shared" si="41"/>
        <v>0</v>
      </c>
      <c r="AA195">
        <f t="shared" si="41"/>
        <v>5940</v>
      </c>
      <c r="AB195">
        <f t="shared" si="41"/>
        <v>0</v>
      </c>
      <c r="AC195">
        <f t="shared" si="41"/>
        <v>0</v>
      </c>
      <c r="AD195">
        <f t="shared" si="41"/>
        <v>89550</v>
      </c>
      <c r="AE195">
        <f t="shared" si="41"/>
        <v>6300</v>
      </c>
      <c r="AF195">
        <f t="shared" si="41"/>
        <v>0</v>
      </c>
      <c r="AG195">
        <f t="shared" si="41"/>
        <v>0</v>
      </c>
      <c r="AH195">
        <f t="shared" si="41"/>
        <v>0</v>
      </c>
      <c r="AI195">
        <f t="shared" si="41"/>
        <v>0</v>
      </c>
      <c r="AJ195">
        <f t="shared" si="41"/>
        <v>0</v>
      </c>
      <c r="AK195">
        <f t="shared" si="41"/>
        <v>0</v>
      </c>
      <c r="AL195">
        <f t="shared" si="41"/>
        <v>0</v>
      </c>
      <c r="AM195">
        <f t="shared" si="41"/>
        <v>0</v>
      </c>
      <c r="AN195" t="s">
        <v>189</v>
      </c>
    </row>
    <row r="196" spans="1:40">
      <c r="A196">
        <v>2100</v>
      </c>
      <c r="B196" t="s">
        <v>184</v>
      </c>
      <c r="C196" t="s">
        <v>185</v>
      </c>
      <c r="D196" t="s">
        <v>190</v>
      </c>
      <c r="E196" t="s">
        <v>191</v>
      </c>
      <c r="F196">
        <f t="shared" ref="F196:AM196" si="42">F167/1*30</f>
        <v>0</v>
      </c>
      <c r="G196">
        <f t="shared" si="42"/>
        <v>6678</v>
      </c>
      <c r="H196">
        <f t="shared" si="42"/>
        <v>108</v>
      </c>
      <c r="I196">
        <f t="shared" si="42"/>
        <v>0</v>
      </c>
      <c r="J196">
        <f t="shared" si="42"/>
        <v>0</v>
      </c>
      <c r="K196">
        <f t="shared" si="42"/>
        <v>0</v>
      </c>
      <c r="L196">
        <f t="shared" si="42"/>
        <v>0</v>
      </c>
      <c r="M196">
        <f t="shared" si="42"/>
        <v>0</v>
      </c>
      <c r="N196">
        <f t="shared" si="42"/>
        <v>0</v>
      </c>
      <c r="O196">
        <f t="shared" si="42"/>
        <v>0</v>
      </c>
      <c r="P196">
        <f t="shared" si="42"/>
        <v>0</v>
      </c>
      <c r="Q196">
        <f t="shared" si="42"/>
        <v>0</v>
      </c>
      <c r="R196">
        <f t="shared" si="42"/>
        <v>0</v>
      </c>
      <c r="S196">
        <f t="shared" si="42"/>
        <v>0</v>
      </c>
      <c r="T196">
        <f t="shared" si="42"/>
        <v>0</v>
      </c>
      <c r="U196">
        <f t="shared" si="42"/>
        <v>0</v>
      </c>
      <c r="V196">
        <f t="shared" si="42"/>
        <v>0</v>
      </c>
      <c r="W196">
        <f t="shared" si="42"/>
        <v>0</v>
      </c>
      <c r="X196">
        <f t="shared" si="42"/>
        <v>0</v>
      </c>
      <c r="Y196">
        <f t="shared" si="42"/>
        <v>105</v>
      </c>
      <c r="Z196">
        <f t="shared" si="42"/>
        <v>0</v>
      </c>
      <c r="AA196">
        <f t="shared" si="42"/>
        <v>144</v>
      </c>
      <c r="AB196">
        <f t="shared" si="42"/>
        <v>0</v>
      </c>
      <c r="AC196">
        <f t="shared" si="42"/>
        <v>0</v>
      </c>
      <c r="AD196">
        <f t="shared" si="42"/>
        <v>1314</v>
      </c>
      <c r="AE196">
        <f t="shared" si="42"/>
        <v>261</v>
      </c>
      <c r="AF196">
        <f t="shared" si="42"/>
        <v>0</v>
      </c>
      <c r="AG196">
        <f t="shared" si="42"/>
        <v>0</v>
      </c>
      <c r="AH196">
        <f t="shared" si="42"/>
        <v>0</v>
      </c>
      <c r="AI196">
        <f t="shared" si="42"/>
        <v>0</v>
      </c>
      <c r="AJ196">
        <f t="shared" si="42"/>
        <v>0</v>
      </c>
      <c r="AK196">
        <f t="shared" si="42"/>
        <v>81</v>
      </c>
      <c r="AL196">
        <f t="shared" si="42"/>
        <v>0</v>
      </c>
      <c r="AM196">
        <f t="shared" si="42"/>
        <v>0</v>
      </c>
      <c r="AN196" t="s">
        <v>191</v>
      </c>
    </row>
    <row r="197" spans="1:40">
      <c r="A197">
        <v>2100</v>
      </c>
      <c r="B197" t="s">
        <v>184</v>
      </c>
      <c r="C197" t="s">
        <v>185</v>
      </c>
      <c r="D197" t="s">
        <v>192</v>
      </c>
      <c r="E197" t="s">
        <v>193</v>
      </c>
      <c r="F197">
        <f t="shared" ref="F197:AM197" si="43">F168/1*30</f>
        <v>0</v>
      </c>
      <c r="G197">
        <f t="shared" si="43"/>
        <v>173400</v>
      </c>
      <c r="H197">
        <f t="shared" si="43"/>
        <v>84000</v>
      </c>
      <c r="I197">
        <f t="shared" si="43"/>
        <v>0</v>
      </c>
      <c r="J197">
        <f t="shared" si="43"/>
        <v>0</v>
      </c>
      <c r="K197">
        <f t="shared" si="43"/>
        <v>0</v>
      </c>
      <c r="L197">
        <f t="shared" si="43"/>
        <v>17700</v>
      </c>
      <c r="M197">
        <f t="shared" si="43"/>
        <v>23100</v>
      </c>
      <c r="N197">
        <f t="shared" si="43"/>
        <v>0</v>
      </c>
      <c r="O197">
        <f t="shared" si="43"/>
        <v>0</v>
      </c>
      <c r="P197">
        <f t="shared" si="43"/>
        <v>0</v>
      </c>
      <c r="Q197">
        <f t="shared" si="43"/>
        <v>0</v>
      </c>
      <c r="R197">
        <f t="shared" si="43"/>
        <v>0</v>
      </c>
      <c r="S197">
        <f t="shared" si="43"/>
        <v>0</v>
      </c>
      <c r="T197">
        <f t="shared" si="43"/>
        <v>0</v>
      </c>
      <c r="U197">
        <f t="shared" si="43"/>
        <v>24000</v>
      </c>
      <c r="V197">
        <f t="shared" si="43"/>
        <v>0</v>
      </c>
      <c r="W197">
        <f t="shared" si="43"/>
        <v>0</v>
      </c>
      <c r="X197">
        <f t="shared" si="43"/>
        <v>0</v>
      </c>
      <c r="Y197">
        <f t="shared" si="43"/>
        <v>0</v>
      </c>
      <c r="Z197">
        <f t="shared" si="43"/>
        <v>0</v>
      </c>
      <c r="AA197">
        <f t="shared" si="43"/>
        <v>0</v>
      </c>
      <c r="AB197">
        <f t="shared" si="43"/>
        <v>0</v>
      </c>
      <c r="AC197">
        <f t="shared" si="43"/>
        <v>0</v>
      </c>
      <c r="AD197">
        <f t="shared" si="43"/>
        <v>61800</v>
      </c>
      <c r="AE197">
        <f t="shared" si="43"/>
        <v>0</v>
      </c>
      <c r="AF197">
        <f t="shared" si="43"/>
        <v>0</v>
      </c>
      <c r="AG197">
        <f t="shared" si="43"/>
        <v>222000</v>
      </c>
      <c r="AH197">
        <f t="shared" si="43"/>
        <v>0</v>
      </c>
      <c r="AI197">
        <f t="shared" si="43"/>
        <v>0</v>
      </c>
      <c r="AJ197">
        <f t="shared" si="43"/>
        <v>0</v>
      </c>
      <c r="AK197">
        <f t="shared" si="43"/>
        <v>0</v>
      </c>
      <c r="AL197">
        <f t="shared" si="43"/>
        <v>0</v>
      </c>
      <c r="AM197">
        <f t="shared" si="43"/>
        <v>0</v>
      </c>
      <c r="AN197" t="s">
        <v>193</v>
      </c>
    </row>
    <row r="198" spans="1:40">
      <c r="A198">
        <v>2100</v>
      </c>
      <c r="B198" t="s">
        <v>184</v>
      </c>
      <c r="C198" t="s">
        <v>185</v>
      </c>
      <c r="D198" t="s">
        <v>194</v>
      </c>
      <c r="E198" t="s">
        <v>195</v>
      </c>
      <c r="F198">
        <f t="shared" ref="F198:AM198" si="44">F169/1*30</f>
        <v>0</v>
      </c>
      <c r="G198">
        <f t="shared" si="44"/>
        <v>4770</v>
      </c>
      <c r="H198">
        <f t="shared" si="44"/>
        <v>285660</v>
      </c>
      <c r="I198">
        <f t="shared" si="44"/>
        <v>0</v>
      </c>
      <c r="J198">
        <f t="shared" si="44"/>
        <v>0</v>
      </c>
      <c r="K198">
        <f t="shared" si="44"/>
        <v>0</v>
      </c>
      <c r="L198">
        <f t="shared" si="44"/>
        <v>174570</v>
      </c>
      <c r="M198">
        <f t="shared" si="44"/>
        <v>1333080</v>
      </c>
      <c r="N198">
        <f t="shared" si="44"/>
        <v>0</v>
      </c>
      <c r="O198">
        <f t="shared" si="44"/>
        <v>0</v>
      </c>
      <c r="P198">
        <f t="shared" si="44"/>
        <v>0</v>
      </c>
      <c r="Q198">
        <f t="shared" si="44"/>
        <v>15240</v>
      </c>
      <c r="R198">
        <f t="shared" si="44"/>
        <v>13650</v>
      </c>
      <c r="S198">
        <f t="shared" si="44"/>
        <v>0</v>
      </c>
      <c r="T198">
        <f t="shared" si="44"/>
        <v>0</v>
      </c>
      <c r="U198">
        <f t="shared" si="44"/>
        <v>120600</v>
      </c>
      <c r="V198">
        <f t="shared" si="44"/>
        <v>25380</v>
      </c>
      <c r="W198">
        <f t="shared" si="44"/>
        <v>0</v>
      </c>
      <c r="X198">
        <f t="shared" si="44"/>
        <v>0</v>
      </c>
      <c r="Y198">
        <f t="shared" si="44"/>
        <v>0</v>
      </c>
      <c r="Z198">
        <f t="shared" si="44"/>
        <v>38100</v>
      </c>
      <c r="AA198">
        <f t="shared" si="44"/>
        <v>35250</v>
      </c>
      <c r="AB198">
        <f t="shared" si="44"/>
        <v>0</v>
      </c>
      <c r="AC198">
        <f t="shared" si="44"/>
        <v>0</v>
      </c>
      <c r="AD198">
        <f t="shared" si="44"/>
        <v>90450</v>
      </c>
      <c r="AE198">
        <f t="shared" si="44"/>
        <v>46020</v>
      </c>
      <c r="AF198">
        <f t="shared" si="44"/>
        <v>28560</v>
      </c>
      <c r="AG198">
        <f t="shared" si="44"/>
        <v>0</v>
      </c>
      <c r="AH198">
        <f t="shared" si="44"/>
        <v>13020</v>
      </c>
      <c r="AI198">
        <f t="shared" si="44"/>
        <v>0</v>
      </c>
      <c r="AJ198">
        <f t="shared" si="44"/>
        <v>0</v>
      </c>
      <c r="AK198">
        <f t="shared" si="44"/>
        <v>5070</v>
      </c>
      <c r="AL198">
        <f t="shared" si="44"/>
        <v>0</v>
      </c>
      <c r="AM198">
        <f t="shared" si="44"/>
        <v>0</v>
      </c>
      <c r="AN198" t="s">
        <v>195</v>
      </c>
    </row>
    <row r="199" spans="1:40">
      <c r="A199">
        <v>2100</v>
      </c>
      <c r="B199" t="s">
        <v>184</v>
      </c>
      <c r="C199" t="s">
        <v>185</v>
      </c>
      <c r="D199" t="s">
        <v>196</v>
      </c>
      <c r="E199" t="s">
        <v>197</v>
      </c>
      <c r="F199">
        <f t="shared" ref="F199:AM199" si="45">F170/1*30</f>
        <v>0</v>
      </c>
      <c r="G199">
        <f t="shared" si="45"/>
        <v>119400</v>
      </c>
      <c r="H199">
        <f t="shared" si="45"/>
        <v>24000</v>
      </c>
      <c r="I199">
        <f t="shared" si="45"/>
        <v>0</v>
      </c>
      <c r="J199">
        <f t="shared" si="45"/>
        <v>0</v>
      </c>
      <c r="K199">
        <f t="shared" si="45"/>
        <v>0</v>
      </c>
      <c r="L199">
        <f t="shared" si="45"/>
        <v>0</v>
      </c>
      <c r="M199">
        <f t="shared" si="45"/>
        <v>54000</v>
      </c>
      <c r="N199">
        <f t="shared" si="45"/>
        <v>0</v>
      </c>
      <c r="O199">
        <f t="shared" si="45"/>
        <v>0</v>
      </c>
      <c r="P199">
        <f t="shared" si="45"/>
        <v>0</v>
      </c>
      <c r="Q199">
        <f t="shared" si="45"/>
        <v>0</v>
      </c>
      <c r="R199">
        <f t="shared" si="45"/>
        <v>0</v>
      </c>
      <c r="S199">
        <f t="shared" si="45"/>
        <v>0</v>
      </c>
      <c r="T199">
        <f t="shared" si="45"/>
        <v>0</v>
      </c>
      <c r="U199">
        <f t="shared" si="45"/>
        <v>900</v>
      </c>
      <c r="V199">
        <f t="shared" si="45"/>
        <v>0</v>
      </c>
      <c r="W199">
        <f t="shared" si="45"/>
        <v>0</v>
      </c>
      <c r="X199">
        <f t="shared" si="45"/>
        <v>0</v>
      </c>
      <c r="Y199">
        <f t="shared" si="45"/>
        <v>237000</v>
      </c>
      <c r="Z199">
        <f t="shared" si="45"/>
        <v>0</v>
      </c>
      <c r="AA199">
        <f t="shared" si="45"/>
        <v>67500</v>
      </c>
      <c r="AB199">
        <f t="shared" si="45"/>
        <v>0</v>
      </c>
      <c r="AC199">
        <f t="shared" si="45"/>
        <v>12300</v>
      </c>
      <c r="AD199">
        <f t="shared" si="45"/>
        <v>141000</v>
      </c>
      <c r="AE199">
        <f t="shared" si="45"/>
        <v>27900</v>
      </c>
      <c r="AF199">
        <f t="shared" si="45"/>
        <v>0</v>
      </c>
      <c r="AG199">
        <f t="shared" si="45"/>
        <v>0</v>
      </c>
      <c r="AH199">
        <f t="shared" si="45"/>
        <v>0</v>
      </c>
      <c r="AI199">
        <f t="shared" si="45"/>
        <v>0</v>
      </c>
      <c r="AJ199">
        <f t="shared" si="45"/>
        <v>0</v>
      </c>
      <c r="AK199">
        <f t="shared" si="45"/>
        <v>0</v>
      </c>
      <c r="AL199">
        <f t="shared" si="45"/>
        <v>0</v>
      </c>
      <c r="AM199">
        <f t="shared" si="45"/>
        <v>0</v>
      </c>
      <c r="AN199" t="s">
        <v>197</v>
      </c>
    </row>
    <row r="200" spans="1:40">
      <c r="A200">
        <v>2100</v>
      </c>
      <c r="B200" t="s">
        <v>184</v>
      </c>
      <c r="C200" t="s">
        <v>185</v>
      </c>
      <c r="D200" t="s">
        <v>198</v>
      </c>
      <c r="E200" t="s">
        <v>199</v>
      </c>
      <c r="F200">
        <f t="shared" ref="F200:AM200" si="46">F171/1*30</f>
        <v>0</v>
      </c>
      <c r="G200">
        <f t="shared" si="46"/>
        <v>5670</v>
      </c>
      <c r="H200">
        <f t="shared" si="46"/>
        <v>0</v>
      </c>
      <c r="I200">
        <f t="shared" si="46"/>
        <v>15</v>
      </c>
      <c r="J200">
        <f t="shared" si="46"/>
        <v>0</v>
      </c>
      <c r="K200">
        <f t="shared" si="46"/>
        <v>0</v>
      </c>
      <c r="L200">
        <f t="shared" si="46"/>
        <v>2040</v>
      </c>
      <c r="M200">
        <f t="shared" si="46"/>
        <v>38100</v>
      </c>
      <c r="N200">
        <f t="shared" si="46"/>
        <v>0</v>
      </c>
      <c r="O200">
        <f t="shared" si="46"/>
        <v>0</v>
      </c>
      <c r="P200">
        <f t="shared" si="46"/>
        <v>0</v>
      </c>
      <c r="Q200">
        <f t="shared" si="46"/>
        <v>6</v>
      </c>
      <c r="R200">
        <f t="shared" si="46"/>
        <v>0</v>
      </c>
      <c r="S200">
        <f t="shared" si="46"/>
        <v>0</v>
      </c>
      <c r="T200">
        <f t="shared" si="46"/>
        <v>0</v>
      </c>
      <c r="U200">
        <f t="shared" si="46"/>
        <v>840</v>
      </c>
      <c r="V200">
        <f t="shared" si="46"/>
        <v>0</v>
      </c>
      <c r="W200">
        <f t="shared" si="46"/>
        <v>0</v>
      </c>
      <c r="X200">
        <f t="shared" si="46"/>
        <v>0</v>
      </c>
      <c r="Y200">
        <f t="shared" si="46"/>
        <v>0</v>
      </c>
      <c r="Z200">
        <f t="shared" si="46"/>
        <v>0</v>
      </c>
      <c r="AA200">
        <f t="shared" si="46"/>
        <v>627</v>
      </c>
      <c r="AB200">
        <f t="shared" si="46"/>
        <v>210</v>
      </c>
      <c r="AC200">
        <f t="shared" si="46"/>
        <v>0</v>
      </c>
      <c r="AD200">
        <f t="shared" si="46"/>
        <v>687</v>
      </c>
      <c r="AE200">
        <f t="shared" si="46"/>
        <v>600</v>
      </c>
      <c r="AF200">
        <f t="shared" si="46"/>
        <v>0</v>
      </c>
      <c r="AG200">
        <f t="shared" si="46"/>
        <v>0</v>
      </c>
      <c r="AH200">
        <f t="shared" si="46"/>
        <v>0</v>
      </c>
      <c r="AI200">
        <f t="shared" si="46"/>
        <v>0</v>
      </c>
      <c r="AJ200">
        <f t="shared" si="46"/>
        <v>0</v>
      </c>
      <c r="AK200">
        <f t="shared" si="46"/>
        <v>90</v>
      </c>
      <c r="AL200">
        <f t="shared" si="46"/>
        <v>0</v>
      </c>
      <c r="AM200">
        <f t="shared" si="46"/>
        <v>36</v>
      </c>
      <c r="AN200" t="s">
        <v>199</v>
      </c>
    </row>
    <row r="210" s="67" customFormat="1" spans="1:39">
      <c r="B210" s="67" t="s">
        <v>130</v>
      </c>
    </row>
    <row r="211" s="67" customFormat="1" spans="1:39">
      <c r="A211" s="67" t="str">
        <f>A193</f>
        <v>year</v>
      </c>
      <c r="B211" s="67" t="str">
        <f>B193</f>
        <v>attribute</v>
      </c>
      <c r="C211" s="67" t="s">
        <v>136</v>
      </c>
      <c r="D211" s="67" t="s">
        <v>65</v>
      </c>
      <c r="E211" s="67" t="str">
        <f t="shared" ref="E211:AM211" si="47">F87</f>
        <v>Africa_North</v>
      </c>
      <c r="F211" s="67" t="str">
        <f t="shared" si="47"/>
        <v>Africa_Other</v>
      </c>
      <c r="G211" s="67" t="str">
        <f t="shared" si="47"/>
        <v>Australia</v>
      </c>
      <c r="H211" s="67" t="str">
        <f t="shared" si="47"/>
        <v>Austria</v>
      </c>
      <c r="I211" s="67" t="str">
        <f t="shared" si="47"/>
        <v>Baltics</v>
      </c>
      <c r="J211" s="67" t="str">
        <f t="shared" si="47"/>
        <v>BeNeLux</v>
      </c>
      <c r="K211" s="67" t="str">
        <f t="shared" si="47"/>
        <v>Brazil</v>
      </c>
      <c r="L211" s="67" t="str">
        <f t="shared" si="47"/>
        <v>China</v>
      </c>
      <c r="M211" s="67" t="str">
        <f t="shared" si="47"/>
        <v>CroSloven</v>
      </c>
      <c r="N211" s="67" t="str">
        <f t="shared" si="47"/>
        <v>CzechSlovak</v>
      </c>
      <c r="O211" s="67" t="str">
        <f t="shared" si="47"/>
        <v>France</v>
      </c>
      <c r="P211" s="67" t="str">
        <f t="shared" si="47"/>
        <v>Germany</v>
      </c>
      <c r="Q211" s="67" t="str">
        <f t="shared" si="47"/>
        <v>GreeceCyp</v>
      </c>
      <c r="R211" s="67" t="str">
        <f t="shared" si="47"/>
        <v>HunRomBul</v>
      </c>
      <c r="S211" s="67" t="str">
        <f t="shared" si="47"/>
        <v>Iceland</v>
      </c>
      <c r="T211" s="67" t="str">
        <f t="shared" si="47"/>
        <v>India</v>
      </c>
      <c r="U211" s="67" t="str">
        <f t="shared" si="47"/>
        <v>Ireland</v>
      </c>
      <c r="V211" s="67" t="str">
        <f t="shared" si="47"/>
        <v>ItalyMal</v>
      </c>
      <c r="W211" s="67" t="str">
        <f t="shared" si="47"/>
        <v>Japan</v>
      </c>
      <c r="X211" s="67" t="str">
        <f t="shared" si="47"/>
        <v>LatAm</v>
      </c>
      <c r="Y211" s="67" t="str">
        <f t="shared" si="47"/>
        <v>MidEast</v>
      </c>
      <c r="Z211" s="67" t="str">
        <f t="shared" si="47"/>
        <v>NorthAm</v>
      </c>
      <c r="AA211" s="67" t="str">
        <f t="shared" si="47"/>
        <v>Norway</v>
      </c>
      <c r="AB211" s="67" t="str">
        <f t="shared" si="47"/>
        <v>Poland</v>
      </c>
      <c r="AC211" s="67" t="str">
        <f t="shared" si="47"/>
        <v>ROW</v>
      </c>
      <c r="AD211" s="67" t="str">
        <f t="shared" si="47"/>
        <v>Russia</v>
      </c>
      <c r="AE211" s="67" t="str">
        <f t="shared" si="47"/>
        <v>SaudiArabia</v>
      </c>
      <c r="AF211" s="67" t="str">
        <f t="shared" si="47"/>
        <v>SouthAfrica</v>
      </c>
      <c r="AG211" s="67" t="str">
        <f t="shared" si="47"/>
        <v>SpainPor</v>
      </c>
      <c r="AH211" s="67" t="str">
        <f t="shared" si="47"/>
        <v>SweFinDen</v>
      </c>
      <c r="AI211" s="67" t="str">
        <f t="shared" si="47"/>
        <v>Switzerland</v>
      </c>
      <c r="AJ211" s="67" t="str">
        <f t="shared" si="47"/>
        <v>Turkey</v>
      </c>
      <c r="AK211" s="67" t="str">
        <f t="shared" si="47"/>
        <v>UK</v>
      </c>
      <c r="AL211" s="67" t="str">
        <f t="shared" si="47"/>
        <v>Ukraine</v>
      </c>
      <c r="AM211" s="67" t="str">
        <f t="shared" si="47"/>
        <v>Pset_CO</v>
      </c>
    </row>
    <row r="212" s="67" customFormat="1" ht="16" spans="1:39">
      <c r="A212" s="67">
        <v>2020</v>
      </c>
      <c r="B212" s="121" t="s">
        <v>275</v>
      </c>
      <c r="C212" s="67" t="s">
        <v>140</v>
      </c>
      <c r="D212" s="67" t="s">
        <v>186</v>
      </c>
      <c r="E212" s="67">
        <f t="shared" ref="E212:AL212" si="48">F88/1</f>
        <v>0</v>
      </c>
      <c r="F212" s="67">
        <f t="shared" si="48"/>
        <v>24.7</v>
      </c>
      <c r="G212" s="67">
        <f t="shared" si="48"/>
        <v>88</v>
      </c>
      <c r="H212" s="67">
        <f t="shared" si="48"/>
        <v>0</v>
      </c>
      <c r="I212" s="67">
        <f t="shared" si="48"/>
        <v>0</v>
      </c>
      <c r="J212" s="67">
        <f t="shared" si="48"/>
        <v>0</v>
      </c>
      <c r="K212" s="67">
        <f t="shared" si="48"/>
        <v>10</v>
      </c>
      <c r="L212" s="67">
        <f t="shared" si="48"/>
        <v>41</v>
      </c>
      <c r="M212" s="67">
        <f t="shared" si="48"/>
        <v>0</v>
      </c>
      <c r="N212" s="67">
        <f t="shared" si="48"/>
        <v>0</v>
      </c>
      <c r="O212" s="67">
        <f t="shared" si="48"/>
        <v>0</v>
      </c>
      <c r="P212" s="67">
        <f t="shared" si="48"/>
        <v>0</v>
      </c>
      <c r="Q212" s="67">
        <f t="shared" si="48"/>
        <v>0</v>
      </c>
      <c r="R212" s="67">
        <f t="shared" si="48"/>
        <v>0</v>
      </c>
      <c r="S212" s="67">
        <f t="shared" si="48"/>
        <v>0</v>
      </c>
      <c r="T212" s="67">
        <f t="shared" si="48"/>
        <v>0</v>
      </c>
      <c r="U212" s="67">
        <f t="shared" si="48"/>
        <v>0</v>
      </c>
      <c r="V212" s="67">
        <f t="shared" si="48"/>
        <v>0</v>
      </c>
      <c r="W212" s="67">
        <f t="shared" si="48"/>
        <v>0</v>
      </c>
      <c r="X212" s="67">
        <f t="shared" si="48"/>
        <v>67</v>
      </c>
      <c r="Y212" s="67">
        <f t="shared" si="48"/>
        <v>0</v>
      </c>
      <c r="Z212" s="67">
        <f t="shared" si="48"/>
        <v>4.3</v>
      </c>
      <c r="AA212" s="67">
        <f t="shared" si="48"/>
        <v>0</v>
      </c>
      <c r="AB212" s="67">
        <f t="shared" si="48"/>
        <v>0</v>
      </c>
      <c r="AC212" s="67">
        <f t="shared" si="48"/>
        <v>4.6</v>
      </c>
      <c r="AD212" s="67">
        <f t="shared" si="48"/>
        <v>0</v>
      </c>
      <c r="AE212" s="67">
        <f t="shared" si="48"/>
        <v>0</v>
      </c>
      <c r="AF212" s="67">
        <f t="shared" si="48"/>
        <v>0</v>
      </c>
      <c r="AG212" s="67">
        <f t="shared" si="48"/>
        <v>0.4</v>
      </c>
      <c r="AH212" s="67">
        <f t="shared" si="48"/>
        <v>0</v>
      </c>
      <c r="AI212" s="67">
        <f t="shared" si="48"/>
        <v>0</v>
      </c>
      <c r="AJ212" s="67">
        <f t="shared" si="48"/>
        <v>0</v>
      </c>
      <c r="AK212" s="67">
        <f t="shared" si="48"/>
        <v>0</v>
      </c>
      <c r="AL212" s="67">
        <f t="shared" si="48"/>
        <v>0</v>
      </c>
      <c r="AM212" s="67" t="str">
        <f t="shared" ref="AM212:AM218" si="49">AN88</f>
        <v>m_lithium</v>
      </c>
    </row>
    <row r="213" s="67" customFormat="1" spans="1:39">
      <c r="A213" s="67">
        <f t="shared" ref="A213:A218" si="50">A212</f>
        <v>2020</v>
      </c>
      <c r="B213" s="67" t="str">
        <f t="shared" ref="B213:B218" si="51">B212</f>
        <v>PRC_RESID</v>
      </c>
      <c r="C213" s="67" t="s">
        <v>140</v>
      </c>
      <c r="D213" s="67" t="s">
        <v>188</v>
      </c>
      <c r="E213" s="67">
        <f t="shared" ref="E213:AL213" si="52">F89/1</f>
        <v>0</v>
      </c>
      <c r="F213" s="67">
        <f t="shared" si="52"/>
        <v>0</v>
      </c>
      <c r="G213" s="67">
        <f t="shared" si="52"/>
        <v>110</v>
      </c>
      <c r="H213" s="67">
        <f t="shared" si="52"/>
        <v>0</v>
      </c>
      <c r="I213" s="67">
        <f t="shared" si="52"/>
        <v>0</v>
      </c>
      <c r="J213" s="67">
        <f t="shared" si="52"/>
        <v>0</v>
      </c>
      <c r="K213" s="67">
        <f t="shared" si="52"/>
        <v>77</v>
      </c>
      <c r="L213" s="67">
        <f t="shared" si="52"/>
        <v>120</v>
      </c>
      <c r="M213" s="67">
        <f t="shared" si="52"/>
        <v>0</v>
      </c>
      <c r="N213" s="67">
        <f t="shared" si="52"/>
        <v>0</v>
      </c>
      <c r="O213" s="67">
        <f t="shared" si="52"/>
        <v>0</v>
      </c>
      <c r="P213" s="67">
        <f t="shared" si="52"/>
        <v>0</v>
      </c>
      <c r="Q213" s="67">
        <f t="shared" si="52"/>
        <v>0</v>
      </c>
      <c r="R213" s="67">
        <f t="shared" si="52"/>
        <v>0</v>
      </c>
      <c r="S213" s="67">
        <f t="shared" si="52"/>
        <v>0</v>
      </c>
      <c r="T213" s="67">
        <f t="shared" si="52"/>
        <v>0</v>
      </c>
      <c r="U213" s="67">
        <f t="shared" si="52"/>
        <v>0</v>
      </c>
      <c r="V213" s="67">
        <f t="shared" si="52"/>
        <v>0</v>
      </c>
      <c r="W213" s="67">
        <f t="shared" si="52"/>
        <v>0</v>
      </c>
      <c r="X213" s="67">
        <f t="shared" si="52"/>
        <v>0</v>
      </c>
      <c r="Y213" s="67">
        <f t="shared" si="52"/>
        <v>0</v>
      </c>
      <c r="Z213" s="67">
        <f t="shared" si="52"/>
        <v>198</v>
      </c>
      <c r="AA213" s="67">
        <f t="shared" si="52"/>
        <v>0</v>
      </c>
      <c r="AB213" s="67">
        <f t="shared" si="52"/>
        <v>0</v>
      </c>
      <c r="AC213" s="67">
        <f t="shared" si="52"/>
        <v>2985</v>
      </c>
      <c r="AD213" s="67">
        <f t="shared" si="52"/>
        <v>210</v>
      </c>
      <c r="AE213" s="67">
        <f t="shared" si="52"/>
        <v>0</v>
      </c>
      <c r="AF213" s="67">
        <f t="shared" si="52"/>
        <v>0</v>
      </c>
      <c r="AG213" s="67">
        <f t="shared" si="52"/>
        <v>0</v>
      </c>
      <c r="AH213" s="67">
        <f t="shared" si="52"/>
        <v>0</v>
      </c>
      <c r="AI213" s="67">
        <f t="shared" si="52"/>
        <v>0</v>
      </c>
      <c r="AJ213" s="67">
        <f t="shared" si="52"/>
        <v>0</v>
      </c>
      <c r="AK213" s="67">
        <f t="shared" si="52"/>
        <v>0</v>
      </c>
      <c r="AL213" s="67">
        <f t="shared" si="52"/>
        <v>0</v>
      </c>
      <c r="AM213" s="67" t="str">
        <f t="shared" si="49"/>
        <v>m_nickel</v>
      </c>
    </row>
    <row r="214" s="67" customFormat="1" spans="1:39">
      <c r="A214" s="67">
        <f t="shared" si="50"/>
        <v>2020</v>
      </c>
      <c r="B214" s="67" t="str">
        <f t="shared" si="51"/>
        <v>PRC_RESID</v>
      </c>
      <c r="C214" s="67" t="s">
        <v>140</v>
      </c>
      <c r="D214" s="67" t="s">
        <v>190</v>
      </c>
      <c r="E214" s="67">
        <f t="shared" ref="E214:AL214" si="53">F90/1</f>
        <v>0</v>
      </c>
      <c r="F214" s="67">
        <f t="shared" si="53"/>
        <v>222.6</v>
      </c>
      <c r="G214" s="67">
        <f t="shared" si="53"/>
        <v>3.6</v>
      </c>
      <c r="H214" s="67">
        <f t="shared" si="53"/>
        <v>0</v>
      </c>
      <c r="I214" s="67">
        <f t="shared" si="53"/>
        <v>0</v>
      </c>
      <c r="J214" s="67">
        <f t="shared" si="53"/>
        <v>0</v>
      </c>
      <c r="K214" s="67">
        <f t="shared" si="53"/>
        <v>0</v>
      </c>
      <c r="L214" s="67">
        <f t="shared" si="53"/>
        <v>0</v>
      </c>
      <c r="M214" s="67">
        <f t="shared" si="53"/>
        <v>0</v>
      </c>
      <c r="N214" s="67">
        <f t="shared" si="53"/>
        <v>0</v>
      </c>
      <c r="O214" s="67">
        <f t="shared" si="53"/>
        <v>0</v>
      </c>
      <c r="P214" s="67">
        <f t="shared" si="53"/>
        <v>0</v>
      </c>
      <c r="Q214" s="67">
        <f t="shared" si="53"/>
        <v>0</v>
      </c>
      <c r="R214" s="67">
        <f t="shared" si="53"/>
        <v>0</v>
      </c>
      <c r="S214" s="67">
        <f t="shared" si="53"/>
        <v>0</v>
      </c>
      <c r="T214" s="67">
        <f t="shared" si="53"/>
        <v>0</v>
      </c>
      <c r="U214" s="67">
        <f t="shared" si="53"/>
        <v>0</v>
      </c>
      <c r="V214" s="67">
        <f t="shared" si="53"/>
        <v>0</v>
      </c>
      <c r="W214" s="67">
        <f t="shared" si="53"/>
        <v>0</v>
      </c>
      <c r="X214" s="67">
        <f t="shared" si="53"/>
        <v>3.5</v>
      </c>
      <c r="Y214" s="67">
        <f t="shared" si="53"/>
        <v>0</v>
      </c>
      <c r="Z214" s="67">
        <f t="shared" si="53"/>
        <v>4.8</v>
      </c>
      <c r="AA214" s="67">
        <f t="shared" si="53"/>
        <v>0</v>
      </c>
      <c r="AB214" s="67">
        <f t="shared" si="53"/>
        <v>0</v>
      </c>
      <c r="AC214" s="67">
        <f t="shared" si="53"/>
        <v>43.8</v>
      </c>
      <c r="AD214" s="67">
        <f t="shared" si="53"/>
        <v>8.7</v>
      </c>
      <c r="AE214" s="67">
        <f t="shared" si="53"/>
        <v>0</v>
      </c>
      <c r="AF214" s="67">
        <f t="shared" si="53"/>
        <v>0</v>
      </c>
      <c r="AG214" s="67">
        <f t="shared" si="53"/>
        <v>0</v>
      </c>
      <c r="AH214" s="67">
        <f t="shared" si="53"/>
        <v>0</v>
      </c>
      <c r="AI214" s="67">
        <f t="shared" si="53"/>
        <v>0</v>
      </c>
      <c r="AJ214" s="67">
        <f t="shared" si="53"/>
        <v>2.7</v>
      </c>
      <c r="AK214" s="67">
        <f t="shared" si="53"/>
        <v>0</v>
      </c>
      <c r="AL214" s="67">
        <f t="shared" si="53"/>
        <v>0</v>
      </c>
      <c r="AM214" s="67" t="str">
        <f t="shared" si="49"/>
        <v>m_cobalt</v>
      </c>
    </row>
    <row r="215" s="67" customFormat="1" spans="1:39">
      <c r="A215" s="67">
        <f t="shared" si="50"/>
        <v>2020</v>
      </c>
      <c r="B215" s="67" t="str">
        <f t="shared" si="51"/>
        <v>PRC_RESID</v>
      </c>
      <c r="C215" s="67" t="s">
        <v>140</v>
      </c>
      <c r="D215" s="67" t="s">
        <v>192</v>
      </c>
      <c r="E215" s="67">
        <f t="shared" ref="E215:AL215" si="54">F91/1</f>
        <v>0</v>
      </c>
      <c r="F215" s="67">
        <f t="shared" si="54"/>
        <v>5780</v>
      </c>
      <c r="G215" s="67">
        <f t="shared" si="54"/>
        <v>2800</v>
      </c>
      <c r="H215" s="67">
        <f t="shared" si="54"/>
        <v>0</v>
      </c>
      <c r="I215" s="67">
        <f t="shared" si="54"/>
        <v>0</v>
      </c>
      <c r="J215" s="67">
        <f t="shared" si="54"/>
        <v>0</v>
      </c>
      <c r="K215" s="67">
        <f t="shared" si="54"/>
        <v>590</v>
      </c>
      <c r="L215" s="67">
        <f t="shared" si="54"/>
        <v>770</v>
      </c>
      <c r="M215" s="67">
        <f t="shared" si="54"/>
        <v>0</v>
      </c>
      <c r="N215" s="67">
        <f t="shared" si="54"/>
        <v>0</v>
      </c>
      <c r="O215" s="67">
        <f t="shared" si="54"/>
        <v>0</v>
      </c>
      <c r="P215" s="67">
        <f t="shared" si="54"/>
        <v>0</v>
      </c>
      <c r="Q215" s="67">
        <f t="shared" si="54"/>
        <v>0</v>
      </c>
      <c r="R215" s="67">
        <f t="shared" si="54"/>
        <v>0</v>
      </c>
      <c r="S215" s="67">
        <f t="shared" si="54"/>
        <v>0</v>
      </c>
      <c r="T215" s="67">
        <f t="shared" si="54"/>
        <v>800</v>
      </c>
      <c r="U215" s="67">
        <f t="shared" si="54"/>
        <v>0</v>
      </c>
      <c r="V215" s="67">
        <f t="shared" si="54"/>
        <v>0</v>
      </c>
      <c r="W215" s="67">
        <f t="shared" si="54"/>
        <v>0</v>
      </c>
      <c r="X215" s="67">
        <f t="shared" si="54"/>
        <v>0</v>
      </c>
      <c r="Y215" s="67">
        <f t="shared" si="54"/>
        <v>0</v>
      </c>
      <c r="Z215" s="67">
        <f t="shared" si="54"/>
        <v>0</v>
      </c>
      <c r="AA215" s="67">
        <f t="shared" si="54"/>
        <v>0</v>
      </c>
      <c r="AB215" s="67">
        <f t="shared" si="54"/>
        <v>0</v>
      </c>
      <c r="AC215" s="67">
        <f t="shared" si="54"/>
        <v>2060</v>
      </c>
      <c r="AD215" s="67">
        <f t="shared" si="54"/>
        <v>0</v>
      </c>
      <c r="AE215" s="67">
        <f t="shared" si="54"/>
        <v>0</v>
      </c>
      <c r="AF215" s="67">
        <f t="shared" si="54"/>
        <v>7400</v>
      </c>
      <c r="AG215" s="67">
        <f t="shared" si="54"/>
        <v>0</v>
      </c>
      <c r="AH215" s="67">
        <f t="shared" si="54"/>
        <v>0</v>
      </c>
      <c r="AI215" s="67">
        <f t="shared" si="54"/>
        <v>0</v>
      </c>
      <c r="AJ215" s="67">
        <f t="shared" si="54"/>
        <v>0</v>
      </c>
      <c r="AK215" s="67">
        <f t="shared" si="54"/>
        <v>0</v>
      </c>
      <c r="AL215" s="67">
        <f t="shared" si="54"/>
        <v>0</v>
      </c>
      <c r="AM215" s="67" t="str">
        <f t="shared" si="49"/>
        <v>m_manganese</v>
      </c>
    </row>
    <row r="216" s="67" customFormat="1" spans="1:39">
      <c r="A216" s="67">
        <f t="shared" si="50"/>
        <v>2020</v>
      </c>
      <c r="B216" s="67" t="str">
        <f t="shared" si="51"/>
        <v>PRC_RESID</v>
      </c>
      <c r="C216" s="67" t="s">
        <v>140</v>
      </c>
      <c r="D216" s="67" t="s">
        <v>194</v>
      </c>
      <c r="E216" s="67">
        <f t="shared" ref="E216:AL216" si="55">F92/1</f>
        <v>0</v>
      </c>
      <c r="F216" s="67">
        <f t="shared" si="55"/>
        <v>159</v>
      </c>
      <c r="G216" s="67">
        <f t="shared" si="55"/>
        <v>9522</v>
      </c>
      <c r="H216" s="67">
        <f t="shared" si="55"/>
        <v>0</v>
      </c>
      <c r="I216" s="67">
        <f t="shared" si="55"/>
        <v>0</v>
      </c>
      <c r="J216" s="67">
        <f t="shared" si="55"/>
        <v>0</v>
      </c>
      <c r="K216" s="67">
        <f t="shared" si="55"/>
        <v>5819</v>
      </c>
      <c r="L216" s="67">
        <f t="shared" si="55"/>
        <v>44436</v>
      </c>
      <c r="M216" s="67">
        <f t="shared" si="55"/>
        <v>0</v>
      </c>
      <c r="N216" s="67">
        <f t="shared" si="55"/>
        <v>0</v>
      </c>
      <c r="O216" s="67">
        <f t="shared" si="55"/>
        <v>0</v>
      </c>
      <c r="P216" s="67">
        <f t="shared" si="55"/>
        <v>508</v>
      </c>
      <c r="Q216" s="67">
        <f t="shared" si="55"/>
        <v>455</v>
      </c>
      <c r="R216" s="67">
        <f t="shared" si="55"/>
        <v>0</v>
      </c>
      <c r="S216" s="67">
        <f t="shared" si="55"/>
        <v>0</v>
      </c>
      <c r="T216" s="67">
        <f t="shared" si="55"/>
        <v>4020</v>
      </c>
      <c r="U216" s="67">
        <f t="shared" si="55"/>
        <v>846</v>
      </c>
      <c r="V216" s="67">
        <f t="shared" si="55"/>
        <v>0</v>
      </c>
      <c r="W216" s="67">
        <f t="shared" si="55"/>
        <v>0</v>
      </c>
      <c r="X216" s="67">
        <f t="shared" si="55"/>
        <v>0</v>
      </c>
      <c r="Y216" s="67">
        <f t="shared" si="55"/>
        <v>1270</v>
      </c>
      <c r="Z216" s="67">
        <f t="shared" si="55"/>
        <v>1175</v>
      </c>
      <c r="AA216" s="67">
        <f t="shared" si="55"/>
        <v>0</v>
      </c>
      <c r="AB216" s="67">
        <f t="shared" si="55"/>
        <v>0</v>
      </c>
      <c r="AC216" s="67">
        <f t="shared" si="55"/>
        <v>3015</v>
      </c>
      <c r="AD216" s="67">
        <f t="shared" si="55"/>
        <v>1534</v>
      </c>
      <c r="AE216" s="67">
        <f t="shared" si="55"/>
        <v>952</v>
      </c>
      <c r="AF216" s="67">
        <f t="shared" si="55"/>
        <v>0</v>
      </c>
      <c r="AG216" s="67">
        <f t="shared" si="55"/>
        <v>434</v>
      </c>
      <c r="AH216" s="67">
        <f t="shared" si="55"/>
        <v>0</v>
      </c>
      <c r="AI216" s="67">
        <f t="shared" si="55"/>
        <v>0</v>
      </c>
      <c r="AJ216" s="67">
        <f t="shared" si="55"/>
        <v>169</v>
      </c>
      <c r="AK216" s="67">
        <f t="shared" si="55"/>
        <v>0</v>
      </c>
      <c r="AL216" s="67">
        <f t="shared" si="55"/>
        <v>0</v>
      </c>
      <c r="AM216" s="67" t="str">
        <f t="shared" si="49"/>
        <v>m_aluminum</v>
      </c>
    </row>
    <row r="217" s="67" customFormat="1" spans="1:39">
      <c r="A217" s="67">
        <f t="shared" si="50"/>
        <v>2020</v>
      </c>
      <c r="B217" s="67" t="str">
        <f t="shared" si="51"/>
        <v>PRC_RESID</v>
      </c>
      <c r="C217" s="67" t="s">
        <v>140</v>
      </c>
      <c r="D217" s="67" t="s">
        <v>196</v>
      </c>
      <c r="E217" s="67">
        <f t="shared" ref="E217:AL217" si="56">F93/1</f>
        <v>0</v>
      </c>
      <c r="F217" s="67">
        <f t="shared" si="56"/>
        <v>3980</v>
      </c>
      <c r="G217" s="67">
        <f t="shared" si="56"/>
        <v>800</v>
      </c>
      <c r="H217" s="67">
        <f t="shared" si="56"/>
        <v>0</v>
      </c>
      <c r="I217" s="67">
        <f t="shared" si="56"/>
        <v>0</v>
      </c>
      <c r="J217" s="67">
        <f t="shared" si="56"/>
        <v>0</v>
      </c>
      <c r="K217" s="67">
        <f t="shared" si="56"/>
        <v>0</v>
      </c>
      <c r="L217" s="67">
        <f t="shared" si="56"/>
        <v>1800</v>
      </c>
      <c r="M217" s="67">
        <f t="shared" si="56"/>
        <v>0</v>
      </c>
      <c r="N217" s="67">
        <f t="shared" si="56"/>
        <v>0</v>
      </c>
      <c r="O217" s="67">
        <f t="shared" si="56"/>
        <v>0</v>
      </c>
      <c r="P217" s="67">
        <f t="shared" si="56"/>
        <v>0</v>
      </c>
      <c r="Q217" s="67">
        <f t="shared" si="56"/>
        <v>0</v>
      </c>
      <c r="R217" s="67">
        <f t="shared" si="56"/>
        <v>0</v>
      </c>
      <c r="S217" s="67">
        <f t="shared" si="56"/>
        <v>0</v>
      </c>
      <c r="T217" s="67">
        <f t="shared" si="56"/>
        <v>30</v>
      </c>
      <c r="U217" s="67">
        <f t="shared" si="56"/>
        <v>0</v>
      </c>
      <c r="V217" s="67">
        <f t="shared" si="56"/>
        <v>0</v>
      </c>
      <c r="W217" s="67">
        <f t="shared" si="56"/>
        <v>0</v>
      </c>
      <c r="X217" s="67">
        <f t="shared" si="56"/>
        <v>7900</v>
      </c>
      <c r="Y217" s="67">
        <f t="shared" si="56"/>
        <v>0</v>
      </c>
      <c r="Z217" s="67">
        <f t="shared" si="56"/>
        <v>2250</v>
      </c>
      <c r="AA217" s="67">
        <f t="shared" si="56"/>
        <v>0</v>
      </c>
      <c r="AB217" s="67">
        <f t="shared" si="56"/>
        <v>410</v>
      </c>
      <c r="AC217" s="67">
        <f t="shared" si="56"/>
        <v>4700</v>
      </c>
      <c r="AD217" s="67">
        <f t="shared" si="56"/>
        <v>930</v>
      </c>
      <c r="AE217" s="67">
        <f t="shared" si="56"/>
        <v>0</v>
      </c>
      <c r="AF217" s="67">
        <f t="shared" si="56"/>
        <v>0</v>
      </c>
      <c r="AG217" s="67">
        <f t="shared" si="56"/>
        <v>0</v>
      </c>
      <c r="AH217" s="67">
        <f t="shared" si="56"/>
        <v>0</v>
      </c>
      <c r="AI217" s="67">
        <f t="shared" si="56"/>
        <v>0</v>
      </c>
      <c r="AJ217" s="67">
        <f t="shared" si="56"/>
        <v>0</v>
      </c>
      <c r="AK217" s="67">
        <f t="shared" si="56"/>
        <v>0</v>
      </c>
      <c r="AL217" s="67">
        <f t="shared" si="56"/>
        <v>0</v>
      </c>
      <c r="AM217" s="67" t="str">
        <f t="shared" si="49"/>
        <v>m_copper</v>
      </c>
    </row>
    <row r="218" s="67" customFormat="1" spans="1:39">
      <c r="A218" s="67">
        <f t="shared" si="50"/>
        <v>2020</v>
      </c>
      <c r="B218" s="67" t="str">
        <f t="shared" si="51"/>
        <v>PRC_RESID</v>
      </c>
      <c r="C218" s="67" t="s">
        <v>140</v>
      </c>
      <c r="D218" s="67" t="s">
        <v>198</v>
      </c>
      <c r="E218" s="67">
        <f t="shared" ref="E218:AL218" si="57">F94/1</f>
        <v>0</v>
      </c>
      <c r="F218" s="67">
        <f t="shared" si="57"/>
        <v>189</v>
      </c>
      <c r="G218" s="67">
        <f t="shared" si="57"/>
        <v>0</v>
      </c>
      <c r="H218" s="67">
        <f t="shared" si="57"/>
        <v>0.5</v>
      </c>
      <c r="I218" s="67">
        <f t="shared" si="57"/>
        <v>0</v>
      </c>
      <c r="J218" s="67">
        <f t="shared" si="57"/>
        <v>0</v>
      </c>
      <c r="K218" s="67">
        <f t="shared" si="57"/>
        <v>68</v>
      </c>
      <c r="L218" s="67">
        <f t="shared" si="57"/>
        <v>1270</v>
      </c>
      <c r="M218" s="67">
        <f t="shared" si="57"/>
        <v>0</v>
      </c>
      <c r="N218" s="67">
        <f t="shared" si="57"/>
        <v>0</v>
      </c>
      <c r="O218" s="67">
        <f t="shared" si="57"/>
        <v>0</v>
      </c>
      <c r="P218" s="67">
        <f t="shared" si="57"/>
        <v>0.2</v>
      </c>
      <c r="Q218" s="67">
        <f t="shared" si="57"/>
        <v>0</v>
      </c>
      <c r="R218" s="67">
        <f t="shared" si="57"/>
        <v>0</v>
      </c>
      <c r="S218" s="67">
        <f t="shared" si="57"/>
        <v>0</v>
      </c>
      <c r="T218" s="67">
        <f t="shared" si="57"/>
        <v>28</v>
      </c>
      <c r="U218" s="67">
        <f t="shared" si="57"/>
        <v>0</v>
      </c>
      <c r="V218" s="67">
        <f t="shared" si="57"/>
        <v>0</v>
      </c>
      <c r="W218" s="67">
        <f t="shared" si="57"/>
        <v>0</v>
      </c>
      <c r="X218" s="67">
        <f t="shared" si="57"/>
        <v>0</v>
      </c>
      <c r="Y218" s="67">
        <f t="shared" si="57"/>
        <v>0</v>
      </c>
      <c r="Z218" s="67">
        <f t="shared" si="57"/>
        <v>20.9</v>
      </c>
      <c r="AA218" s="67">
        <f t="shared" si="57"/>
        <v>7</v>
      </c>
      <c r="AB218" s="67">
        <f t="shared" si="57"/>
        <v>0</v>
      </c>
      <c r="AC218" s="67">
        <f t="shared" si="57"/>
        <v>22.9</v>
      </c>
      <c r="AD218" s="67">
        <f t="shared" si="57"/>
        <v>20</v>
      </c>
      <c r="AE218" s="67">
        <f t="shared" si="57"/>
        <v>0</v>
      </c>
      <c r="AF218" s="67">
        <f t="shared" si="57"/>
        <v>0</v>
      </c>
      <c r="AG218" s="67">
        <f t="shared" si="57"/>
        <v>0</v>
      </c>
      <c r="AH218" s="67">
        <f t="shared" si="57"/>
        <v>0</v>
      </c>
      <c r="AI218" s="67">
        <f t="shared" si="57"/>
        <v>0</v>
      </c>
      <c r="AJ218" s="67">
        <f t="shared" si="57"/>
        <v>3</v>
      </c>
      <c r="AK218" s="67">
        <f t="shared" si="57"/>
        <v>0</v>
      </c>
      <c r="AL218" s="67">
        <f t="shared" si="57"/>
        <v>1.2</v>
      </c>
      <c r="AM218" s="67" t="str">
        <f t="shared" si="49"/>
        <v>m_graphite</v>
      </c>
    </row>
    <row r="226" s="68" customFormat="1"/>
    <row r="227" s="68" customFormat="1"/>
    <row r="228" s="68" customFormat="1"/>
    <row r="229" s="68" customFormat="1"/>
    <row r="230" s="68" customFormat="1"/>
    <row r="231" s="68" customFormat="1"/>
    <row r="232" s="68" customFormat="1"/>
    <row r="233" s="68" customFormat="1"/>
    <row r="234" s="68" customFormat="1"/>
    <row r="241" spans="4:23">
      <c r="D241" t="s">
        <v>276</v>
      </c>
    </row>
    <row r="243" ht="14.5" spans="4:23">
      <c r="D243" s="122" t="s">
        <v>1</v>
      </c>
      <c r="E243" s="122" t="s">
        <v>68</v>
      </c>
      <c r="F243" s="122" t="s">
        <v>90</v>
      </c>
      <c r="G243" s="122" t="s">
        <v>94</v>
      </c>
      <c r="H243" s="122" t="s">
        <v>86</v>
      </c>
      <c r="I243" s="122" t="s">
        <v>77</v>
      </c>
      <c r="J243" s="122" t="s">
        <v>73</v>
      </c>
      <c r="K243" s="122" t="s">
        <v>97</v>
      </c>
      <c r="P243" t="s">
        <v>277</v>
      </c>
    </row>
    <row r="244" ht="14.5" spans="4:23">
      <c r="D244" s="122" t="s">
        <v>3</v>
      </c>
      <c r="E244" s="122">
        <v>0</v>
      </c>
      <c r="F244" s="122">
        <v>0</v>
      </c>
      <c r="G244" s="122">
        <v>0</v>
      </c>
      <c r="H244" s="122">
        <v>0</v>
      </c>
      <c r="I244" s="122">
        <v>0</v>
      </c>
      <c r="J244" s="122">
        <v>0</v>
      </c>
      <c r="K244" s="122">
        <v>0</v>
      </c>
      <c r="Q244">
        <f>E244/3</f>
        <v>0</v>
      </c>
      <c r="R244">
        <f t="shared" ref="R244:W244" si="58">F244/3</f>
        <v>0</v>
      </c>
      <c r="S244">
        <f t="shared" si="58"/>
        <v>0</v>
      </c>
      <c r="T244">
        <f t="shared" si="58"/>
        <v>0</v>
      </c>
      <c r="U244">
        <f t="shared" si="58"/>
        <v>0</v>
      </c>
      <c r="V244">
        <f t="shared" si="58"/>
        <v>0</v>
      </c>
      <c r="W244">
        <f t="shared" si="58"/>
        <v>0</v>
      </c>
    </row>
    <row r="245" ht="14.5" spans="4:23">
      <c r="D245" s="122" t="s">
        <v>5</v>
      </c>
      <c r="E245" s="122">
        <v>0</v>
      </c>
      <c r="F245" s="122">
        <v>0</v>
      </c>
      <c r="G245" s="122">
        <v>0</v>
      </c>
      <c r="H245" s="122">
        <v>0</v>
      </c>
      <c r="I245" s="122">
        <v>0</v>
      </c>
      <c r="J245" s="122">
        <v>0</v>
      </c>
      <c r="K245" s="122">
        <v>0</v>
      </c>
      <c r="Q245">
        <f t="shared" ref="Q245:Q277" si="59">E245/3</f>
        <v>0</v>
      </c>
      <c r="R245">
        <f t="shared" ref="R245:W245" si="60">F245/3</f>
        <v>0</v>
      </c>
      <c r="S245">
        <f t="shared" si="60"/>
        <v>0</v>
      </c>
      <c r="T245">
        <f t="shared" si="60"/>
        <v>0</v>
      </c>
      <c r="U245">
        <f t="shared" si="60"/>
        <v>0</v>
      </c>
      <c r="V245">
        <f t="shared" si="60"/>
        <v>0</v>
      </c>
      <c r="W245">
        <f t="shared" si="60"/>
        <v>0</v>
      </c>
    </row>
    <row r="246" ht="14.5" spans="4:23">
      <c r="D246" s="122" t="s">
        <v>6</v>
      </c>
      <c r="E246" s="122">
        <v>0</v>
      </c>
      <c r="F246" s="122">
        <v>0</v>
      </c>
      <c r="G246" s="122">
        <v>0</v>
      </c>
      <c r="H246" s="122">
        <v>0</v>
      </c>
      <c r="I246" s="122">
        <v>0</v>
      </c>
      <c r="J246" s="122">
        <v>0</v>
      </c>
      <c r="K246" s="122">
        <v>0</v>
      </c>
      <c r="Q246">
        <f t="shared" si="59"/>
        <v>0</v>
      </c>
      <c r="R246">
        <f t="shared" ref="R246:W246" si="61">F246/3</f>
        <v>0</v>
      </c>
      <c r="S246">
        <f t="shared" si="61"/>
        <v>0</v>
      </c>
      <c r="T246">
        <f t="shared" si="61"/>
        <v>0</v>
      </c>
      <c r="U246">
        <f t="shared" si="61"/>
        <v>0</v>
      </c>
      <c r="V246">
        <f t="shared" si="61"/>
        <v>0</v>
      </c>
      <c r="W246">
        <f t="shared" si="61"/>
        <v>0</v>
      </c>
    </row>
    <row r="247" ht="14.5" spans="4:23">
      <c r="D247" s="122" t="s">
        <v>7</v>
      </c>
      <c r="E247" s="122">
        <v>0</v>
      </c>
      <c r="F247" s="122">
        <v>0</v>
      </c>
      <c r="G247" s="122">
        <v>0</v>
      </c>
      <c r="H247" s="122">
        <v>0</v>
      </c>
      <c r="I247" s="122">
        <v>0</v>
      </c>
      <c r="J247" s="122">
        <v>0</v>
      </c>
      <c r="K247" s="122">
        <v>0</v>
      </c>
      <c r="Q247">
        <f t="shared" si="59"/>
        <v>0</v>
      </c>
      <c r="R247">
        <f t="shared" ref="R247:W247" si="62">F247/3</f>
        <v>0</v>
      </c>
      <c r="S247">
        <f t="shared" si="62"/>
        <v>0</v>
      </c>
      <c r="T247">
        <f t="shared" si="62"/>
        <v>0</v>
      </c>
      <c r="U247">
        <f t="shared" si="62"/>
        <v>0</v>
      </c>
      <c r="V247">
        <f t="shared" si="62"/>
        <v>0</v>
      </c>
      <c r="W247">
        <f t="shared" si="62"/>
        <v>0</v>
      </c>
    </row>
    <row r="248" ht="14.5" spans="4:23">
      <c r="D248" s="122" t="s">
        <v>8</v>
      </c>
      <c r="E248" s="122">
        <v>0</v>
      </c>
      <c r="F248" s="122">
        <v>0</v>
      </c>
      <c r="G248" s="122">
        <v>0</v>
      </c>
      <c r="H248" s="122">
        <v>0</v>
      </c>
      <c r="I248" s="122">
        <v>0</v>
      </c>
      <c r="J248" s="122">
        <v>0</v>
      </c>
      <c r="K248" s="122">
        <v>0</v>
      </c>
      <c r="Q248">
        <f t="shared" si="59"/>
        <v>0</v>
      </c>
      <c r="R248">
        <f t="shared" ref="R248:W248" si="63">F248/3</f>
        <v>0</v>
      </c>
      <c r="S248">
        <f t="shared" si="63"/>
        <v>0</v>
      </c>
      <c r="T248">
        <f t="shared" si="63"/>
        <v>0</v>
      </c>
      <c r="U248">
        <f t="shared" si="63"/>
        <v>0</v>
      </c>
      <c r="V248">
        <f t="shared" si="63"/>
        <v>0</v>
      </c>
      <c r="W248">
        <f t="shared" si="63"/>
        <v>0</v>
      </c>
    </row>
    <row r="249" ht="14.5" spans="4:23">
      <c r="D249" s="122" t="s">
        <v>9</v>
      </c>
      <c r="E249" s="122">
        <v>0</v>
      </c>
      <c r="F249" s="122">
        <v>0</v>
      </c>
      <c r="G249" s="122">
        <v>0</v>
      </c>
      <c r="H249" s="122">
        <v>0</v>
      </c>
      <c r="I249" s="122">
        <v>0</v>
      </c>
      <c r="J249" s="122">
        <v>0</v>
      </c>
      <c r="K249" s="122">
        <v>0</v>
      </c>
      <c r="Q249">
        <f t="shared" si="59"/>
        <v>0</v>
      </c>
      <c r="R249">
        <f t="shared" ref="R249:W249" si="64">F249/3</f>
        <v>0</v>
      </c>
      <c r="S249">
        <f t="shared" si="64"/>
        <v>0</v>
      </c>
      <c r="T249">
        <f t="shared" si="64"/>
        <v>0</v>
      </c>
      <c r="U249">
        <f t="shared" si="64"/>
        <v>0</v>
      </c>
      <c r="V249">
        <f t="shared" si="64"/>
        <v>0</v>
      </c>
      <c r="W249">
        <f t="shared" si="64"/>
        <v>0</v>
      </c>
    </row>
    <row r="250" ht="14.5" spans="4:23">
      <c r="D250" s="122" t="s">
        <v>10</v>
      </c>
      <c r="E250" s="122">
        <v>0</v>
      </c>
      <c r="F250" s="122">
        <v>0</v>
      </c>
      <c r="G250" s="122">
        <v>0</v>
      </c>
      <c r="H250" s="122">
        <v>0</v>
      </c>
      <c r="I250" s="122">
        <v>0</v>
      </c>
      <c r="J250" s="122">
        <v>0</v>
      </c>
      <c r="K250" s="122">
        <v>0</v>
      </c>
      <c r="Q250">
        <f t="shared" si="59"/>
        <v>0</v>
      </c>
      <c r="R250">
        <f t="shared" ref="R250:W250" si="65">F250/3</f>
        <v>0</v>
      </c>
      <c r="S250">
        <f t="shared" si="65"/>
        <v>0</v>
      </c>
      <c r="T250">
        <f t="shared" si="65"/>
        <v>0</v>
      </c>
      <c r="U250">
        <f t="shared" si="65"/>
        <v>0</v>
      </c>
      <c r="V250">
        <f t="shared" si="65"/>
        <v>0</v>
      </c>
      <c r="W250">
        <f t="shared" si="65"/>
        <v>0</v>
      </c>
    </row>
    <row r="251" ht="14.5" spans="4:23">
      <c r="D251" s="122" t="s">
        <v>11</v>
      </c>
      <c r="E251" s="122">
        <v>970</v>
      </c>
      <c r="F251" s="122">
        <v>483</v>
      </c>
      <c r="G251" s="122">
        <v>268</v>
      </c>
      <c r="H251" s="122">
        <v>188</v>
      </c>
      <c r="I251" s="122">
        <v>80</v>
      </c>
      <c r="J251" s="122">
        <v>188</v>
      </c>
      <c r="K251" s="122">
        <v>0</v>
      </c>
      <c r="Q251">
        <f t="shared" si="59"/>
        <v>323.333333333333</v>
      </c>
      <c r="R251">
        <f t="shared" ref="R251:W251" si="66">F251/3</f>
        <v>161</v>
      </c>
      <c r="S251">
        <f t="shared" si="66"/>
        <v>89.3333333333333</v>
      </c>
      <c r="T251">
        <f t="shared" si="66"/>
        <v>62.6666666666667</v>
      </c>
      <c r="U251">
        <f t="shared" si="66"/>
        <v>26.6666666666667</v>
      </c>
      <c r="V251">
        <f t="shared" si="66"/>
        <v>62.6666666666667</v>
      </c>
      <c r="W251">
        <f t="shared" si="66"/>
        <v>0</v>
      </c>
    </row>
    <row r="252" ht="14.5" spans="4:23">
      <c r="D252" s="122" t="s">
        <v>12</v>
      </c>
      <c r="E252" s="122">
        <v>0</v>
      </c>
      <c r="F252" s="122">
        <v>0</v>
      </c>
      <c r="G252" s="122">
        <v>0</v>
      </c>
      <c r="H252" s="122">
        <v>0</v>
      </c>
      <c r="I252" s="122">
        <v>0</v>
      </c>
      <c r="J252" s="122">
        <v>0</v>
      </c>
      <c r="K252" s="122">
        <v>0</v>
      </c>
      <c r="Q252">
        <f t="shared" si="59"/>
        <v>0</v>
      </c>
      <c r="R252">
        <f t="shared" ref="R252:W252" si="67">F252/3</f>
        <v>0</v>
      </c>
      <c r="S252">
        <f t="shared" si="67"/>
        <v>0</v>
      </c>
      <c r="T252">
        <f t="shared" si="67"/>
        <v>0</v>
      </c>
      <c r="U252">
        <f t="shared" si="67"/>
        <v>0</v>
      </c>
      <c r="V252">
        <f t="shared" si="67"/>
        <v>0</v>
      </c>
      <c r="W252">
        <f t="shared" si="67"/>
        <v>0</v>
      </c>
    </row>
    <row r="253" ht="14.5" spans="4:23">
      <c r="D253" s="122" t="s">
        <v>13</v>
      </c>
      <c r="E253" s="122">
        <v>0</v>
      </c>
      <c r="F253" s="122">
        <v>0</v>
      </c>
      <c r="G253" s="122">
        <v>0</v>
      </c>
      <c r="H253" s="122">
        <v>0</v>
      </c>
      <c r="I253" s="122">
        <v>0</v>
      </c>
      <c r="J253" s="122">
        <v>0</v>
      </c>
      <c r="K253" s="122">
        <v>0</v>
      </c>
      <c r="Q253">
        <f t="shared" si="59"/>
        <v>0</v>
      </c>
      <c r="R253">
        <f t="shared" ref="R253:W253" si="68">F253/3</f>
        <v>0</v>
      </c>
      <c r="S253">
        <f t="shared" si="68"/>
        <v>0</v>
      </c>
      <c r="T253">
        <f t="shared" si="68"/>
        <v>0</v>
      </c>
      <c r="U253">
        <f t="shared" si="68"/>
        <v>0</v>
      </c>
      <c r="V253">
        <f t="shared" si="68"/>
        <v>0</v>
      </c>
      <c r="W253">
        <f t="shared" si="68"/>
        <v>0</v>
      </c>
    </row>
    <row r="254" ht="14.5" spans="4:23">
      <c r="D254" s="122" t="s">
        <v>14</v>
      </c>
      <c r="E254" s="122">
        <v>1</v>
      </c>
      <c r="F254" s="122">
        <v>2</v>
      </c>
      <c r="G254" s="122">
        <v>2</v>
      </c>
      <c r="H254" s="122">
        <v>1</v>
      </c>
      <c r="I254" s="122">
        <v>1</v>
      </c>
      <c r="J254" s="122">
        <v>0</v>
      </c>
      <c r="K254" s="122">
        <v>0</v>
      </c>
      <c r="Q254">
        <f t="shared" si="59"/>
        <v>0.333333333333333</v>
      </c>
      <c r="R254">
        <f t="shared" ref="R254:W254" si="69">F254/3</f>
        <v>0.666666666666667</v>
      </c>
      <c r="S254">
        <f t="shared" si="69"/>
        <v>0.666666666666667</v>
      </c>
      <c r="T254">
        <f t="shared" si="69"/>
        <v>0.333333333333333</v>
      </c>
      <c r="U254">
        <f t="shared" si="69"/>
        <v>0.333333333333333</v>
      </c>
      <c r="V254">
        <f t="shared" si="69"/>
        <v>0</v>
      </c>
      <c r="W254">
        <f t="shared" si="69"/>
        <v>0</v>
      </c>
    </row>
    <row r="255" ht="14.5" spans="4:23">
      <c r="D255" s="122" t="s">
        <v>15</v>
      </c>
      <c r="E255" s="122">
        <v>3</v>
      </c>
      <c r="F255" s="122">
        <v>8</v>
      </c>
      <c r="G255" s="122">
        <v>6</v>
      </c>
      <c r="H255" s="122">
        <v>5</v>
      </c>
      <c r="I255" s="122">
        <v>3</v>
      </c>
      <c r="J255" s="122">
        <v>1</v>
      </c>
      <c r="K255" s="122">
        <v>0</v>
      </c>
      <c r="Q255">
        <f t="shared" si="59"/>
        <v>1</v>
      </c>
      <c r="R255">
        <f t="shared" ref="R255:W255" si="70">F255/3</f>
        <v>2.66666666666667</v>
      </c>
      <c r="S255">
        <f t="shared" si="70"/>
        <v>2</v>
      </c>
      <c r="T255">
        <f t="shared" si="70"/>
        <v>1.66666666666667</v>
      </c>
      <c r="U255">
        <f t="shared" si="70"/>
        <v>1</v>
      </c>
      <c r="V255">
        <f t="shared" si="70"/>
        <v>0.333333333333333</v>
      </c>
      <c r="W255">
        <f t="shared" si="70"/>
        <v>0</v>
      </c>
    </row>
    <row r="256" ht="14.5" spans="4:23">
      <c r="D256" s="122" t="s">
        <v>16</v>
      </c>
      <c r="E256" s="122">
        <v>0</v>
      </c>
      <c r="F256" s="122">
        <v>0</v>
      </c>
      <c r="G256" s="122">
        <v>0</v>
      </c>
      <c r="H256" s="122">
        <v>0</v>
      </c>
      <c r="I256" s="122">
        <v>0</v>
      </c>
      <c r="J256" s="122">
        <v>0</v>
      </c>
      <c r="K256" s="122">
        <v>0</v>
      </c>
      <c r="Q256">
        <f t="shared" si="59"/>
        <v>0</v>
      </c>
      <c r="R256">
        <f t="shared" ref="R256:W256" si="71">F256/3</f>
        <v>0</v>
      </c>
      <c r="S256">
        <f t="shared" si="71"/>
        <v>0</v>
      </c>
      <c r="T256">
        <f t="shared" si="71"/>
        <v>0</v>
      </c>
      <c r="U256">
        <f t="shared" si="71"/>
        <v>0</v>
      </c>
      <c r="V256">
        <f t="shared" si="71"/>
        <v>0</v>
      </c>
      <c r="W256">
        <f t="shared" si="71"/>
        <v>0</v>
      </c>
    </row>
    <row r="257" ht="14.5" spans="4:23">
      <c r="D257" s="122" t="s">
        <v>17</v>
      </c>
      <c r="E257" s="122">
        <v>3</v>
      </c>
      <c r="F257" s="122">
        <v>8</v>
      </c>
      <c r="G257" s="122">
        <v>6</v>
      </c>
      <c r="H257" s="122">
        <v>5</v>
      </c>
      <c r="I257" s="122">
        <v>3</v>
      </c>
      <c r="J257" s="122">
        <v>1</v>
      </c>
      <c r="K257" s="122">
        <v>0</v>
      </c>
      <c r="Q257">
        <f t="shared" si="59"/>
        <v>1</v>
      </c>
      <c r="R257">
        <f t="shared" ref="R257:W257" si="72">F257/3</f>
        <v>2.66666666666667</v>
      </c>
      <c r="S257">
        <f t="shared" si="72"/>
        <v>2</v>
      </c>
      <c r="T257">
        <f t="shared" si="72"/>
        <v>1.66666666666667</v>
      </c>
      <c r="U257">
        <f t="shared" si="72"/>
        <v>1</v>
      </c>
      <c r="V257">
        <f t="shared" si="72"/>
        <v>0.333333333333333</v>
      </c>
      <c r="W257">
        <f t="shared" si="72"/>
        <v>0</v>
      </c>
    </row>
    <row r="258" ht="14.5" spans="4:23">
      <c r="D258" s="122" t="s">
        <v>18</v>
      </c>
      <c r="E258" s="122">
        <v>0</v>
      </c>
      <c r="F258" s="122">
        <v>0</v>
      </c>
      <c r="G258" s="122">
        <v>0</v>
      </c>
      <c r="H258" s="122">
        <v>0</v>
      </c>
      <c r="I258" s="122">
        <v>0</v>
      </c>
      <c r="J258" s="122">
        <v>0</v>
      </c>
      <c r="K258" s="122">
        <v>0</v>
      </c>
      <c r="Q258">
        <f t="shared" si="59"/>
        <v>0</v>
      </c>
      <c r="R258">
        <f t="shared" ref="R258:W258" si="73">F258/3</f>
        <v>0</v>
      </c>
      <c r="S258">
        <f t="shared" si="73"/>
        <v>0</v>
      </c>
      <c r="T258">
        <f t="shared" si="73"/>
        <v>0</v>
      </c>
      <c r="U258">
        <f t="shared" si="73"/>
        <v>0</v>
      </c>
      <c r="V258">
        <f t="shared" si="73"/>
        <v>0</v>
      </c>
      <c r="W258">
        <f t="shared" si="73"/>
        <v>0</v>
      </c>
    </row>
    <row r="259" ht="14.5" spans="4:23">
      <c r="D259" s="122" t="s">
        <v>19</v>
      </c>
      <c r="E259" s="122">
        <v>0</v>
      </c>
      <c r="F259" s="122">
        <v>0</v>
      </c>
      <c r="G259" s="122">
        <v>0</v>
      </c>
      <c r="H259" s="122">
        <v>0</v>
      </c>
      <c r="I259" s="122">
        <v>0</v>
      </c>
      <c r="J259" s="122">
        <v>0</v>
      </c>
      <c r="K259" s="122">
        <v>0</v>
      </c>
      <c r="Q259">
        <f t="shared" si="59"/>
        <v>0</v>
      </c>
      <c r="R259">
        <f t="shared" ref="R259:W259" si="74">F259/3</f>
        <v>0</v>
      </c>
      <c r="S259">
        <f t="shared" si="74"/>
        <v>0</v>
      </c>
      <c r="T259">
        <f t="shared" si="74"/>
        <v>0</v>
      </c>
      <c r="U259">
        <f t="shared" si="74"/>
        <v>0</v>
      </c>
      <c r="V259">
        <f t="shared" si="74"/>
        <v>0</v>
      </c>
      <c r="W259">
        <f t="shared" si="74"/>
        <v>0</v>
      </c>
    </row>
    <row r="260" ht="14.5" spans="4:23">
      <c r="D260" s="122" t="s">
        <v>20</v>
      </c>
      <c r="E260" s="122">
        <v>0</v>
      </c>
      <c r="F260" s="122">
        <v>0</v>
      </c>
      <c r="G260" s="122">
        <v>0</v>
      </c>
      <c r="H260" s="122">
        <v>0</v>
      </c>
      <c r="I260" s="122">
        <v>0</v>
      </c>
      <c r="J260" s="122">
        <v>0</v>
      </c>
      <c r="K260" s="122">
        <v>0</v>
      </c>
      <c r="Q260">
        <f t="shared" si="59"/>
        <v>0</v>
      </c>
      <c r="R260">
        <f t="shared" ref="R260:W260" si="75">F260/3</f>
        <v>0</v>
      </c>
      <c r="S260">
        <f t="shared" si="75"/>
        <v>0</v>
      </c>
      <c r="T260">
        <f t="shared" si="75"/>
        <v>0</v>
      </c>
      <c r="U260">
        <f t="shared" si="75"/>
        <v>0</v>
      </c>
      <c r="V260">
        <f t="shared" si="75"/>
        <v>0</v>
      </c>
      <c r="W260">
        <f t="shared" si="75"/>
        <v>0</v>
      </c>
    </row>
    <row r="261" ht="14.5" spans="4:23">
      <c r="D261" s="122" t="s">
        <v>21</v>
      </c>
      <c r="E261" s="122">
        <v>0</v>
      </c>
      <c r="F261" s="122">
        <v>0</v>
      </c>
      <c r="G261" s="122">
        <v>0</v>
      </c>
      <c r="H261" s="122">
        <v>0</v>
      </c>
      <c r="I261" s="122">
        <v>0</v>
      </c>
      <c r="J261" s="122">
        <v>0</v>
      </c>
      <c r="K261" s="122">
        <v>0</v>
      </c>
      <c r="Q261">
        <f t="shared" si="59"/>
        <v>0</v>
      </c>
      <c r="R261">
        <f t="shared" ref="R261:W261" si="76">F261/3</f>
        <v>0</v>
      </c>
      <c r="S261">
        <f t="shared" si="76"/>
        <v>0</v>
      </c>
      <c r="T261">
        <f t="shared" si="76"/>
        <v>0</v>
      </c>
      <c r="U261">
        <f t="shared" si="76"/>
        <v>0</v>
      </c>
      <c r="V261">
        <f t="shared" si="76"/>
        <v>0</v>
      </c>
      <c r="W261">
        <f t="shared" si="76"/>
        <v>0</v>
      </c>
    </row>
    <row r="262" ht="14.5" spans="4:23">
      <c r="D262" s="122" t="s">
        <v>22</v>
      </c>
      <c r="E262" s="122">
        <v>3</v>
      </c>
      <c r="F262" s="122">
        <v>12</v>
      </c>
      <c r="G262" s="122">
        <v>12</v>
      </c>
      <c r="H262" s="122">
        <v>9</v>
      </c>
      <c r="I262" s="122">
        <v>23</v>
      </c>
      <c r="J262" s="122">
        <v>1</v>
      </c>
      <c r="K262" s="122">
        <v>0</v>
      </c>
      <c r="Q262">
        <f t="shared" si="59"/>
        <v>1</v>
      </c>
      <c r="R262">
        <f t="shared" ref="R262:W262" si="77">F262/3</f>
        <v>4</v>
      </c>
      <c r="S262">
        <f t="shared" si="77"/>
        <v>4</v>
      </c>
      <c r="T262">
        <f t="shared" si="77"/>
        <v>3</v>
      </c>
      <c r="U262">
        <f t="shared" si="77"/>
        <v>7.66666666666667</v>
      </c>
      <c r="V262">
        <f t="shared" si="77"/>
        <v>0.333333333333333</v>
      </c>
      <c r="W262">
        <f t="shared" si="77"/>
        <v>0</v>
      </c>
    </row>
    <row r="263" ht="14.5" spans="4:23">
      <c r="D263" s="122" t="s">
        <v>23</v>
      </c>
      <c r="E263" s="122">
        <v>0</v>
      </c>
      <c r="F263" s="122">
        <v>0</v>
      </c>
      <c r="G263" s="122">
        <v>0</v>
      </c>
      <c r="H263" s="122">
        <v>0</v>
      </c>
      <c r="I263" s="122">
        <v>0</v>
      </c>
      <c r="J263" s="122">
        <v>0</v>
      </c>
      <c r="K263" s="122">
        <v>0</v>
      </c>
      <c r="Q263">
        <f t="shared" si="59"/>
        <v>0</v>
      </c>
      <c r="R263">
        <f t="shared" ref="R263:W263" si="78">F263/3</f>
        <v>0</v>
      </c>
      <c r="S263">
        <f t="shared" si="78"/>
        <v>0</v>
      </c>
      <c r="T263">
        <f t="shared" si="78"/>
        <v>0</v>
      </c>
      <c r="U263">
        <f t="shared" si="78"/>
        <v>0</v>
      </c>
      <c r="V263">
        <f t="shared" si="78"/>
        <v>0</v>
      </c>
      <c r="W263">
        <f t="shared" si="78"/>
        <v>0</v>
      </c>
    </row>
    <row r="264" ht="14.5" spans="4:23">
      <c r="D264" s="122" t="s">
        <v>24</v>
      </c>
      <c r="E264" s="122">
        <v>0</v>
      </c>
      <c r="F264" s="122">
        <v>0</v>
      </c>
      <c r="G264" s="122">
        <v>0</v>
      </c>
      <c r="H264" s="122">
        <v>0</v>
      </c>
      <c r="I264" s="122">
        <v>0</v>
      </c>
      <c r="J264" s="122">
        <v>0</v>
      </c>
      <c r="K264" s="122">
        <v>0</v>
      </c>
      <c r="Q264">
        <f t="shared" si="59"/>
        <v>0</v>
      </c>
      <c r="R264">
        <f t="shared" ref="R264:W264" si="79">F264/3</f>
        <v>0</v>
      </c>
      <c r="S264">
        <f t="shared" si="79"/>
        <v>0</v>
      </c>
      <c r="T264">
        <f t="shared" si="79"/>
        <v>0</v>
      </c>
      <c r="U264">
        <f t="shared" si="79"/>
        <v>0</v>
      </c>
      <c r="V264">
        <f t="shared" si="79"/>
        <v>0</v>
      </c>
      <c r="W264">
        <f t="shared" si="79"/>
        <v>0</v>
      </c>
    </row>
    <row r="265" ht="14.5" spans="4:23">
      <c r="D265" s="122" t="s">
        <v>25</v>
      </c>
      <c r="E265" s="122">
        <v>19</v>
      </c>
      <c r="F265" s="122">
        <v>26</v>
      </c>
      <c r="G265" s="122">
        <v>23</v>
      </c>
      <c r="H265" s="122">
        <v>15</v>
      </c>
      <c r="I265" s="122">
        <v>38</v>
      </c>
      <c r="J265" s="122">
        <v>6</v>
      </c>
      <c r="K265" s="122">
        <v>0</v>
      </c>
      <c r="Q265">
        <f t="shared" si="59"/>
        <v>6.33333333333333</v>
      </c>
      <c r="R265">
        <f t="shared" ref="R265:W265" si="80">F265/3</f>
        <v>8.66666666666667</v>
      </c>
      <c r="S265">
        <f t="shared" si="80"/>
        <v>7.66666666666667</v>
      </c>
      <c r="T265">
        <f t="shared" si="80"/>
        <v>5</v>
      </c>
      <c r="U265">
        <f t="shared" si="80"/>
        <v>12.6666666666667</v>
      </c>
      <c r="V265">
        <f t="shared" si="80"/>
        <v>2</v>
      </c>
      <c r="W265">
        <f t="shared" si="80"/>
        <v>0</v>
      </c>
    </row>
    <row r="266" ht="14.5" spans="4:23">
      <c r="D266" s="122" t="s">
        <v>26</v>
      </c>
      <c r="E266" s="122">
        <v>0</v>
      </c>
      <c r="F266" s="122">
        <v>0</v>
      </c>
      <c r="G266" s="122">
        <v>0</v>
      </c>
      <c r="H266" s="122">
        <v>0</v>
      </c>
      <c r="I266" s="122">
        <v>0</v>
      </c>
      <c r="J266" s="122">
        <v>0</v>
      </c>
      <c r="K266" s="122">
        <v>0</v>
      </c>
      <c r="Q266">
        <f t="shared" si="59"/>
        <v>0</v>
      </c>
      <c r="R266">
        <f t="shared" ref="R266:W266" si="81">F266/3</f>
        <v>0</v>
      </c>
      <c r="S266">
        <f t="shared" si="81"/>
        <v>0</v>
      </c>
      <c r="T266">
        <f t="shared" si="81"/>
        <v>0</v>
      </c>
      <c r="U266">
        <f t="shared" si="81"/>
        <v>0</v>
      </c>
      <c r="V266">
        <f t="shared" si="81"/>
        <v>0</v>
      </c>
      <c r="W266">
        <f t="shared" si="81"/>
        <v>0</v>
      </c>
    </row>
    <row r="267" ht="14.5" spans="4:23">
      <c r="D267" s="122" t="s">
        <v>27</v>
      </c>
      <c r="E267" s="122">
        <v>7</v>
      </c>
      <c r="F267" s="122">
        <v>19</v>
      </c>
      <c r="G267" s="122">
        <v>14</v>
      </c>
      <c r="H267" s="122">
        <v>10</v>
      </c>
      <c r="I267" s="122">
        <v>6</v>
      </c>
      <c r="J267" s="122">
        <v>2</v>
      </c>
      <c r="K267" s="122">
        <v>0</v>
      </c>
      <c r="Q267">
        <f t="shared" si="59"/>
        <v>2.33333333333333</v>
      </c>
      <c r="R267">
        <f t="shared" ref="R267:W267" si="82">F267/3</f>
        <v>6.33333333333333</v>
      </c>
      <c r="S267">
        <f t="shared" si="82"/>
        <v>4.66666666666667</v>
      </c>
      <c r="T267">
        <f t="shared" si="82"/>
        <v>3.33333333333333</v>
      </c>
      <c r="U267">
        <f t="shared" si="82"/>
        <v>2</v>
      </c>
      <c r="V267">
        <f t="shared" si="82"/>
        <v>0.666666666666667</v>
      </c>
      <c r="W267">
        <f t="shared" si="82"/>
        <v>0</v>
      </c>
    </row>
    <row r="268" ht="14.5" spans="4:23">
      <c r="D268" s="122" t="s">
        <v>28</v>
      </c>
      <c r="E268" s="122">
        <v>17</v>
      </c>
      <c r="F268" s="122">
        <v>17</v>
      </c>
      <c r="G268" s="122">
        <v>12</v>
      </c>
      <c r="H268" s="122">
        <v>8</v>
      </c>
      <c r="I268" s="122">
        <v>12</v>
      </c>
      <c r="J268" s="122">
        <v>1</v>
      </c>
      <c r="K268" s="122">
        <v>0</v>
      </c>
      <c r="Q268">
        <f t="shared" si="59"/>
        <v>5.66666666666667</v>
      </c>
      <c r="R268">
        <f t="shared" ref="R268:W268" si="83">F268/3</f>
        <v>5.66666666666667</v>
      </c>
      <c r="S268">
        <f t="shared" si="83"/>
        <v>4</v>
      </c>
      <c r="T268">
        <f t="shared" si="83"/>
        <v>2.66666666666667</v>
      </c>
      <c r="U268">
        <f t="shared" si="83"/>
        <v>4</v>
      </c>
      <c r="V268">
        <f t="shared" si="83"/>
        <v>0.333333333333333</v>
      </c>
      <c r="W268">
        <f t="shared" si="83"/>
        <v>0</v>
      </c>
    </row>
    <row r="269" ht="14.5" spans="4:23">
      <c r="D269" s="122" t="s">
        <v>29</v>
      </c>
      <c r="E269" s="122">
        <v>0</v>
      </c>
      <c r="F269" s="122">
        <v>0</v>
      </c>
      <c r="G269" s="122">
        <v>0</v>
      </c>
      <c r="H269" s="122">
        <v>0</v>
      </c>
      <c r="I269" s="122">
        <v>0</v>
      </c>
      <c r="J269" s="122">
        <v>0</v>
      </c>
      <c r="K269" s="122">
        <v>0</v>
      </c>
      <c r="Q269">
        <f t="shared" si="59"/>
        <v>0</v>
      </c>
      <c r="R269">
        <f t="shared" ref="R269:W269" si="84">F269/3</f>
        <v>0</v>
      </c>
      <c r="S269">
        <f t="shared" si="84"/>
        <v>0</v>
      </c>
      <c r="T269">
        <f t="shared" si="84"/>
        <v>0</v>
      </c>
      <c r="U269">
        <f t="shared" si="84"/>
        <v>0</v>
      </c>
      <c r="V269">
        <f t="shared" si="84"/>
        <v>0</v>
      </c>
      <c r="W269">
        <f t="shared" si="84"/>
        <v>0</v>
      </c>
    </row>
    <row r="270" ht="14.5" spans="4:23">
      <c r="D270" s="122" t="s">
        <v>30</v>
      </c>
      <c r="E270" s="122">
        <v>0</v>
      </c>
      <c r="F270" s="122">
        <v>0</v>
      </c>
      <c r="G270" s="122">
        <v>0</v>
      </c>
      <c r="H270" s="122">
        <v>0</v>
      </c>
      <c r="I270" s="122">
        <v>0</v>
      </c>
      <c r="J270" s="122">
        <v>0</v>
      </c>
      <c r="K270" s="122">
        <v>0</v>
      </c>
      <c r="Q270">
        <f t="shared" si="59"/>
        <v>0</v>
      </c>
      <c r="R270">
        <f t="shared" ref="R270:W270" si="85">F270/3</f>
        <v>0</v>
      </c>
      <c r="S270">
        <f t="shared" si="85"/>
        <v>0</v>
      </c>
      <c r="T270">
        <f t="shared" si="85"/>
        <v>0</v>
      </c>
      <c r="U270">
        <f t="shared" si="85"/>
        <v>0</v>
      </c>
      <c r="V270">
        <f t="shared" si="85"/>
        <v>0</v>
      </c>
      <c r="W270">
        <f t="shared" si="85"/>
        <v>0</v>
      </c>
    </row>
    <row r="271" ht="14.5" spans="4:23">
      <c r="D271" s="122" t="s">
        <v>31</v>
      </c>
      <c r="E271" s="122">
        <v>0</v>
      </c>
      <c r="F271" s="122">
        <v>0</v>
      </c>
      <c r="G271" s="122">
        <v>0</v>
      </c>
      <c r="H271" s="122">
        <v>0</v>
      </c>
      <c r="I271" s="122">
        <v>0</v>
      </c>
      <c r="J271" s="122">
        <v>0</v>
      </c>
      <c r="K271" s="122">
        <v>0</v>
      </c>
      <c r="Q271">
        <f t="shared" si="59"/>
        <v>0</v>
      </c>
      <c r="R271">
        <f t="shared" ref="R271:W271" si="86">F271/3</f>
        <v>0</v>
      </c>
      <c r="S271">
        <f t="shared" si="86"/>
        <v>0</v>
      </c>
      <c r="T271">
        <f t="shared" si="86"/>
        <v>0</v>
      </c>
      <c r="U271">
        <f t="shared" si="86"/>
        <v>0</v>
      </c>
      <c r="V271">
        <f t="shared" si="86"/>
        <v>0</v>
      </c>
      <c r="W271">
        <f t="shared" si="86"/>
        <v>0</v>
      </c>
    </row>
    <row r="272" ht="14.5" spans="4:23">
      <c r="D272" s="122" t="s">
        <v>32</v>
      </c>
      <c r="E272" s="122">
        <v>0</v>
      </c>
      <c r="F272" s="122">
        <v>0</v>
      </c>
      <c r="G272" s="122">
        <v>0</v>
      </c>
      <c r="H272" s="122">
        <v>0</v>
      </c>
      <c r="I272" s="122">
        <v>0</v>
      </c>
      <c r="J272" s="122">
        <v>0</v>
      </c>
      <c r="K272" s="122">
        <v>0</v>
      </c>
      <c r="Q272">
        <f t="shared" si="59"/>
        <v>0</v>
      </c>
      <c r="R272">
        <f t="shared" ref="R272:W272" si="87">F272/3</f>
        <v>0</v>
      </c>
      <c r="S272">
        <f t="shared" si="87"/>
        <v>0</v>
      </c>
      <c r="T272">
        <f t="shared" si="87"/>
        <v>0</v>
      </c>
      <c r="U272">
        <f t="shared" si="87"/>
        <v>0</v>
      </c>
      <c r="V272">
        <f t="shared" si="87"/>
        <v>0</v>
      </c>
      <c r="W272">
        <f t="shared" si="87"/>
        <v>0</v>
      </c>
    </row>
    <row r="273" ht="14.5" spans="1:38">
      <c r="D273" s="122" t="s">
        <v>33</v>
      </c>
      <c r="E273" s="122">
        <v>2</v>
      </c>
      <c r="F273" s="122">
        <v>4</v>
      </c>
      <c r="G273" s="122">
        <v>3</v>
      </c>
      <c r="H273" s="122">
        <v>2</v>
      </c>
      <c r="I273" s="122">
        <v>1</v>
      </c>
      <c r="J273" s="122">
        <v>0</v>
      </c>
      <c r="K273" s="122">
        <v>0</v>
      </c>
      <c r="Q273">
        <f t="shared" si="59"/>
        <v>0.666666666666667</v>
      </c>
      <c r="R273">
        <f t="shared" ref="R273:W273" si="88">F273/3</f>
        <v>1.33333333333333</v>
      </c>
      <c r="S273">
        <f t="shared" si="88"/>
        <v>1</v>
      </c>
      <c r="T273">
        <f t="shared" si="88"/>
        <v>0.666666666666667</v>
      </c>
      <c r="U273">
        <f t="shared" si="88"/>
        <v>0.333333333333333</v>
      </c>
      <c r="V273">
        <f t="shared" si="88"/>
        <v>0</v>
      </c>
      <c r="W273">
        <f t="shared" si="88"/>
        <v>0</v>
      </c>
    </row>
    <row r="274" ht="14.5" spans="1:38">
      <c r="D274" s="122" t="s">
        <v>34</v>
      </c>
      <c r="E274" s="122">
        <v>0</v>
      </c>
      <c r="F274" s="122">
        <v>0</v>
      </c>
      <c r="G274" s="122">
        <v>0</v>
      </c>
      <c r="H274" s="122">
        <v>0</v>
      </c>
      <c r="I274" s="122">
        <v>0</v>
      </c>
      <c r="J274" s="122">
        <v>0</v>
      </c>
      <c r="K274" s="122">
        <v>0</v>
      </c>
      <c r="Q274">
        <f t="shared" si="59"/>
        <v>0</v>
      </c>
      <c r="R274">
        <f t="shared" ref="R274:W274" si="89">F274/3</f>
        <v>0</v>
      </c>
      <c r="S274">
        <f t="shared" si="89"/>
        <v>0</v>
      </c>
      <c r="T274">
        <f t="shared" si="89"/>
        <v>0</v>
      </c>
      <c r="U274">
        <f t="shared" si="89"/>
        <v>0</v>
      </c>
      <c r="V274">
        <f t="shared" si="89"/>
        <v>0</v>
      </c>
      <c r="W274">
        <f t="shared" si="89"/>
        <v>0</v>
      </c>
    </row>
    <row r="275" ht="14.5" spans="1:38">
      <c r="D275" s="122" t="s">
        <v>35</v>
      </c>
      <c r="E275" s="122">
        <v>0</v>
      </c>
      <c r="F275" s="122">
        <v>0</v>
      </c>
      <c r="G275" s="122">
        <v>0</v>
      </c>
      <c r="H275" s="122">
        <v>0</v>
      </c>
      <c r="I275" s="122">
        <v>0</v>
      </c>
      <c r="J275" s="122">
        <v>0</v>
      </c>
      <c r="K275" s="122">
        <v>0</v>
      </c>
      <c r="Q275">
        <f t="shared" si="59"/>
        <v>0</v>
      </c>
      <c r="R275">
        <f t="shared" ref="R275:W275" si="90">F275/3</f>
        <v>0</v>
      </c>
      <c r="S275">
        <f t="shared" si="90"/>
        <v>0</v>
      </c>
      <c r="T275">
        <f t="shared" si="90"/>
        <v>0</v>
      </c>
      <c r="U275">
        <f t="shared" si="90"/>
        <v>0</v>
      </c>
      <c r="V275">
        <f t="shared" si="90"/>
        <v>0</v>
      </c>
      <c r="W275">
        <f t="shared" si="90"/>
        <v>0</v>
      </c>
    </row>
    <row r="276" ht="14.5" spans="1:38">
      <c r="D276" s="122" t="s">
        <v>36</v>
      </c>
      <c r="E276" s="122">
        <v>0</v>
      </c>
      <c r="F276" s="122">
        <v>0</v>
      </c>
      <c r="G276" s="122">
        <v>0</v>
      </c>
      <c r="H276" s="122">
        <v>0</v>
      </c>
      <c r="I276" s="122">
        <v>0</v>
      </c>
      <c r="J276" s="122">
        <v>0</v>
      </c>
      <c r="K276" s="122">
        <v>0</v>
      </c>
      <c r="Q276">
        <f t="shared" si="59"/>
        <v>0</v>
      </c>
      <c r="R276">
        <f t="shared" ref="R276:W276" si="91">F276/3</f>
        <v>0</v>
      </c>
      <c r="S276">
        <f t="shared" si="91"/>
        <v>0</v>
      </c>
      <c r="T276">
        <f t="shared" si="91"/>
        <v>0</v>
      </c>
      <c r="U276">
        <f t="shared" si="91"/>
        <v>0</v>
      </c>
      <c r="V276">
        <f t="shared" si="91"/>
        <v>0</v>
      </c>
      <c r="W276">
        <f t="shared" si="91"/>
        <v>0</v>
      </c>
    </row>
    <row r="277" ht="14.5" spans="1:38">
      <c r="D277" s="122" t="s">
        <v>37</v>
      </c>
      <c r="E277" s="122">
        <v>0</v>
      </c>
      <c r="F277" s="122">
        <v>0</v>
      </c>
      <c r="G277" s="122">
        <v>0</v>
      </c>
      <c r="H277" s="122">
        <v>0</v>
      </c>
      <c r="I277" s="122">
        <v>0</v>
      </c>
      <c r="J277" s="122">
        <v>0</v>
      </c>
      <c r="K277" s="122">
        <v>0</v>
      </c>
      <c r="Q277">
        <f t="shared" si="59"/>
        <v>0</v>
      </c>
      <c r="R277">
        <f t="shared" ref="R277:W277" si="92">F277/3</f>
        <v>0</v>
      </c>
      <c r="S277">
        <f t="shared" si="92"/>
        <v>0</v>
      </c>
      <c r="T277">
        <f t="shared" si="92"/>
        <v>0</v>
      </c>
      <c r="U277">
        <f t="shared" si="92"/>
        <v>0</v>
      </c>
      <c r="V277">
        <f t="shared" si="92"/>
        <v>0</v>
      </c>
      <c r="W277">
        <f t="shared" si="92"/>
        <v>0</v>
      </c>
    </row>
    <row r="278" ht="14.5" spans="1:38">
      <c r="D278" s="122"/>
      <c r="E278" s="122"/>
      <c r="F278" s="122"/>
      <c r="G278" s="122"/>
      <c r="H278" s="122"/>
      <c r="I278" s="122"/>
      <c r="J278" s="122"/>
      <c r="K278" s="122"/>
    </row>
    <row r="284" spans="1:38">
      <c r="A284" s="67"/>
      <c r="B284" s="67" t="s">
        <v>130</v>
      </c>
      <c r="C284" s="67"/>
    </row>
    <row r="285" ht="14.5" spans="1:38">
      <c r="A285" s="67" t="s">
        <v>41</v>
      </c>
      <c r="B285" s="67" t="s">
        <v>132</v>
      </c>
      <c r="C285" s="67" t="s">
        <v>136</v>
      </c>
      <c r="D285" s="122" t="s">
        <v>65</v>
      </c>
      <c r="E285" s="122" t="s">
        <v>3</v>
      </c>
      <c r="F285" s="122" t="s">
        <v>5</v>
      </c>
      <c r="G285" s="122" t="s">
        <v>6</v>
      </c>
      <c r="H285" s="122" t="s">
        <v>7</v>
      </c>
      <c r="I285" s="122" t="s">
        <v>8</v>
      </c>
      <c r="J285" s="122" t="s">
        <v>9</v>
      </c>
      <c r="K285" s="122" t="s">
        <v>10</v>
      </c>
      <c r="L285" s="122" t="s">
        <v>11</v>
      </c>
      <c r="M285" s="122" t="s">
        <v>12</v>
      </c>
      <c r="N285" s="122" t="s">
        <v>13</v>
      </c>
      <c r="O285" s="122" t="s">
        <v>14</v>
      </c>
      <c r="P285" s="122" t="s">
        <v>15</v>
      </c>
      <c r="Q285" s="122" t="s">
        <v>16</v>
      </c>
      <c r="R285" s="122" t="s">
        <v>17</v>
      </c>
      <c r="S285" s="122" t="s">
        <v>18</v>
      </c>
      <c r="T285" s="122" t="s">
        <v>19</v>
      </c>
      <c r="U285" s="122" t="s">
        <v>20</v>
      </c>
      <c r="V285" s="122" t="s">
        <v>21</v>
      </c>
      <c r="W285" s="122" t="s">
        <v>22</v>
      </c>
      <c r="X285" s="122" t="s">
        <v>23</v>
      </c>
      <c r="Y285" s="122" t="s">
        <v>24</v>
      </c>
      <c r="Z285" s="122" t="s">
        <v>25</v>
      </c>
      <c r="AA285" s="122" t="s">
        <v>26</v>
      </c>
      <c r="AB285" s="122" t="s">
        <v>27</v>
      </c>
      <c r="AC285" s="122" t="s">
        <v>28</v>
      </c>
      <c r="AD285" s="122" t="s">
        <v>29</v>
      </c>
      <c r="AE285" s="122" t="s">
        <v>30</v>
      </c>
      <c r="AF285" s="122" t="s">
        <v>31</v>
      </c>
      <c r="AG285" s="122" t="s">
        <v>32</v>
      </c>
      <c r="AH285" s="122" t="s">
        <v>33</v>
      </c>
      <c r="AI285" s="122" t="s">
        <v>34</v>
      </c>
      <c r="AJ285" s="122" t="s">
        <v>35</v>
      </c>
      <c r="AK285" s="122" t="s">
        <v>36</v>
      </c>
      <c r="AL285" s="122" t="s">
        <v>37</v>
      </c>
    </row>
    <row r="286" ht="14.5" spans="1:38">
      <c r="A286" s="67">
        <v>2020</v>
      </c>
      <c r="B286" s="67" t="s">
        <v>275</v>
      </c>
      <c r="C286" s="67" t="s">
        <v>140</v>
      </c>
      <c r="D286" s="122" t="s">
        <v>278</v>
      </c>
      <c r="E286">
        <v>0</v>
      </c>
      <c r="F286">
        <v>0</v>
      </c>
      <c r="G286">
        <v>0</v>
      </c>
      <c r="H286">
        <v>0</v>
      </c>
      <c r="I286">
        <v>0</v>
      </c>
      <c r="J286">
        <v>0</v>
      </c>
      <c r="K286">
        <v>0</v>
      </c>
      <c r="L286">
        <v>323.333333333333</v>
      </c>
      <c r="M286">
        <v>0</v>
      </c>
      <c r="N286">
        <v>0</v>
      </c>
      <c r="O286">
        <v>0.333333333333333</v>
      </c>
      <c r="P286">
        <v>1</v>
      </c>
      <c r="Q286">
        <v>0</v>
      </c>
      <c r="R286">
        <v>1</v>
      </c>
      <c r="S286">
        <v>0</v>
      </c>
      <c r="T286">
        <v>0</v>
      </c>
      <c r="U286">
        <v>0</v>
      </c>
      <c r="V286">
        <v>0</v>
      </c>
      <c r="W286">
        <v>1</v>
      </c>
      <c r="X286">
        <v>0</v>
      </c>
      <c r="Y286">
        <v>0</v>
      </c>
      <c r="Z286">
        <v>6.33333333333333</v>
      </c>
      <c r="AA286">
        <v>0</v>
      </c>
      <c r="AB286">
        <v>2.33333333333333</v>
      </c>
      <c r="AC286">
        <v>5.66666666666667</v>
      </c>
      <c r="AD286">
        <v>0</v>
      </c>
      <c r="AE286">
        <v>0</v>
      </c>
      <c r="AF286">
        <v>0</v>
      </c>
      <c r="AG286">
        <v>0</v>
      </c>
      <c r="AH286">
        <v>0.666666666666667</v>
      </c>
      <c r="AI286">
        <v>0</v>
      </c>
      <c r="AJ286">
        <v>0</v>
      </c>
      <c r="AK286">
        <v>0</v>
      </c>
      <c r="AL286">
        <v>0</v>
      </c>
    </row>
    <row r="287" ht="14.5" spans="1:38">
      <c r="A287" s="67">
        <v>2020</v>
      </c>
      <c r="B287" s="67" t="s">
        <v>275</v>
      </c>
      <c r="C287" s="67" t="s">
        <v>140</v>
      </c>
      <c r="D287" s="122" t="s">
        <v>279</v>
      </c>
      <c r="E287">
        <v>0</v>
      </c>
      <c r="F287">
        <v>0</v>
      </c>
      <c r="G287">
        <v>0</v>
      </c>
      <c r="H287">
        <v>0</v>
      </c>
      <c r="I287">
        <v>0</v>
      </c>
      <c r="J287">
        <v>0</v>
      </c>
      <c r="K287">
        <v>0</v>
      </c>
      <c r="L287">
        <v>161</v>
      </c>
      <c r="M287">
        <v>0</v>
      </c>
      <c r="N287">
        <v>0</v>
      </c>
      <c r="O287">
        <v>0.666666666666667</v>
      </c>
      <c r="P287">
        <v>2.66666666666667</v>
      </c>
      <c r="Q287">
        <v>0</v>
      </c>
      <c r="R287">
        <v>2.66666666666667</v>
      </c>
      <c r="S287">
        <v>0</v>
      </c>
      <c r="T287">
        <v>0</v>
      </c>
      <c r="U287">
        <v>0</v>
      </c>
      <c r="V287">
        <v>0</v>
      </c>
      <c r="W287">
        <v>4</v>
      </c>
      <c r="X287">
        <v>0</v>
      </c>
      <c r="Y287">
        <v>0</v>
      </c>
      <c r="Z287">
        <v>8.66666666666667</v>
      </c>
      <c r="AA287">
        <v>0</v>
      </c>
      <c r="AB287">
        <v>6.33333333333333</v>
      </c>
      <c r="AC287">
        <v>5.66666666666667</v>
      </c>
      <c r="AD287">
        <v>0</v>
      </c>
      <c r="AE287">
        <v>0</v>
      </c>
      <c r="AF287">
        <v>0</v>
      </c>
      <c r="AG287">
        <v>0</v>
      </c>
      <c r="AH287">
        <v>1.33333333333333</v>
      </c>
      <c r="AI287">
        <v>0</v>
      </c>
      <c r="AJ287">
        <v>0</v>
      </c>
      <c r="AK287">
        <v>0</v>
      </c>
      <c r="AL287">
        <v>0</v>
      </c>
    </row>
    <row r="288" ht="14.5" spans="1:38">
      <c r="A288" s="67">
        <v>2020</v>
      </c>
      <c r="B288" s="67" t="s">
        <v>275</v>
      </c>
      <c r="C288" s="67" t="s">
        <v>140</v>
      </c>
      <c r="D288" s="122" t="s">
        <v>280</v>
      </c>
      <c r="E288">
        <v>0</v>
      </c>
      <c r="F288">
        <v>0</v>
      </c>
      <c r="G288">
        <v>0</v>
      </c>
      <c r="H288">
        <v>0</v>
      </c>
      <c r="I288">
        <v>0</v>
      </c>
      <c r="J288">
        <v>0</v>
      </c>
      <c r="K288">
        <v>0</v>
      </c>
      <c r="L288">
        <v>89.3333333333333</v>
      </c>
      <c r="M288">
        <v>0</v>
      </c>
      <c r="N288">
        <v>0</v>
      </c>
      <c r="O288">
        <v>0.666666666666667</v>
      </c>
      <c r="P288">
        <v>2</v>
      </c>
      <c r="Q288">
        <v>0</v>
      </c>
      <c r="R288">
        <v>2</v>
      </c>
      <c r="S288">
        <v>0</v>
      </c>
      <c r="T288">
        <v>0</v>
      </c>
      <c r="U288">
        <v>0</v>
      </c>
      <c r="V288">
        <v>0</v>
      </c>
      <c r="W288">
        <v>4</v>
      </c>
      <c r="X288">
        <v>0</v>
      </c>
      <c r="Y288">
        <v>0</v>
      </c>
      <c r="Z288">
        <v>7.66666666666667</v>
      </c>
      <c r="AA288">
        <v>0</v>
      </c>
      <c r="AB288">
        <v>4.66666666666667</v>
      </c>
      <c r="AC288">
        <v>4</v>
      </c>
      <c r="AD288">
        <v>0</v>
      </c>
      <c r="AE288">
        <v>0</v>
      </c>
      <c r="AF288">
        <v>0</v>
      </c>
      <c r="AG288">
        <v>0</v>
      </c>
      <c r="AH288">
        <v>1</v>
      </c>
      <c r="AI288">
        <v>0</v>
      </c>
      <c r="AJ288">
        <v>0</v>
      </c>
      <c r="AK288">
        <v>0</v>
      </c>
      <c r="AL288">
        <v>0</v>
      </c>
    </row>
    <row r="289" ht="14.5" spans="1:38">
      <c r="A289" s="67">
        <v>2020</v>
      </c>
      <c r="B289" s="67" t="s">
        <v>275</v>
      </c>
      <c r="C289" s="67" t="s">
        <v>140</v>
      </c>
      <c r="D289" s="122" t="s">
        <v>281</v>
      </c>
      <c r="E289">
        <v>0</v>
      </c>
      <c r="F289">
        <v>0</v>
      </c>
      <c r="G289">
        <v>0</v>
      </c>
      <c r="H289">
        <v>0</v>
      </c>
      <c r="I289">
        <v>0</v>
      </c>
      <c r="J289">
        <v>0</v>
      </c>
      <c r="K289">
        <v>0</v>
      </c>
      <c r="L289">
        <v>62.6666666666667</v>
      </c>
      <c r="M289">
        <v>0</v>
      </c>
      <c r="N289">
        <v>0</v>
      </c>
      <c r="O289">
        <v>0.333333333333333</v>
      </c>
      <c r="P289">
        <v>1.66666666666667</v>
      </c>
      <c r="Q289">
        <v>0</v>
      </c>
      <c r="R289">
        <v>1.66666666666667</v>
      </c>
      <c r="S289">
        <v>0</v>
      </c>
      <c r="T289">
        <v>0</v>
      </c>
      <c r="U289">
        <v>0</v>
      </c>
      <c r="V289">
        <v>0</v>
      </c>
      <c r="W289">
        <v>3</v>
      </c>
      <c r="X289">
        <v>0</v>
      </c>
      <c r="Y289">
        <v>0</v>
      </c>
      <c r="Z289">
        <v>5</v>
      </c>
      <c r="AA289">
        <v>0</v>
      </c>
      <c r="AB289">
        <v>3.33333333333333</v>
      </c>
      <c r="AC289">
        <v>2.66666666666667</v>
      </c>
      <c r="AD289">
        <v>0</v>
      </c>
      <c r="AE289">
        <v>0</v>
      </c>
      <c r="AF289">
        <v>0</v>
      </c>
      <c r="AG289">
        <v>0</v>
      </c>
      <c r="AH289">
        <v>0.666666666666667</v>
      </c>
      <c r="AI289">
        <v>0</v>
      </c>
      <c r="AJ289">
        <v>0</v>
      </c>
      <c r="AK289">
        <v>0</v>
      </c>
      <c r="AL289">
        <v>0</v>
      </c>
    </row>
    <row r="290" ht="14.5" spans="1:38">
      <c r="A290" s="67">
        <v>2020</v>
      </c>
      <c r="B290" s="67" t="s">
        <v>275</v>
      </c>
      <c r="C290" s="67" t="s">
        <v>140</v>
      </c>
      <c r="D290" s="122" t="s">
        <v>282</v>
      </c>
      <c r="E290">
        <v>0</v>
      </c>
      <c r="F290">
        <v>0</v>
      </c>
      <c r="G290">
        <v>0</v>
      </c>
      <c r="H290">
        <v>0</v>
      </c>
      <c r="I290">
        <v>0</v>
      </c>
      <c r="J290">
        <v>0</v>
      </c>
      <c r="K290">
        <v>0</v>
      </c>
      <c r="L290">
        <v>26.6666666666667</v>
      </c>
      <c r="M290">
        <v>0</v>
      </c>
      <c r="N290">
        <v>0</v>
      </c>
      <c r="O290">
        <v>0.333333333333333</v>
      </c>
      <c r="P290">
        <v>1</v>
      </c>
      <c r="Q290">
        <v>0</v>
      </c>
      <c r="R290">
        <v>1</v>
      </c>
      <c r="S290">
        <v>0</v>
      </c>
      <c r="T290">
        <v>0</v>
      </c>
      <c r="U290">
        <v>0</v>
      </c>
      <c r="V290">
        <v>0</v>
      </c>
      <c r="W290">
        <v>7.66666666666667</v>
      </c>
      <c r="X290">
        <v>0</v>
      </c>
      <c r="Y290">
        <v>0</v>
      </c>
      <c r="Z290">
        <v>12.6666666666667</v>
      </c>
      <c r="AA290">
        <v>0</v>
      </c>
      <c r="AB290">
        <v>2</v>
      </c>
      <c r="AC290">
        <v>4</v>
      </c>
      <c r="AD290">
        <v>0</v>
      </c>
      <c r="AE290">
        <v>0</v>
      </c>
      <c r="AF290">
        <v>0</v>
      </c>
      <c r="AG290">
        <v>0</v>
      </c>
      <c r="AH290">
        <v>0.333333333333333</v>
      </c>
      <c r="AI290">
        <v>0</v>
      </c>
      <c r="AJ290">
        <v>0</v>
      </c>
      <c r="AK290">
        <v>0</v>
      </c>
      <c r="AL290">
        <v>0</v>
      </c>
    </row>
    <row r="291" ht="14.5" spans="1:38">
      <c r="A291" s="67">
        <v>2020</v>
      </c>
      <c r="B291" s="67" t="s">
        <v>275</v>
      </c>
      <c r="C291" s="67" t="s">
        <v>140</v>
      </c>
      <c r="D291" s="122" t="s">
        <v>283</v>
      </c>
      <c r="E291">
        <v>0</v>
      </c>
      <c r="F291">
        <v>0</v>
      </c>
      <c r="G291">
        <v>0</v>
      </c>
      <c r="H291">
        <v>0</v>
      </c>
      <c r="I291">
        <v>0</v>
      </c>
      <c r="J291">
        <v>0</v>
      </c>
      <c r="K291">
        <v>0</v>
      </c>
      <c r="L291">
        <v>62.6666666666667</v>
      </c>
      <c r="M291">
        <v>0</v>
      </c>
      <c r="N291">
        <v>0</v>
      </c>
      <c r="O291">
        <v>0</v>
      </c>
      <c r="P291">
        <v>0.333333333333333</v>
      </c>
      <c r="Q291">
        <v>0</v>
      </c>
      <c r="R291">
        <v>0.333333333333333</v>
      </c>
      <c r="S291">
        <v>0</v>
      </c>
      <c r="T291">
        <v>0</v>
      </c>
      <c r="U291">
        <v>0</v>
      </c>
      <c r="V291">
        <v>0</v>
      </c>
      <c r="W291">
        <v>0.333333333333333</v>
      </c>
      <c r="X291">
        <v>0</v>
      </c>
      <c r="Y291">
        <v>0</v>
      </c>
      <c r="Z291">
        <v>2</v>
      </c>
      <c r="AA291">
        <v>0</v>
      </c>
      <c r="AB291">
        <v>0.666666666666667</v>
      </c>
      <c r="AC291">
        <v>0.333333333333333</v>
      </c>
      <c r="AD291">
        <v>0</v>
      </c>
      <c r="AE291">
        <v>0</v>
      </c>
      <c r="AF291">
        <v>0</v>
      </c>
      <c r="AG291">
        <v>0</v>
      </c>
      <c r="AH291">
        <v>0</v>
      </c>
      <c r="AI291">
        <v>0</v>
      </c>
      <c r="AJ291">
        <v>0</v>
      </c>
      <c r="AK291">
        <v>0</v>
      </c>
      <c r="AL291">
        <v>0</v>
      </c>
    </row>
    <row r="292" ht="14.5" spans="1:38">
      <c r="A292" s="67">
        <v>2020</v>
      </c>
      <c r="B292" s="67" t="s">
        <v>275</v>
      </c>
      <c r="C292" s="67" t="s">
        <v>140</v>
      </c>
      <c r="D292" s="122" t="s">
        <v>284</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topLeftCell="O1" workbookViewId="0">
      <selection activeCell="R17" sqref="R17"/>
    </sheetView>
  </sheetViews>
  <sheetFormatPr defaultColWidth="9" defaultRowHeight="12.5"/>
  <cols>
    <col min="3" max="3" width="11.5727272727273" customWidth="1"/>
    <col min="8" max="11" width="9" style="60"/>
    <col min="12" max="16" width="5.28181818181818" style="60" customWidth="1"/>
    <col min="17" max="28" width="5.28181818181818" customWidth="1"/>
  </cols>
  <sheetData>
    <row r="1" spans="1:47">
      <c r="A1" t="s">
        <v>42</v>
      </c>
      <c r="B1" t="s">
        <v>132</v>
      </c>
      <c r="C1" t="s">
        <v>65</v>
      </c>
      <c r="D1" t="s">
        <v>108</v>
      </c>
      <c r="E1" t="s">
        <v>285</v>
      </c>
      <c r="F1" t="s">
        <v>286</v>
      </c>
      <c r="G1" t="s">
        <v>41</v>
      </c>
      <c r="H1" s="60" t="s">
        <v>287</v>
      </c>
      <c r="I1" s="60" t="s">
        <v>288</v>
      </c>
      <c r="J1" s="60" t="s">
        <v>289</v>
      </c>
      <c r="K1" s="60" t="s">
        <v>290</v>
      </c>
      <c r="L1" s="60" t="s">
        <v>3</v>
      </c>
      <c r="M1" s="60" t="s">
        <v>5</v>
      </c>
      <c r="N1" s="60" t="s">
        <v>6</v>
      </c>
      <c r="O1" s="60" t="s">
        <v>7</v>
      </c>
      <c r="P1" s="60"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291</v>
      </c>
    </row>
    <row r="2" spans="1:47">
      <c r="A2" t="s">
        <v>112</v>
      </c>
      <c r="B2" t="s">
        <v>113</v>
      </c>
      <c r="C2" t="s">
        <v>166</v>
      </c>
      <c r="D2" t="s">
        <v>292</v>
      </c>
      <c r="E2" t="s">
        <v>185</v>
      </c>
      <c r="F2" t="s">
        <v>293</v>
      </c>
      <c r="G2" t="s">
        <v>294</v>
      </c>
      <c r="H2" s="60" t="s">
        <v>292</v>
      </c>
      <c r="I2" s="60" t="s">
        <v>292</v>
      </c>
      <c r="J2" s="60" t="s">
        <v>292</v>
      </c>
      <c r="K2" s="60" t="s">
        <v>292</v>
      </c>
      <c r="L2" s="60">
        <v>7</v>
      </c>
      <c r="M2" s="60">
        <v>7</v>
      </c>
      <c r="N2" s="60">
        <v>7</v>
      </c>
      <c r="O2" s="60">
        <v>7</v>
      </c>
      <c r="P2" s="60">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292</v>
      </c>
    </row>
    <row r="3" spans="1:47">
      <c r="A3" t="s">
        <v>112</v>
      </c>
      <c r="B3" t="s">
        <v>113</v>
      </c>
      <c r="C3" t="s">
        <v>295</v>
      </c>
      <c r="D3" t="s">
        <v>292</v>
      </c>
      <c r="E3" t="s">
        <v>185</v>
      </c>
      <c r="F3" t="s">
        <v>293</v>
      </c>
      <c r="G3" t="s">
        <v>294</v>
      </c>
      <c r="H3" s="60" t="s">
        <v>292</v>
      </c>
      <c r="I3" s="60" t="s">
        <v>292</v>
      </c>
      <c r="J3" s="60" t="s">
        <v>292</v>
      </c>
      <c r="K3" s="60" t="s">
        <v>292</v>
      </c>
      <c r="L3" s="60">
        <v>15</v>
      </c>
      <c r="M3" s="60">
        <v>15</v>
      </c>
      <c r="N3" s="60">
        <v>15</v>
      </c>
      <c r="O3" s="60">
        <v>15</v>
      </c>
      <c r="P3" s="60">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292</v>
      </c>
    </row>
    <row r="4" spans="1:47">
      <c r="A4" t="s">
        <v>112</v>
      </c>
      <c r="B4" t="s">
        <v>113</v>
      </c>
      <c r="C4" t="s">
        <v>296</v>
      </c>
      <c r="D4" t="s">
        <v>292</v>
      </c>
      <c r="E4" t="s">
        <v>185</v>
      </c>
      <c r="F4" t="s">
        <v>293</v>
      </c>
      <c r="G4" t="s">
        <v>294</v>
      </c>
      <c r="H4" s="60" t="s">
        <v>292</v>
      </c>
      <c r="I4" s="60" t="s">
        <v>292</v>
      </c>
      <c r="J4" s="60" t="s">
        <v>292</v>
      </c>
      <c r="K4" s="60" t="s">
        <v>292</v>
      </c>
      <c r="L4" s="60">
        <v>15</v>
      </c>
      <c r="M4" s="60">
        <v>15</v>
      </c>
      <c r="N4" s="60">
        <v>15</v>
      </c>
      <c r="O4" s="60">
        <v>15</v>
      </c>
      <c r="P4" s="60">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292</v>
      </c>
    </row>
    <row r="5" spans="1:47">
      <c r="A5" t="s">
        <v>112</v>
      </c>
      <c r="B5" t="s">
        <v>113</v>
      </c>
      <c r="C5" t="s">
        <v>167</v>
      </c>
      <c r="D5" t="s">
        <v>292</v>
      </c>
      <c r="E5" t="s">
        <v>185</v>
      </c>
      <c r="F5" t="s">
        <v>293</v>
      </c>
      <c r="G5" t="s">
        <v>294</v>
      </c>
      <c r="H5" s="60" t="s">
        <v>292</v>
      </c>
      <c r="I5" s="60" t="s">
        <v>292</v>
      </c>
      <c r="J5" s="60" t="s">
        <v>292</v>
      </c>
      <c r="K5" s="60" t="s">
        <v>292</v>
      </c>
      <c r="L5" s="60">
        <v>15</v>
      </c>
      <c r="M5" s="60">
        <v>15</v>
      </c>
      <c r="N5" s="60">
        <v>15</v>
      </c>
      <c r="O5" s="60">
        <v>15</v>
      </c>
      <c r="P5" s="60">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292</v>
      </c>
    </row>
    <row r="6" spans="1:47">
      <c r="A6" t="s">
        <v>112</v>
      </c>
      <c r="B6" t="s">
        <v>113</v>
      </c>
      <c r="C6" t="s">
        <v>297</v>
      </c>
      <c r="D6" t="s">
        <v>292</v>
      </c>
      <c r="E6" t="s">
        <v>185</v>
      </c>
      <c r="F6" t="s">
        <v>293</v>
      </c>
      <c r="G6" t="s">
        <v>294</v>
      </c>
      <c r="H6" s="60" t="s">
        <v>292</v>
      </c>
      <c r="I6" s="60" t="s">
        <v>292</v>
      </c>
      <c r="J6" s="60" t="s">
        <v>292</v>
      </c>
      <c r="K6" s="60" t="s">
        <v>292</v>
      </c>
      <c r="L6" s="60">
        <v>35</v>
      </c>
      <c r="M6" s="60">
        <v>35</v>
      </c>
      <c r="N6" s="60">
        <v>35</v>
      </c>
      <c r="O6" s="60">
        <v>35</v>
      </c>
      <c r="P6" s="60">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292</v>
      </c>
    </row>
    <row r="7" spans="1:47">
      <c r="A7" t="s">
        <v>112</v>
      </c>
      <c r="B7" t="s">
        <v>113</v>
      </c>
      <c r="C7" t="s">
        <v>168</v>
      </c>
      <c r="D7" t="s">
        <v>292</v>
      </c>
      <c r="E7" t="s">
        <v>185</v>
      </c>
      <c r="F7" t="s">
        <v>293</v>
      </c>
      <c r="G7" t="s">
        <v>294</v>
      </c>
      <c r="H7" s="60" t="s">
        <v>292</v>
      </c>
      <c r="I7" s="60" t="s">
        <v>292</v>
      </c>
      <c r="J7" s="60" t="s">
        <v>292</v>
      </c>
      <c r="K7" s="60" t="s">
        <v>292</v>
      </c>
      <c r="L7" s="60">
        <v>35</v>
      </c>
      <c r="M7" s="60">
        <v>35</v>
      </c>
      <c r="N7" s="60">
        <v>35</v>
      </c>
      <c r="O7" s="60">
        <v>35</v>
      </c>
      <c r="P7" s="60">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292</v>
      </c>
    </row>
    <row r="8" spans="1:47">
      <c r="A8" t="s">
        <v>112</v>
      </c>
      <c r="B8" t="s">
        <v>113</v>
      </c>
      <c r="C8" t="s">
        <v>298</v>
      </c>
      <c r="D8" t="s">
        <v>292</v>
      </c>
      <c r="E8" t="s">
        <v>185</v>
      </c>
      <c r="F8" t="s">
        <v>293</v>
      </c>
      <c r="G8" t="s">
        <v>294</v>
      </c>
      <c r="H8" s="60" t="s">
        <v>292</v>
      </c>
      <c r="I8" s="60" t="s">
        <v>292</v>
      </c>
      <c r="J8" s="60" t="s">
        <v>292</v>
      </c>
      <c r="K8" s="60" t="s">
        <v>292</v>
      </c>
      <c r="L8" s="60">
        <v>35</v>
      </c>
      <c r="M8" s="60">
        <v>35</v>
      </c>
      <c r="N8" s="60">
        <v>35</v>
      </c>
      <c r="O8" s="60">
        <v>35</v>
      </c>
      <c r="P8" s="60">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292</v>
      </c>
    </row>
    <row r="9" spans="1:47">
      <c r="A9" t="s">
        <v>112</v>
      </c>
      <c r="B9" t="s">
        <v>113</v>
      </c>
      <c r="C9" t="s">
        <v>299</v>
      </c>
      <c r="D9" t="s">
        <v>292</v>
      </c>
      <c r="E9" t="s">
        <v>185</v>
      </c>
      <c r="F9" t="s">
        <v>293</v>
      </c>
      <c r="G9" t="s">
        <v>294</v>
      </c>
      <c r="H9" s="60" t="s">
        <v>292</v>
      </c>
      <c r="I9" s="60" t="s">
        <v>292</v>
      </c>
      <c r="J9" s="60" t="s">
        <v>292</v>
      </c>
      <c r="K9" s="60" t="s">
        <v>292</v>
      </c>
      <c r="L9" s="60">
        <v>35</v>
      </c>
      <c r="M9" s="60">
        <v>35</v>
      </c>
      <c r="N9" s="60">
        <v>35</v>
      </c>
      <c r="O9" s="60">
        <v>35</v>
      </c>
      <c r="P9" s="60">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292</v>
      </c>
    </row>
    <row r="10" spans="1:47">
      <c r="A10" t="s">
        <v>112</v>
      </c>
      <c r="B10" t="s">
        <v>113</v>
      </c>
      <c r="C10" t="s">
        <v>300</v>
      </c>
      <c r="D10" t="s">
        <v>292</v>
      </c>
      <c r="E10" t="s">
        <v>185</v>
      </c>
      <c r="F10" t="s">
        <v>293</v>
      </c>
      <c r="G10" t="s">
        <v>294</v>
      </c>
      <c r="H10" s="60" t="s">
        <v>292</v>
      </c>
      <c r="I10" s="60" t="s">
        <v>292</v>
      </c>
      <c r="J10" s="60" t="s">
        <v>292</v>
      </c>
      <c r="K10" s="60" t="s">
        <v>292</v>
      </c>
      <c r="L10" s="60">
        <v>35</v>
      </c>
      <c r="M10" s="60">
        <v>35</v>
      </c>
      <c r="N10" s="60">
        <v>35</v>
      </c>
      <c r="O10" s="60">
        <v>35</v>
      </c>
      <c r="P10" s="60">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292</v>
      </c>
    </row>
    <row r="11" spans="1:47">
      <c r="A11" t="s">
        <v>112</v>
      </c>
      <c r="B11" t="s">
        <v>113</v>
      </c>
      <c r="C11" t="s">
        <v>301</v>
      </c>
      <c r="D11" t="s">
        <v>292</v>
      </c>
      <c r="E11" t="s">
        <v>185</v>
      </c>
      <c r="F11" t="s">
        <v>293</v>
      </c>
      <c r="G11" t="s">
        <v>294</v>
      </c>
      <c r="H11" s="60" t="s">
        <v>292</v>
      </c>
      <c r="I11" s="60" t="s">
        <v>292</v>
      </c>
      <c r="J11" s="60" t="s">
        <v>292</v>
      </c>
      <c r="K11" s="60" t="s">
        <v>292</v>
      </c>
      <c r="L11" s="60">
        <v>35</v>
      </c>
      <c r="M11" s="60">
        <v>35</v>
      </c>
      <c r="N11" s="60">
        <v>35</v>
      </c>
      <c r="O11" s="60">
        <v>35</v>
      </c>
      <c r="P11" s="60">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292</v>
      </c>
    </row>
    <row r="12" spans="1:47">
      <c r="A12" t="s">
        <v>112</v>
      </c>
      <c r="B12" t="s">
        <v>113</v>
      </c>
      <c r="C12" t="s">
        <v>302</v>
      </c>
      <c r="D12" t="s">
        <v>292</v>
      </c>
      <c r="E12" t="s">
        <v>185</v>
      </c>
      <c r="F12" t="s">
        <v>293</v>
      </c>
      <c r="G12" t="s">
        <v>294</v>
      </c>
      <c r="H12" s="60" t="s">
        <v>292</v>
      </c>
      <c r="I12" s="60" t="s">
        <v>292</v>
      </c>
      <c r="J12" s="60" t="s">
        <v>292</v>
      </c>
      <c r="K12" s="60" t="s">
        <v>292</v>
      </c>
      <c r="L12" s="60">
        <v>35</v>
      </c>
      <c r="M12" s="60">
        <v>35</v>
      </c>
      <c r="N12" s="60">
        <v>35</v>
      </c>
      <c r="O12" s="60">
        <v>35</v>
      </c>
      <c r="P12" s="60">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292</v>
      </c>
    </row>
    <row r="13" spans="1:47">
      <c r="A13" t="s">
        <v>112</v>
      </c>
      <c r="B13" t="s">
        <v>113</v>
      </c>
      <c r="C13" t="s">
        <v>303</v>
      </c>
      <c r="D13" t="s">
        <v>292</v>
      </c>
      <c r="E13" t="s">
        <v>185</v>
      </c>
      <c r="F13" t="s">
        <v>293</v>
      </c>
      <c r="G13" t="s">
        <v>294</v>
      </c>
      <c r="H13" s="60" t="s">
        <v>292</v>
      </c>
      <c r="I13" s="60" t="s">
        <v>292</v>
      </c>
      <c r="J13" s="60" t="s">
        <v>292</v>
      </c>
      <c r="K13" s="60" t="s">
        <v>292</v>
      </c>
      <c r="L13" s="60">
        <v>12</v>
      </c>
      <c r="M13" s="60">
        <v>12</v>
      </c>
      <c r="N13" s="60">
        <v>12</v>
      </c>
      <c r="O13" s="60">
        <v>12</v>
      </c>
      <c r="P13" s="60">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292</v>
      </c>
    </row>
    <row r="14" spans="1:47">
      <c r="A14" t="s">
        <v>112</v>
      </c>
      <c r="B14" t="s">
        <v>113</v>
      </c>
      <c r="C14" t="s">
        <v>304</v>
      </c>
      <c r="D14" t="s">
        <v>292</v>
      </c>
      <c r="E14" t="s">
        <v>185</v>
      </c>
      <c r="F14" t="s">
        <v>293</v>
      </c>
      <c r="G14" t="s">
        <v>294</v>
      </c>
      <c r="H14" s="60" t="s">
        <v>292</v>
      </c>
      <c r="I14" s="60" t="s">
        <v>292</v>
      </c>
      <c r="J14" s="60" t="s">
        <v>292</v>
      </c>
      <c r="K14" s="60" t="s">
        <v>292</v>
      </c>
      <c r="L14" s="60">
        <v>12</v>
      </c>
      <c r="M14" s="60">
        <v>12</v>
      </c>
      <c r="N14" s="60">
        <v>12</v>
      </c>
      <c r="O14" s="60">
        <v>12</v>
      </c>
      <c r="P14" s="60">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292</v>
      </c>
    </row>
    <row r="15" spans="1:47">
      <c r="A15" t="s">
        <v>112</v>
      </c>
      <c r="B15" t="s">
        <v>113</v>
      </c>
      <c r="C15" t="s">
        <v>305</v>
      </c>
      <c r="D15" t="s">
        <v>292</v>
      </c>
      <c r="E15" t="s">
        <v>185</v>
      </c>
      <c r="F15" t="s">
        <v>293</v>
      </c>
      <c r="G15" t="s">
        <v>294</v>
      </c>
      <c r="H15" s="60" t="s">
        <v>292</v>
      </c>
      <c r="I15" s="60" t="s">
        <v>292</v>
      </c>
      <c r="J15" s="60" t="s">
        <v>292</v>
      </c>
      <c r="K15" s="60" t="s">
        <v>292</v>
      </c>
      <c r="L15" s="60">
        <v>12</v>
      </c>
      <c r="M15" s="60">
        <v>12</v>
      </c>
      <c r="N15" s="60">
        <v>12</v>
      </c>
      <c r="O15" s="60">
        <v>12</v>
      </c>
      <c r="P15" s="60">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292</v>
      </c>
    </row>
    <row r="16" spans="1:47">
      <c r="A16" t="s">
        <v>112</v>
      </c>
      <c r="B16" t="s">
        <v>113</v>
      </c>
      <c r="C16" t="s">
        <v>306</v>
      </c>
      <c r="D16" t="s">
        <v>292</v>
      </c>
      <c r="E16" t="s">
        <v>185</v>
      </c>
      <c r="F16" t="s">
        <v>293</v>
      </c>
      <c r="G16" t="s">
        <v>294</v>
      </c>
      <c r="H16" s="60" t="s">
        <v>292</v>
      </c>
      <c r="I16" s="60" t="s">
        <v>292</v>
      </c>
      <c r="J16" s="60" t="s">
        <v>292</v>
      </c>
      <c r="K16" s="60" t="s">
        <v>292</v>
      </c>
      <c r="L16" s="60">
        <v>12</v>
      </c>
      <c r="M16" s="60">
        <v>12</v>
      </c>
      <c r="N16" s="60">
        <v>12</v>
      </c>
      <c r="O16" s="60">
        <v>12</v>
      </c>
      <c r="P16" s="60">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292</v>
      </c>
    </row>
    <row r="17" spans="1:47">
      <c r="A17" t="s">
        <v>112</v>
      </c>
      <c r="B17" t="s">
        <v>113</v>
      </c>
      <c r="C17" t="s">
        <v>169</v>
      </c>
      <c r="D17" t="s">
        <v>292</v>
      </c>
      <c r="E17" t="s">
        <v>185</v>
      </c>
      <c r="F17" t="s">
        <v>293</v>
      </c>
      <c r="G17" t="s">
        <v>294</v>
      </c>
      <c r="H17" s="60" t="s">
        <v>292</v>
      </c>
      <c r="I17" s="60" t="s">
        <v>292</v>
      </c>
      <c r="J17" s="60" t="s">
        <v>292</v>
      </c>
      <c r="K17" s="60" t="s">
        <v>292</v>
      </c>
      <c r="L17" s="60">
        <v>12</v>
      </c>
      <c r="M17" s="60">
        <v>12</v>
      </c>
      <c r="N17" s="60">
        <v>12</v>
      </c>
      <c r="O17" s="60">
        <v>12</v>
      </c>
      <c r="P17" s="60">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292</v>
      </c>
    </row>
    <row r="18" spans="1:47">
      <c r="A18" t="s">
        <v>112</v>
      </c>
      <c r="B18" t="s">
        <v>113</v>
      </c>
      <c r="C18" t="s">
        <v>307</v>
      </c>
      <c r="D18" t="s">
        <v>292</v>
      </c>
      <c r="E18" t="s">
        <v>185</v>
      </c>
      <c r="F18" t="s">
        <v>293</v>
      </c>
      <c r="G18" t="s">
        <v>294</v>
      </c>
      <c r="H18" s="60" t="s">
        <v>292</v>
      </c>
      <c r="I18" s="60" t="s">
        <v>292</v>
      </c>
      <c r="J18" s="60" t="s">
        <v>292</v>
      </c>
      <c r="K18" s="60" t="s">
        <v>292</v>
      </c>
      <c r="L18" s="60">
        <v>12</v>
      </c>
      <c r="M18" s="60">
        <v>12</v>
      </c>
      <c r="N18" s="60">
        <v>12</v>
      </c>
      <c r="O18" s="60">
        <v>12</v>
      </c>
      <c r="P18" s="60">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292</v>
      </c>
    </row>
    <row r="19" spans="1:47">
      <c r="A19" t="s">
        <v>112</v>
      </c>
      <c r="B19" t="s">
        <v>113</v>
      </c>
      <c r="C19" t="s">
        <v>308</v>
      </c>
      <c r="D19" t="s">
        <v>292</v>
      </c>
      <c r="E19" t="s">
        <v>185</v>
      </c>
      <c r="F19" t="s">
        <v>293</v>
      </c>
      <c r="G19" t="s">
        <v>294</v>
      </c>
      <c r="H19" s="60" t="s">
        <v>292</v>
      </c>
      <c r="I19" s="60" t="s">
        <v>292</v>
      </c>
      <c r="J19" s="60" t="s">
        <v>292</v>
      </c>
      <c r="K19" s="60" t="s">
        <v>292</v>
      </c>
      <c r="L19" s="60">
        <v>12</v>
      </c>
      <c r="M19" s="60">
        <v>12</v>
      </c>
      <c r="N19" s="60">
        <v>12</v>
      </c>
      <c r="O19" s="60">
        <v>12</v>
      </c>
      <c r="P19" s="60">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292</v>
      </c>
    </row>
    <row r="20" spans="1:47">
      <c r="A20" t="s">
        <v>112</v>
      </c>
      <c r="B20" t="s">
        <v>113</v>
      </c>
      <c r="C20" t="s">
        <v>309</v>
      </c>
      <c r="D20" t="s">
        <v>292</v>
      </c>
      <c r="E20" t="s">
        <v>185</v>
      </c>
      <c r="F20" t="s">
        <v>293</v>
      </c>
      <c r="G20" t="s">
        <v>294</v>
      </c>
      <c r="H20" s="60" t="s">
        <v>292</v>
      </c>
      <c r="I20" s="60" t="s">
        <v>292</v>
      </c>
      <c r="J20" s="60" t="s">
        <v>292</v>
      </c>
      <c r="K20" s="60" t="s">
        <v>292</v>
      </c>
      <c r="L20" s="60">
        <v>100</v>
      </c>
      <c r="M20" s="60">
        <v>100</v>
      </c>
      <c r="N20" s="60">
        <v>100</v>
      </c>
      <c r="O20" s="60">
        <v>100</v>
      </c>
      <c r="P20" s="60">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292</v>
      </c>
    </row>
    <row r="21" spans="1:47">
      <c r="A21" t="s">
        <v>112</v>
      </c>
      <c r="B21" t="s">
        <v>113</v>
      </c>
      <c r="C21" t="s">
        <v>170</v>
      </c>
      <c r="D21" t="s">
        <v>292</v>
      </c>
      <c r="E21" t="s">
        <v>185</v>
      </c>
      <c r="F21" t="s">
        <v>293</v>
      </c>
      <c r="G21" t="s">
        <v>294</v>
      </c>
      <c r="H21" s="60" t="s">
        <v>292</v>
      </c>
      <c r="I21" s="60" t="s">
        <v>292</v>
      </c>
      <c r="J21" s="60" t="s">
        <v>292</v>
      </c>
      <c r="K21" s="60" t="s">
        <v>292</v>
      </c>
      <c r="L21" s="60">
        <v>100</v>
      </c>
      <c r="M21" s="60">
        <v>100</v>
      </c>
      <c r="N21" s="60">
        <v>100</v>
      </c>
      <c r="O21" s="60">
        <v>100</v>
      </c>
      <c r="P21" s="60">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292</v>
      </c>
    </row>
    <row r="22" spans="1:47">
      <c r="A22" t="s">
        <v>112</v>
      </c>
      <c r="B22" t="s">
        <v>113</v>
      </c>
      <c r="C22" t="s">
        <v>310</v>
      </c>
      <c r="D22" t="s">
        <v>292</v>
      </c>
      <c r="E22" t="s">
        <v>185</v>
      </c>
      <c r="F22" t="s">
        <v>293</v>
      </c>
      <c r="G22" t="s">
        <v>294</v>
      </c>
      <c r="H22" s="60" t="s">
        <v>292</v>
      </c>
      <c r="I22" s="60" t="s">
        <v>292</v>
      </c>
      <c r="J22" s="60" t="s">
        <v>292</v>
      </c>
      <c r="K22" s="60" t="s">
        <v>292</v>
      </c>
      <c r="L22" s="60">
        <v>100</v>
      </c>
      <c r="M22" s="60">
        <v>100</v>
      </c>
      <c r="N22" s="60">
        <v>100</v>
      </c>
      <c r="O22" s="60">
        <v>100</v>
      </c>
      <c r="P22" s="60">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292</v>
      </c>
    </row>
    <row r="23" spans="1:47">
      <c r="A23" t="s">
        <v>112</v>
      </c>
      <c r="B23" t="s">
        <v>113</v>
      </c>
      <c r="C23" t="s">
        <v>311</v>
      </c>
      <c r="D23" t="s">
        <v>292</v>
      </c>
      <c r="E23" t="s">
        <v>185</v>
      </c>
      <c r="F23" t="s">
        <v>293</v>
      </c>
      <c r="G23" t="s">
        <v>294</v>
      </c>
      <c r="H23" s="60" t="s">
        <v>292</v>
      </c>
      <c r="I23" s="60" t="s">
        <v>292</v>
      </c>
      <c r="J23" s="60" t="s">
        <v>292</v>
      </c>
      <c r="K23" s="60" t="s">
        <v>292</v>
      </c>
      <c r="L23" s="60">
        <v>40</v>
      </c>
      <c r="M23" s="60">
        <v>40</v>
      </c>
      <c r="N23" s="60">
        <v>40</v>
      </c>
      <c r="O23" s="60">
        <v>40</v>
      </c>
      <c r="P23" s="60">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292</v>
      </c>
    </row>
    <row r="24" spans="1:47">
      <c r="A24" t="s">
        <v>112</v>
      </c>
      <c r="B24" t="s">
        <v>113</v>
      </c>
      <c r="C24" t="s">
        <v>171</v>
      </c>
      <c r="D24" t="s">
        <v>292</v>
      </c>
      <c r="E24" t="s">
        <v>185</v>
      </c>
      <c r="F24" t="s">
        <v>293</v>
      </c>
      <c r="G24" t="s">
        <v>294</v>
      </c>
      <c r="H24" s="60" t="s">
        <v>292</v>
      </c>
      <c r="I24" s="60" t="s">
        <v>292</v>
      </c>
      <c r="J24" s="60" t="s">
        <v>292</v>
      </c>
      <c r="K24" s="60" t="s">
        <v>292</v>
      </c>
      <c r="L24" s="60">
        <v>40</v>
      </c>
      <c r="M24" s="60">
        <v>40</v>
      </c>
      <c r="N24" s="60">
        <v>40</v>
      </c>
      <c r="O24" s="60">
        <v>40</v>
      </c>
      <c r="P24" s="60">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292</v>
      </c>
    </row>
    <row r="25" spans="1:47">
      <c r="A25" t="s">
        <v>112</v>
      </c>
      <c r="B25" t="s">
        <v>113</v>
      </c>
      <c r="C25" t="s">
        <v>312</v>
      </c>
      <c r="D25" t="s">
        <v>292</v>
      </c>
      <c r="E25" t="s">
        <v>185</v>
      </c>
      <c r="F25" t="s">
        <v>293</v>
      </c>
      <c r="G25" t="s">
        <v>294</v>
      </c>
      <c r="H25" s="60" t="s">
        <v>292</v>
      </c>
      <c r="I25" s="60" t="s">
        <v>292</v>
      </c>
      <c r="J25" s="60" t="s">
        <v>292</v>
      </c>
      <c r="K25" s="60" t="s">
        <v>292</v>
      </c>
      <c r="L25" s="60">
        <v>40</v>
      </c>
      <c r="M25" s="60">
        <v>40</v>
      </c>
      <c r="N25" s="60">
        <v>40</v>
      </c>
      <c r="O25" s="60">
        <v>40</v>
      </c>
      <c r="P25" s="60">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292</v>
      </c>
    </row>
    <row r="26" spans="1:47">
      <c r="A26" t="s">
        <v>112</v>
      </c>
      <c r="B26" t="s">
        <v>113</v>
      </c>
      <c r="C26" t="s">
        <v>313</v>
      </c>
      <c r="D26" t="s">
        <v>292</v>
      </c>
      <c r="E26" t="s">
        <v>185</v>
      </c>
      <c r="F26" t="s">
        <v>293</v>
      </c>
      <c r="G26" t="s">
        <v>294</v>
      </c>
      <c r="H26" s="60" t="s">
        <v>292</v>
      </c>
      <c r="I26" s="60" t="s">
        <v>292</v>
      </c>
      <c r="J26" s="60" t="s">
        <v>292</v>
      </c>
      <c r="K26" s="60" t="s">
        <v>292</v>
      </c>
      <c r="L26" s="60">
        <v>40</v>
      </c>
      <c r="M26" s="60">
        <v>40</v>
      </c>
      <c r="N26" s="60">
        <v>40</v>
      </c>
      <c r="O26" s="60">
        <v>40</v>
      </c>
      <c r="P26" s="60">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292</v>
      </c>
    </row>
    <row r="27" spans="1:47">
      <c r="A27" t="s">
        <v>112</v>
      </c>
      <c r="B27" t="s">
        <v>113</v>
      </c>
      <c r="C27" t="s">
        <v>314</v>
      </c>
      <c r="D27" t="s">
        <v>292</v>
      </c>
      <c r="E27" t="s">
        <v>185</v>
      </c>
      <c r="F27" t="s">
        <v>293</v>
      </c>
      <c r="G27" t="s">
        <v>294</v>
      </c>
      <c r="H27" s="60" t="s">
        <v>292</v>
      </c>
      <c r="I27" s="60" t="s">
        <v>292</v>
      </c>
      <c r="J27" s="60" t="s">
        <v>292</v>
      </c>
      <c r="K27" s="60" t="s">
        <v>292</v>
      </c>
      <c r="L27" s="60">
        <v>40</v>
      </c>
      <c r="M27" s="60">
        <v>40</v>
      </c>
      <c r="N27" s="60">
        <v>40</v>
      </c>
      <c r="O27" s="60">
        <v>40</v>
      </c>
      <c r="P27" s="60">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292</v>
      </c>
    </row>
    <row r="28" spans="1:47">
      <c r="A28" t="s">
        <v>112</v>
      </c>
      <c r="B28" t="s">
        <v>113</v>
      </c>
      <c r="C28" t="s">
        <v>315</v>
      </c>
      <c r="D28" t="s">
        <v>292</v>
      </c>
      <c r="E28" t="s">
        <v>185</v>
      </c>
      <c r="F28" t="s">
        <v>293</v>
      </c>
      <c r="G28" t="s">
        <v>294</v>
      </c>
      <c r="H28" s="60" t="s">
        <v>292</v>
      </c>
      <c r="I28" s="60" t="s">
        <v>292</v>
      </c>
      <c r="J28" s="60" t="s">
        <v>292</v>
      </c>
      <c r="K28" s="60" t="s">
        <v>292</v>
      </c>
      <c r="L28" s="60">
        <v>40</v>
      </c>
      <c r="M28" s="60">
        <v>40</v>
      </c>
      <c r="N28" s="60">
        <v>40</v>
      </c>
      <c r="O28" s="60">
        <v>40</v>
      </c>
      <c r="P28" s="60">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292</v>
      </c>
    </row>
    <row r="29" spans="1:47">
      <c r="A29" t="s">
        <v>112</v>
      </c>
      <c r="B29" t="s">
        <v>123</v>
      </c>
      <c r="C29" t="s">
        <v>166</v>
      </c>
      <c r="D29" t="s">
        <v>292</v>
      </c>
      <c r="E29" t="s">
        <v>292</v>
      </c>
      <c r="F29" t="s">
        <v>293</v>
      </c>
      <c r="G29" t="s">
        <v>294</v>
      </c>
      <c r="H29" s="60" t="s">
        <v>292</v>
      </c>
      <c r="I29" s="60" t="s">
        <v>292</v>
      </c>
      <c r="J29" s="60" t="s">
        <v>292</v>
      </c>
      <c r="K29" s="60" t="s">
        <v>292</v>
      </c>
      <c r="L29" s="60">
        <v>0.99</v>
      </c>
      <c r="M29" s="60">
        <v>0.99</v>
      </c>
      <c r="N29" s="60">
        <v>0.99</v>
      </c>
      <c r="O29" s="60">
        <v>0.99</v>
      </c>
      <c r="P29" s="60">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292</v>
      </c>
    </row>
    <row r="30" spans="1:47">
      <c r="A30" t="s">
        <v>112</v>
      </c>
      <c r="B30" t="s">
        <v>123</v>
      </c>
      <c r="C30" t="s">
        <v>295</v>
      </c>
      <c r="D30" t="s">
        <v>292</v>
      </c>
      <c r="E30" t="s">
        <v>292</v>
      </c>
      <c r="F30" t="s">
        <v>293</v>
      </c>
      <c r="G30" t="s">
        <v>294</v>
      </c>
      <c r="H30" s="60" t="s">
        <v>292</v>
      </c>
      <c r="I30" s="60" t="s">
        <v>292</v>
      </c>
      <c r="J30" s="60" t="s">
        <v>292</v>
      </c>
      <c r="K30" s="60" t="s">
        <v>292</v>
      </c>
      <c r="L30" s="60">
        <v>0.58697</v>
      </c>
      <c r="M30" s="60">
        <v>0.58697</v>
      </c>
      <c r="N30" s="60">
        <v>0.58697</v>
      </c>
      <c r="O30" s="60">
        <v>0.58697</v>
      </c>
      <c r="P30" s="60">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292</v>
      </c>
    </row>
    <row r="31" spans="1:47">
      <c r="A31" t="s">
        <v>112</v>
      </c>
      <c r="B31" t="s">
        <v>123</v>
      </c>
      <c r="C31" t="s">
        <v>296</v>
      </c>
      <c r="D31" t="s">
        <v>292</v>
      </c>
      <c r="E31" t="s">
        <v>292</v>
      </c>
      <c r="F31" t="s">
        <v>293</v>
      </c>
      <c r="G31" t="s">
        <v>294</v>
      </c>
      <c r="H31" s="60" t="s">
        <v>292</v>
      </c>
      <c r="I31" s="60" t="s">
        <v>292</v>
      </c>
      <c r="J31" s="60" t="s">
        <v>292</v>
      </c>
      <c r="K31" s="60" t="s">
        <v>292</v>
      </c>
      <c r="L31" s="60">
        <v>0.58697</v>
      </c>
      <c r="M31" s="60">
        <v>0.58697</v>
      </c>
      <c r="N31" s="60">
        <v>0.58697</v>
      </c>
      <c r="O31" s="60">
        <v>0.58697</v>
      </c>
      <c r="P31" s="60">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292</v>
      </c>
    </row>
    <row r="32" spans="1:47">
      <c r="A32" t="s">
        <v>112</v>
      </c>
      <c r="B32" t="s">
        <v>123</v>
      </c>
      <c r="C32" t="s">
        <v>167</v>
      </c>
      <c r="D32" t="s">
        <v>292</v>
      </c>
      <c r="E32" t="s">
        <v>292</v>
      </c>
      <c r="F32" t="s">
        <v>293</v>
      </c>
      <c r="G32" t="s">
        <v>294</v>
      </c>
      <c r="H32" s="60" t="s">
        <v>292</v>
      </c>
      <c r="I32" s="60" t="s">
        <v>292</v>
      </c>
      <c r="J32" s="60" t="s">
        <v>292</v>
      </c>
      <c r="K32" s="60" t="s">
        <v>292</v>
      </c>
      <c r="L32" s="60">
        <v>0.58697</v>
      </c>
      <c r="M32" s="60">
        <v>0.58697</v>
      </c>
      <c r="N32" s="60">
        <v>0.58697</v>
      </c>
      <c r="O32" s="60">
        <v>0.58697</v>
      </c>
      <c r="P32" s="60">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292</v>
      </c>
    </row>
    <row r="33" spans="1:47">
      <c r="A33" t="s">
        <v>112</v>
      </c>
      <c r="B33" t="s">
        <v>123</v>
      </c>
      <c r="C33" t="s">
        <v>297</v>
      </c>
      <c r="D33" t="s">
        <v>292</v>
      </c>
      <c r="E33" t="s">
        <v>292</v>
      </c>
      <c r="F33" t="s">
        <v>293</v>
      </c>
      <c r="G33" t="s">
        <v>294</v>
      </c>
      <c r="H33" s="60" t="s">
        <v>292</v>
      </c>
      <c r="I33" s="60" t="s">
        <v>292</v>
      </c>
      <c r="J33" s="60" t="s">
        <v>292</v>
      </c>
      <c r="K33" s="60" t="s">
        <v>292</v>
      </c>
      <c r="L33" s="60">
        <v>0.07207</v>
      </c>
      <c r="M33" s="60">
        <v>0.07207</v>
      </c>
      <c r="N33" s="60">
        <v>0.07207</v>
      </c>
      <c r="O33" s="60">
        <v>0.07207</v>
      </c>
      <c r="P33" s="60">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292</v>
      </c>
    </row>
    <row r="34" spans="1:47">
      <c r="A34" t="s">
        <v>112</v>
      </c>
      <c r="B34" t="s">
        <v>123</v>
      </c>
      <c r="C34" t="s">
        <v>168</v>
      </c>
      <c r="D34" t="s">
        <v>292</v>
      </c>
      <c r="E34" t="s">
        <v>292</v>
      </c>
      <c r="F34" t="s">
        <v>293</v>
      </c>
      <c r="G34" t="s">
        <v>294</v>
      </c>
      <c r="H34" s="60" t="s">
        <v>292</v>
      </c>
      <c r="I34" s="60" t="s">
        <v>292</v>
      </c>
      <c r="J34" s="60" t="s">
        <v>292</v>
      </c>
      <c r="K34" s="60" t="s">
        <v>292</v>
      </c>
      <c r="L34" s="60">
        <v>0.07207</v>
      </c>
      <c r="M34" s="60">
        <v>0.07207</v>
      </c>
      <c r="N34" s="60">
        <v>0.07207</v>
      </c>
      <c r="O34" s="60">
        <v>0.07207</v>
      </c>
      <c r="P34" s="60">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292</v>
      </c>
    </row>
    <row r="35" spans="1:47">
      <c r="A35" t="s">
        <v>112</v>
      </c>
      <c r="B35" t="s">
        <v>123</v>
      </c>
      <c r="C35" t="s">
        <v>298</v>
      </c>
      <c r="D35" t="s">
        <v>292</v>
      </c>
      <c r="E35" t="s">
        <v>292</v>
      </c>
      <c r="F35" t="s">
        <v>293</v>
      </c>
      <c r="G35" t="s">
        <v>294</v>
      </c>
      <c r="H35" s="60" t="s">
        <v>292</v>
      </c>
      <c r="I35" s="60" t="s">
        <v>292</v>
      </c>
      <c r="J35" s="60" t="s">
        <v>292</v>
      </c>
      <c r="K35" s="60" t="s">
        <v>292</v>
      </c>
      <c r="L35" s="60">
        <v>0.313</v>
      </c>
      <c r="M35" s="60">
        <v>0.313</v>
      </c>
      <c r="N35" s="60">
        <v>0.313</v>
      </c>
      <c r="O35" s="60">
        <v>0.313</v>
      </c>
      <c r="P35" s="60">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292</v>
      </c>
    </row>
    <row r="36" spans="1:47">
      <c r="A36" t="s">
        <v>112</v>
      </c>
      <c r="B36" t="s">
        <v>123</v>
      </c>
      <c r="C36" t="s">
        <v>299</v>
      </c>
      <c r="D36" t="s">
        <v>292</v>
      </c>
      <c r="E36" t="s">
        <v>292</v>
      </c>
      <c r="F36" t="s">
        <v>293</v>
      </c>
      <c r="G36" t="s">
        <v>294</v>
      </c>
      <c r="H36" s="60" t="s">
        <v>292</v>
      </c>
      <c r="I36" s="60" t="s">
        <v>292</v>
      </c>
      <c r="J36" s="60" t="s">
        <v>292</v>
      </c>
      <c r="K36" s="60" t="s">
        <v>292</v>
      </c>
      <c r="L36" s="60">
        <v>0.08</v>
      </c>
      <c r="M36" s="60">
        <v>0.08</v>
      </c>
      <c r="N36" s="60">
        <v>0.08</v>
      </c>
      <c r="O36" s="60">
        <v>0.08</v>
      </c>
      <c r="P36" s="60">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292</v>
      </c>
    </row>
    <row r="37" spans="1:47">
      <c r="A37" t="s">
        <v>112</v>
      </c>
      <c r="B37" t="s">
        <v>123</v>
      </c>
      <c r="C37" t="s">
        <v>300</v>
      </c>
      <c r="D37" t="s">
        <v>292</v>
      </c>
      <c r="E37" t="s">
        <v>292</v>
      </c>
      <c r="F37" t="s">
        <v>293</v>
      </c>
      <c r="G37" t="s">
        <v>294</v>
      </c>
      <c r="H37" s="60" t="s">
        <v>292</v>
      </c>
      <c r="I37" s="60" t="s">
        <v>292</v>
      </c>
      <c r="J37" s="60" t="s">
        <v>292</v>
      </c>
      <c r="K37" s="60" t="s">
        <v>292</v>
      </c>
      <c r="L37" s="60">
        <v>0.08</v>
      </c>
      <c r="M37" s="60">
        <v>0.08</v>
      </c>
      <c r="N37" s="60">
        <v>0.08</v>
      </c>
      <c r="O37" s="60">
        <v>0.08</v>
      </c>
      <c r="P37" s="60">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292</v>
      </c>
    </row>
    <row r="38" spans="1:47">
      <c r="A38" t="s">
        <v>112</v>
      </c>
      <c r="B38" t="s">
        <v>123</v>
      </c>
      <c r="C38" t="s">
        <v>301</v>
      </c>
      <c r="D38" t="s">
        <v>292</v>
      </c>
      <c r="E38" t="s">
        <v>292</v>
      </c>
      <c r="F38" t="s">
        <v>293</v>
      </c>
      <c r="G38" t="s">
        <v>294</v>
      </c>
      <c r="H38" s="60" t="s">
        <v>292</v>
      </c>
      <c r="I38" s="60" t="s">
        <v>292</v>
      </c>
      <c r="J38" s="60" t="s">
        <v>292</v>
      </c>
      <c r="K38" s="60" t="s">
        <v>292</v>
      </c>
      <c r="L38" s="60">
        <v>0.076</v>
      </c>
      <c r="M38" s="60">
        <v>0.076</v>
      </c>
      <c r="N38" s="60">
        <v>0.076</v>
      </c>
      <c r="O38" s="60">
        <v>0.076</v>
      </c>
      <c r="P38" s="60">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292</v>
      </c>
    </row>
    <row r="39" spans="1:47">
      <c r="A39" t="s">
        <v>112</v>
      </c>
      <c r="B39" t="s">
        <v>123</v>
      </c>
      <c r="C39" t="s">
        <v>302</v>
      </c>
      <c r="D39" t="s">
        <v>292</v>
      </c>
      <c r="E39" t="s">
        <v>292</v>
      </c>
      <c r="F39" t="s">
        <v>293</v>
      </c>
      <c r="G39" t="s">
        <v>294</v>
      </c>
      <c r="H39" s="60" t="s">
        <v>292</v>
      </c>
      <c r="I39" s="60" t="s">
        <v>292</v>
      </c>
      <c r="J39" s="60" t="s">
        <v>292</v>
      </c>
      <c r="K39" s="60" t="s">
        <v>292</v>
      </c>
      <c r="L39" s="60">
        <v>0.0612</v>
      </c>
      <c r="M39" s="60">
        <v>0.0612</v>
      </c>
      <c r="N39" s="60">
        <v>0.0612</v>
      </c>
      <c r="O39" s="60">
        <v>0.0612</v>
      </c>
      <c r="P39" s="60">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292</v>
      </c>
    </row>
    <row r="40" spans="1:47">
      <c r="A40" t="s">
        <v>112</v>
      </c>
      <c r="B40" t="s">
        <v>123</v>
      </c>
      <c r="C40" t="s">
        <v>303</v>
      </c>
      <c r="D40" t="s">
        <v>292</v>
      </c>
      <c r="E40" t="s">
        <v>292</v>
      </c>
      <c r="F40" t="s">
        <v>293</v>
      </c>
      <c r="G40" t="s">
        <v>294</v>
      </c>
      <c r="H40" s="60" t="s">
        <v>292</v>
      </c>
      <c r="I40" s="60" t="s">
        <v>292</v>
      </c>
      <c r="J40" s="60" t="s">
        <v>292</v>
      </c>
      <c r="K40" s="60" t="s">
        <v>292</v>
      </c>
      <c r="L40" s="60">
        <v>0.527722806887128</v>
      </c>
      <c r="M40" s="60">
        <v>0.527722806887128</v>
      </c>
      <c r="N40" s="60">
        <v>0.527722806887128</v>
      </c>
      <c r="O40" s="60">
        <v>0.527722806887128</v>
      </c>
      <c r="P40" s="60">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292</v>
      </c>
    </row>
    <row r="41" spans="1:47">
      <c r="A41" t="s">
        <v>112</v>
      </c>
      <c r="B41" t="s">
        <v>123</v>
      </c>
      <c r="C41" t="s">
        <v>304</v>
      </c>
      <c r="D41" t="s">
        <v>292</v>
      </c>
      <c r="E41" t="s">
        <v>292</v>
      </c>
      <c r="F41" t="s">
        <v>293</v>
      </c>
      <c r="G41" t="s">
        <v>294</v>
      </c>
      <c r="H41" s="60" t="s">
        <v>292</v>
      </c>
      <c r="I41" s="60" t="s">
        <v>292</v>
      </c>
      <c r="J41" s="60" t="s">
        <v>292</v>
      </c>
      <c r="K41" s="60" t="s">
        <v>292</v>
      </c>
      <c r="L41" s="60">
        <v>0.527722806887128</v>
      </c>
      <c r="M41" s="60">
        <v>0.527722806887128</v>
      </c>
      <c r="N41" s="60">
        <v>0.527722806887128</v>
      </c>
      <c r="O41" s="60">
        <v>0.527722806887128</v>
      </c>
      <c r="P41" s="60">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292</v>
      </c>
    </row>
    <row r="42" spans="1:47">
      <c r="A42" t="s">
        <v>112</v>
      </c>
      <c r="B42" t="s">
        <v>123</v>
      </c>
      <c r="C42" t="s">
        <v>305</v>
      </c>
      <c r="D42" t="s">
        <v>292</v>
      </c>
      <c r="E42" t="s">
        <v>292</v>
      </c>
      <c r="F42" t="s">
        <v>293</v>
      </c>
      <c r="G42" t="s">
        <v>294</v>
      </c>
      <c r="H42" s="60" t="s">
        <v>292</v>
      </c>
      <c r="I42" s="60" t="s">
        <v>292</v>
      </c>
      <c r="J42" s="60" t="s">
        <v>292</v>
      </c>
      <c r="K42" s="60" t="s">
        <v>292</v>
      </c>
      <c r="L42" s="60">
        <v>0.932105736023111</v>
      </c>
      <c r="M42" s="60">
        <v>0.932105736023111</v>
      </c>
      <c r="N42" s="60">
        <v>0.932105736023111</v>
      </c>
      <c r="O42" s="60">
        <v>0.932105736023111</v>
      </c>
      <c r="P42" s="60">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292</v>
      </c>
    </row>
    <row r="43" spans="1:47">
      <c r="A43" t="s">
        <v>112</v>
      </c>
      <c r="B43" t="s">
        <v>123</v>
      </c>
      <c r="C43" t="s">
        <v>306</v>
      </c>
      <c r="D43" t="s">
        <v>292</v>
      </c>
      <c r="E43" t="s">
        <v>292</v>
      </c>
      <c r="F43" t="s">
        <v>293</v>
      </c>
      <c r="G43" t="s">
        <v>294</v>
      </c>
      <c r="H43" s="60" t="s">
        <v>292</v>
      </c>
      <c r="I43" s="60" t="s">
        <v>292</v>
      </c>
      <c r="J43" s="60" t="s">
        <v>292</v>
      </c>
      <c r="K43" s="60" t="s">
        <v>292</v>
      </c>
      <c r="L43" s="60">
        <v>0.466052868011556</v>
      </c>
      <c r="M43" s="60">
        <v>0.466052868011556</v>
      </c>
      <c r="N43" s="60">
        <v>0.466052868011556</v>
      </c>
      <c r="O43" s="60">
        <v>0.466052868011556</v>
      </c>
      <c r="P43" s="60">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292</v>
      </c>
    </row>
    <row r="44" spans="1:47">
      <c r="A44" t="s">
        <v>112</v>
      </c>
      <c r="B44" t="s">
        <v>123</v>
      </c>
      <c r="C44" t="s">
        <v>169</v>
      </c>
      <c r="D44" t="s">
        <v>292</v>
      </c>
      <c r="E44" t="s">
        <v>292</v>
      </c>
      <c r="F44" t="s">
        <v>293</v>
      </c>
      <c r="G44" t="s">
        <v>294</v>
      </c>
      <c r="H44" s="60" t="s">
        <v>292</v>
      </c>
      <c r="I44" s="60" t="s">
        <v>292</v>
      </c>
      <c r="J44" s="60" t="s">
        <v>292</v>
      </c>
      <c r="K44" s="60" t="s">
        <v>292</v>
      </c>
      <c r="L44" s="60">
        <v>0.466052868011556</v>
      </c>
      <c r="M44" s="60">
        <v>0.466052868011556</v>
      </c>
      <c r="N44" s="60">
        <v>0.466052868011556</v>
      </c>
      <c r="O44" s="60">
        <v>0.466052868011556</v>
      </c>
      <c r="P44" s="60">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292</v>
      </c>
    </row>
    <row r="45" spans="1:47">
      <c r="A45" t="s">
        <v>112</v>
      </c>
      <c r="B45" t="s">
        <v>123</v>
      </c>
      <c r="C45" t="s">
        <v>307</v>
      </c>
      <c r="D45" t="s">
        <v>292</v>
      </c>
      <c r="E45" t="s">
        <v>292</v>
      </c>
      <c r="F45" t="s">
        <v>293</v>
      </c>
      <c r="G45" t="s">
        <v>294</v>
      </c>
      <c r="H45" s="60" t="s">
        <v>292</v>
      </c>
      <c r="I45" s="60" t="s">
        <v>292</v>
      </c>
      <c r="J45" s="60" t="s">
        <v>292</v>
      </c>
      <c r="K45" s="60" t="s">
        <v>292</v>
      </c>
      <c r="L45" s="60">
        <v>0.475531491178995</v>
      </c>
      <c r="M45" s="60">
        <v>0.475531491178995</v>
      </c>
      <c r="N45" s="60">
        <v>0.475531491178995</v>
      </c>
      <c r="O45" s="60">
        <v>0.475531491178995</v>
      </c>
      <c r="P45" s="60">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292</v>
      </c>
    </row>
    <row r="46" spans="1:47">
      <c r="A46" t="s">
        <v>112</v>
      </c>
      <c r="B46" t="s">
        <v>123</v>
      </c>
      <c r="C46" t="s">
        <v>308</v>
      </c>
      <c r="D46" t="s">
        <v>292</v>
      </c>
      <c r="E46" t="s">
        <v>292</v>
      </c>
      <c r="F46" t="s">
        <v>293</v>
      </c>
      <c r="G46" t="s">
        <v>294</v>
      </c>
      <c r="H46" s="60" t="s">
        <v>292</v>
      </c>
      <c r="I46" s="60" t="s">
        <v>292</v>
      </c>
      <c r="J46" s="60" t="s">
        <v>292</v>
      </c>
      <c r="K46" s="60" t="s">
        <v>292</v>
      </c>
      <c r="L46" s="60">
        <v>0.429345439465179</v>
      </c>
      <c r="M46" s="60">
        <v>0.429345439465179</v>
      </c>
      <c r="N46" s="60">
        <v>0.429345439465179</v>
      </c>
      <c r="O46" s="60">
        <v>0.429345439465179</v>
      </c>
      <c r="P46" s="60">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292</v>
      </c>
    </row>
    <row r="47" spans="1:47">
      <c r="A47" t="s">
        <v>112</v>
      </c>
      <c r="B47" t="s">
        <v>123</v>
      </c>
      <c r="C47" t="s">
        <v>309</v>
      </c>
      <c r="D47" t="s">
        <v>292</v>
      </c>
      <c r="E47" t="s">
        <v>292</v>
      </c>
      <c r="F47" t="s">
        <v>293</v>
      </c>
      <c r="G47" t="s">
        <v>294</v>
      </c>
      <c r="H47" s="60" t="s">
        <v>292</v>
      </c>
      <c r="I47" s="60" t="s">
        <v>292</v>
      </c>
      <c r="J47" s="60" t="s">
        <v>292</v>
      </c>
      <c r="K47" s="60" t="s">
        <v>292</v>
      </c>
      <c r="L47" s="60">
        <v>0.139365903767697</v>
      </c>
      <c r="M47" s="60">
        <v>0.139365903767697</v>
      </c>
      <c r="N47" s="60">
        <v>0.139365903767697</v>
      </c>
      <c r="O47" s="60">
        <v>0.139365903767697</v>
      </c>
      <c r="P47" s="60">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292</v>
      </c>
    </row>
    <row r="48" spans="1:47">
      <c r="A48" t="s">
        <v>112</v>
      </c>
      <c r="B48" t="s">
        <v>123</v>
      </c>
      <c r="C48" t="s">
        <v>170</v>
      </c>
      <c r="D48" t="s">
        <v>292</v>
      </c>
      <c r="E48" t="s">
        <v>292</v>
      </c>
      <c r="F48" t="s">
        <v>293</v>
      </c>
      <c r="G48" t="s">
        <v>294</v>
      </c>
      <c r="H48" s="60" t="s">
        <v>292</v>
      </c>
      <c r="I48" s="60" t="s">
        <v>292</v>
      </c>
      <c r="J48" s="60" t="s">
        <v>292</v>
      </c>
      <c r="K48" s="60" t="s">
        <v>292</v>
      </c>
      <c r="L48" s="60">
        <v>0.139365903767697</v>
      </c>
      <c r="M48" s="60">
        <v>0.139365903767697</v>
      </c>
      <c r="N48" s="60">
        <v>0.139365903767697</v>
      </c>
      <c r="O48" s="60">
        <v>0.139365903767697</v>
      </c>
      <c r="P48" s="60">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292</v>
      </c>
    </row>
    <row r="49" spans="1:47">
      <c r="A49" t="s">
        <v>112</v>
      </c>
      <c r="B49" t="s">
        <v>123</v>
      </c>
      <c r="C49" t="s">
        <v>310</v>
      </c>
      <c r="D49" t="s">
        <v>292</v>
      </c>
      <c r="E49" t="s">
        <v>292</v>
      </c>
      <c r="F49" t="s">
        <v>293</v>
      </c>
      <c r="G49" t="s">
        <v>294</v>
      </c>
      <c r="H49" s="60" t="s">
        <v>292</v>
      </c>
      <c r="I49" s="60" t="s">
        <v>292</v>
      </c>
      <c r="J49" s="60" t="s">
        <v>292</v>
      </c>
      <c r="K49" s="60" t="s">
        <v>292</v>
      </c>
      <c r="L49" s="60">
        <v>0.139365903767697</v>
      </c>
      <c r="M49" s="60">
        <v>0.139365903767697</v>
      </c>
      <c r="N49" s="60">
        <v>0.139365903767697</v>
      </c>
      <c r="O49" s="60">
        <v>0.139365903767697</v>
      </c>
      <c r="P49" s="60">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292</v>
      </c>
    </row>
    <row r="50" spans="1:47">
      <c r="A50" t="s">
        <v>112</v>
      </c>
      <c r="B50" t="s">
        <v>123</v>
      </c>
      <c r="C50" t="s">
        <v>311</v>
      </c>
      <c r="D50" t="s">
        <v>292</v>
      </c>
      <c r="E50" t="s">
        <v>292</v>
      </c>
      <c r="F50" t="s">
        <v>293</v>
      </c>
      <c r="G50" t="s">
        <v>294</v>
      </c>
      <c r="H50" s="60" t="s">
        <v>292</v>
      </c>
      <c r="I50" s="60" t="s">
        <v>292</v>
      </c>
      <c r="J50" s="60" t="s">
        <v>292</v>
      </c>
      <c r="K50" s="60" t="s">
        <v>292</v>
      </c>
      <c r="L50" s="60">
        <v>0.379626024625345</v>
      </c>
      <c r="M50" s="60">
        <v>0.379626024625345</v>
      </c>
      <c r="N50" s="60">
        <v>0.379626024625345</v>
      </c>
      <c r="O50" s="60">
        <v>0.379626024625345</v>
      </c>
      <c r="P50" s="60">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292</v>
      </c>
    </row>
    <row r="51" spans="1:47">
      <c r="A51" t="s">
        <v>112</v>
      </c>
      <c r="B51" t="s">
        <v>123</v>
      </c>
      <c r="C51" t="s">
        <v>171</v>
      </c>
      <c r="D51" t="s">
        <v>292</v>
      </c>
      <c r="E51" t="s">
        <v>292</v>
      </c>
      <c r="F51" t="s">
        <v>293</v>
      </c>
      <c r="G51" t="s">
        <v>294</v>
      </c>
      <c r="H51" s="60" t="s">
        <v>292</v>
      </c>
      <c r="I51" s="60" t="s">
        <v>292</v>
      </c>
      <c r="J51" s="60" t="s">
        <v>292</v>
      </c>
      <c r="K51" s="60" t="s">
        <v>292</v>
      </c>
      <c r="L51" s="60">
        <v>0.379626024625345</v>
      </c>
      <c r="M51" s="60">
        <v>0.379626024625345</v>
      </c>
      <c r="N51" s="60">
        <v>0.379626024625345</v>
      </c>
      <c r="O51" s="60">
        <v>0.379626024625345</v>
      </c>
      <c r="P51" s="60">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292</v>
      </c>
    </row>
    <row r="52" spans="1:47">
      <c r="A52" t="s">
        <v>112</v>
      </c>
      <c r="B52" t="s">
        <v>123</v>
      </c>
      <c r="C52" t="s">
        <v>312</v>
      </c>
      <c r="D52" t="s">
        <v>292</v>
      </c>
      <c r="E52" t="s">
        <v>292</v>
      </c>
      <c r="F52" t="s">
        <v>293</v>
      </c>
      <c r="G52" t="s">
        <v>294</v>
      </c>
      <c r="H52" s="60" t="s">
        <v>292</v>
      </c>
      <c r="I52" s="60" t="s">
        <v>292</v>
      </c>
      <c r="J52" s="60" t="s">
        <v>292</v>
      </c>
      <c r="K52" s="60" t="s">
        <v>292</v>
      </c>
      <c r="L52" s="60">
        <v>0.745426473864409</v>
      </c>
      <c r="M52" s="60">
        <v>0.745426473864409</v>
      </c>
      <c r="N52" s="60">
        <v>0.745426473864409</v>
      </c>
      <c r="O52" s="60">
        <v>0.745426473864409</v>
      </c>
      <c r="P52" s="60">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292</v>
      </c>
    </row>
    <row r="53" spans="1:47">
      <c r="A53" t="s">
        <v>112</v>
      </c>
      <c r="B53" t="s">
        <v>123</v>
      </c>
      <c r="C53" t="s">
        <v>313</v>
      </c>
      <c r="D53" t="s">
        <v>292</v>
      </c>
      <c r="E53" t="s">
        <v>292</v>
      </c>
      <c r="F53" t="s">
        <v>293</v>
      </c>
      <c r="G53" t="s">
        <v>294</v>
      </c>
      <c r="H53" s="60" t="s">
        <v>292</v>
      </c>
      <c r="I53" s="60" t="s">
        <v>292</v>
      </c>
      <c r="J53" s="60" t="s">
        <v>292</v>
      </c>
      <c r="K53" s="60" t="s">
        <v>292</v>
      </c>
      <c r="L53" s="60">
        <v>0.372713236932204</v>
      </c>
      <c r="M53" s="60">
        <v>0.372713236932204</v>
      </c>
      <c r="N53" s="60">
        <v>0.372713236932204</v>
      </c>
      <c r="O53" s="60">
        <v>0.372713236932204</v>
      </c>
      <c r="P53" s="60">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292</v>
      </c>
    </row>
    <row r="54" spans="1:47">
      <c r="A54" t="s">
        <v>112</v>
      </c>
      <c r="B54" t="s">
        <v>123</v>
      </c>
      <c r="C54" t="s">
        <v>314</v>
      </c>
      <c r="D54" t="s">
        <v>292</v>
      </c>
      <c r="E54" t="s">
        <v>292</v>
      </c>
      <c r="F54" t="s">
        <v>293</v>
      </c>
      <c r="G54" t="s">
        <v>294</v>
      </c>
      <c r="H54" s="60" t="s">
        <v>292</v>
      </c>
      <c r="I54" s="60" t="s">
        <v>292</v>
      </c>
      <c r="J54" s="60" t="s">
        <v>292</v>
      </c>
      <c r="K54" s="60" t="s">
        <v>292</v>
      </c>
      <c r="L54" s="60">
        <v>0.440757335287194</v>
      </c>
      <c r="M54" s="60">
        <v>0.440757335287194</v>
      </c>
      <c r="N54" s="60">
        <v>0.440757335287194</v>
      </c>
      <c r="O54" s="60">
        <v>0.440757335287194</v>
      </c>
      <c r="P54" s="60">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292</v>
      </c>
    </row>
    <row r="55" spans="1:47">
      <c r="A55" t="s">
        <v>112</v>
      </c>
      <c r="B55" t="s">
        <v>123</v>
      </c>
      <c r="C55" t="s">
        <v>315</v>
      </c>
      <c r="D55" t="s">
        <v>292</v>
      </c>
      <c r="E55" t="s">
        <v>292</v>
      </c>
      <c r="F55" t="s">
        <v>293</v>
      </c>
      <c r="G55" t="s">
        <v>294</v>
      </c>
      <c r="H55" s="60" t="s">
        <v>292</v>
      </c>
      <c r="I55" s="60" t="s">
        <v>292</v>
      </c>
      <c r="J55" s="60" t="s">
        <v>292</v>
      </c>
      <c r="K55" s="60" t="s">
        <v>292</v>
      </c>
      <c r="L55" s="60">
        <v>0.329484430322726</v>
      </c>
      <c r="M55" s="60">
        <v>0.329484430322726</v>
      </c>
      <c r="N55" s="60">
        <v>0.329484430322726</v>
      </c>
      <c r="O55" s="60">
        <v>0.329484430322726</v>
      </c>
      <c r="P55" s="60">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292</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1" zoomScaleNormal="51" topLeftCell="AF1" workbookViewId="0">
      <selection activeCell="R134" sqref="R134"/>
    </sheetView>
  </sheetViews>
  <sheetFormatPr defaultColWidth="8.72727272727273" defaultRowHeight="12.5"/>
  <cols>
    <col min="1" max="9" width="8.71818181818182" style="13"/>
    <col min="10" max="10" width="11.4272727272727" style="13" customWidth="1"/>
    <col min="11" max="11" width="26" style="13" customWidth="1"/>
    <col min="12" max="12" width="11.1454545454545" style="13" customWidth="1"/>
    <col min="13" max="13" width="9.14545454545454" style="13"/>
    <col min="14" max="16" width="8.71818181818182" style="13"/>
    <col min="17" max="17" width="40.4272727272727" style="13" customWidth="1"/>
    <col min="18" max="18" width="44.7181818181818" style="13" customWidth="1"/>
    <col min="19" max="22" width="12.8545454545455" style="13"/>
    <col min="23" max="23" width="26" style="13" customWidth="1"/>
    <col min="24" max="26" width="12.8545454545455" style="13"/>
    <col min="27" max="28" width="8.71818181818182" style="13"/>
    <col min="29" max="29" width="26" style="13" customWidth="1"/>
    <col min="30" max="30" width="27.4272727272727" style="13" customWidth="1"/>
    <col min="31" max="34" width="8.71818181818182" style="13"/>
    <col min="35" max="35" width="21.5727272727273" style="13" customWidth="1"/>
    <col min="36" max="40" width="8.71818181818182" style="13"/>
    <col min="41" max="41" width="21.8545454545455" style="13" customWidth="1"/>
    <col min="42" max="46" width="8.71818181818182" style="13"/>
    <col min="47" max="47" width="20.5727272727273" style="13" customWidth="1"/>
    <col min="48" max="48" width="33.5727272727273" style="13" customWidth="1"/>
    <col min="49" max="52" width="8.71818181818182" style="13"/>
    <col min="53" max="53" width="20.5727272727273" style="13" customWidth="1"/>
    <col min="54" max="16384" width="8.71818181818182" style="13"/>
  </cols>
  <sheetData>
    <row r="4" s="38" customFormat="1" ht="14.5" spans="4:55">
      <c r="D4" s="40"/>
      <c r="E4" s="40"/>
      <c r="F4" s="40"/>
      <c r="G4" s="40"/>
      <c r="H4" s="41"/>
      <c r="I4" s="41"/>
      <c r="J4" s="40"/>
      <c r="K4" s="40"/>
      <c r="L4" s="33" t="s">
        <v>316</v>
      </c>
      <c r="M4" s="40"/>
      <c r="N4" s="41"/>
      <c r="O4" s="41"/>
      <c r="P4" s="41"/>
      <c r="Q4" s="41"/>
      <c r="R4" s="33" t="s">
        <v>316</v>
      </c>
      <c r="S4" s="41"/>
      <c r="T4" s="41"/>
      <c r="U4" s="41"/>
      <c r="V4" s="41"/>
      <c r="W4" s="41"/>
      <c r="X4" s="33" t="s">
        <v>316</v>
      </c>
      <c r="Y4" s="41"/>
      <c r="Z4" s="41"/>
      <c r="AA4" s="41"/>
      <c r="AB4" s="41"/>
      <c r="AC4" s="41"/>
      <c r="AD4" s="33" t="s">
        <v>316</v>
      </c>
      <c r="AE4" s="41"/>
      <c r="AF4" s="41"/>
      <c r="AG4" s="41"/>
      <c r="AH4" s="41"/>
      <c r="AI4" s="41"/>
      <c r="AJ4" s="33" t="s">
        <v>316</v>
      </c>
      <c r="AK4" s="41"/>
      <c r="AL4" s="41"/>
      <c r="AM4" s="41"/>
      <c r="AN4" s="41"/>
      <c r="AO4" s="41"/>
      <c r="AP4" s="33" t="s">
        <v>316</v>
      </c>
      <c r="AQ4" s="41"/>
      <c r="AT4" s="41"/>
      <c r="AU4" s="41"/>
      <c r="AV4" s="33" t="s">
        <v>316</v>
      </c>
      <c r="AW4" s="41"/>
      <c r="AZ4" s="13"/>
      <c r="BA4" s="13"/>
      <c r="BB4" s="13"/>
      <c r="BC4" s="13"/>
    </row>
    <row r="5" s="38" customFormat="1" ht="14.5" spans="4:55">
      <c r="D5" s="40"/>
      <c r="E5" s="40"/>
      <c r="F5" s="42"/>
      <c r="G5" s="40"/>
      <c r="H5" s="41"/>
      <c r="I5" s="41"/>
      <c r="J5" s="33" t="s">
        <v>136</v>
      </c>
      <c r="K5" s="33" t="s">
        <v>65</v>
      </c>
      <c r="L5" s="33" t="s">
        <v>111</v>
      </c>
      <c r="M5" s="33" t="s">
        <v>25</v>
      </c>
      <c r="N5" s="41" t="s">
        <v>41</v>
      </c>
      <c r="O5" s="41"/>
      <c r="P5" s="33" t="s">
        <v>136</v>
      </c>
      <c r="Q5" s="33" t="s">
        <v>65</v>
      </c>
      <c r="R5" s="33" t="s">
        <v>111</v>
      </c>
      <c r="S5" s="33" t="s">
        <v>25</v>
      </c>
      <c r="T5" s="41" t="s">
        <v>41</v>
      </c>
      <c r="U5" s="41"/>
      <c r="V5" s="33" t="s">
        <v>136</v>
      </c>
      <c r="W5" s="33" t="s">
        <v>65</v>
      </c>
      <c r="X5" s="33" t="s">
        <v>111</v>
      </c>
      <c r="Y5" s="33" t="s">
        <v>25</v>
      </c>
      <c r="Z5" s="41" t="s">
        <v>41</v>
      </c>
      <c r="AA5" s="41"/>
      <c r="AB5" s="33" t="s">
        <v>136</v>
      </c>
      <c r="AC5" s="33" t="s">
        <v>65</v>
      </c>
      <c r="AD5" s="33" t="s">
        <v>111</v>
      </c>
      <c r="AE5" s="33" t="s">
        <v>25</v>
      </c>
      <c r="AF5" s="41" t="s">
        <v>41</v>
      </c>
      <c r="AG5" s="41"/>
      <c r="AH5" s="33" t="s">
        <v>136</v>
      </c>
      <c r="AI5" s="33" t="s">
        <v>65</v>
      </c>
      <c r="AJ5" s="33" t="s">
        <v>111</v>
      </c>
      <c r="AK5" s="33" t="s">
        <v>25</v>
      </c>
      <c r="AL5" s="41" t="s">
        <v>41</v>
      </c>
      <c r="AM5" s="41"/>
      <c r="AN5" s="33" t="s">
        <v>136</v>
      </c>
      <c r="AO5" s="33" t="s">
        <v>65</v>
      </c>
      <c r="AP5" s="33" t="s">
        <v>111</v>
      </c>
      <c r="AQ5" s="33" t="s">
        <v>25</v>
      </c>
      <c r="AR5" s="41" t="s">
        <v>41</v>
      </c>
      <c r="AT5" s="33" t="s">
        <v>136</v>
      </c>
      <c r="AU5" s="33" t="s">
        <v>65</v>
      </c>
      <c r="AV5" s="33" t="s">
        <v>111</v>
      </c>
      <c r="AW5" s="33" t="s">
        <v>25</v>
      </c>
      <c r="AX5" s="41" t="s">
        <v>41</v>
      </c>
      <c r="AZ5" s="13"/>
      <c r="BA5" s="13"/>
      <c r="BB5" s="13"/>
      <c r="BC5" s="13"/>
    </row>
    <row r="6" s="38" customFormat="1" ht="16" spans="4:55">
      <c r="D6" s="40"/>
      <c r="E6" s="43"/>
      <c r="F6" s="42"/>
      <c r="G6" s="44"/>
      <c r="H6" s="41"/>
      <c r="I6" s="41"/>
      <c r="J6" s="40" t="s">
        <v>140</v>
      </c>
      <c r="K6" s="43" t="s">
        <v>81</v>
      </c>
      <c r="L6" s="35" t="s">
        <v>317</v>
      </c>
      <c r="M6" s="45">
        <f t="shared" ref="M6:M9" si="0">M16/1000</f>
        <v>0.0768000000000001</v>
      </c>
      <c r="N6" s="41">
        <v>2020</v>
      </c>
      <c r="O6" s="41"/>
      <c r="P6" s="40" t="s">
        <v>140</v>
      </c>
      <c r="Q6" s="43" t="s">
        <v>86</v>
      </c>
      <c r="R6" s="35" t="s">
        <v>317</v>
      </c>
      <c r="S6" s="45">
        <f t="shared" ref="S6:S9" si="1">S16/1000</f>
        <v>0.0713</v>
      </c>
      <c r="T6" s="41">
        <v>2020</v>
      </c>
      <c r="U6" s="41"/>
      <c r="V6" s="40" t="s">
        <v>140</v>
      </c>
      <c r="W6" s="43" t="s">
        <v>90</v>
      </c>
      <c r="X6" s="35" t="s">
        <v>317</v>
      </c>
      <c r="Y6" s="45">
        <f t="shared" ref="Y6:Y9" si="2">Y16/1000</f>
        <v>0.0712</v>
      </c>
      <c r="Z6" s="41">
        <v>2020</v>
      </c>
      <c r="AA6" s="41"/>
      <c r="AB6" s="40" t="s">
        <v>140</v>
      </c>
      <c r="AC6" s="43" t="s">
        <v>94</v>
      </c>
      <c r="AD6" s="35" t="s">
        <v>317</v>
      </c>
      <c r="AE6" s="45">
        <f t="shared" ref="AE6:AE9" si="3">AE16/1000</f>
        <v>0.0725</v>
      </c>
      <c r="AF6" s="41">
        <v>2020</v>
      </c>
      <c r="AG6" s="41"/>
      <c r="AH6" s="40" t="s">
        <v>140</v>
      </c>
      <c r="AI6" s="43" t="s">
        <v>77</v>
      </c>
      <c r="AJ6" s="35" t="s">
        <v>317</v>
      </c>
      <c r="AK6" s="45">
        <f t="shared" ref="AK6:AK9" si="4">AK16/1000</f>
        <v>0.077</v>
      </c>
      <c r="AL6" s="41">
        <v>2020</v>
      </c>
      <c r="AM6" s="41"/>
      <c r="AN6" s="40" t="s">
        <v>140</v>
      </c>
      <c r="AO6" s="43" t="s">
        <v>73</v>
      </c>
      <c r="AP6" s="35" t="s">
        <v>317</v>
      </c>
      <c r="AQ6" s="45">
        <f t="shared" ref="AQ6:AQ9" si="5">AQ16/1000</f>
        <v>0.0424</v>
      </c>
      <c r="AR6" s="41">
        <v>2020</v>
      </c>
      <c r="AT6" s="40" t="s">
        <v>140</v>
      </c>
      <c r="AU6" s="43" t="s">
        <v>68</v>
      </c>
      <c r="AV6" s="35" t="s">
        <v>317</v>
      </c>
      <c r="AW6" s="45">
        <f t="shared" ref="AW6:AW9" si="6">AW16/1000</f>
        <v>0.0472</v>
      </c>
      <c r="AX6" s="41">
        <v>2020</v>
      </c>
      <c r="AZ6" s="13"/>
      <c r="BA6" s="13"/>
      <c r="BB6" s="13"/>
      <c r="BC6" s="13"/>
    </row>
    <row r="7" s="38" customFormat="1" ht="16" spans="4:55">
      <c r="D7" s="40"/>
      <c r="E7" s="43"/>
      <c r="F7" s="42"/>
      <c r="G7" s="44"/>
      <c r="H7" s="41"/>
      <c r="I7" s="41"/>
      <c r="J7" s="40" t="s">
        <v>140</v>
      </c>
      <c r="K7" s="43" t="s">
        <v>81</v>
      </c>
      <c r="L7" s="35" t="s">
        <v>318</v>
      </c>
      <c r="M7" s="45">
        <f t="shared" si="0"/>
        <v>0.2026</v>
      </c>
      <c r="N7" s="41">
        <v>2020</v>
      </c>
      <c r="O7" s="41"/>
      <c r="P7" s="40" t="s">
        <v>140</v>
      </c>
      <c r="Q7" s="43" t="s">
        <v>86</v>
      </c>
      <c r="R7" s="35" t="s">
        <v>318</v>
      </c>
      <c r="S7" s="45">
        <f t="shared" si="1"/>
        <v>0.1913</v>
      </c>
      <c r="T7" s="41">
        <v>2020</v>
      </c>
      <c r="U7" s="41"/>
      <c r="V7" s="40" t="s">
        <v>140</v>
      </c>
      <c r="W7" s="43" t="s">
        <v>90</v>
      </c>
      <c r="X7" s="35" t="s">
        <v>318</v>
      </c>
      <c r="Y7" s="45">
        <f t="shared" si="2"/>
        <v>0.1915</v>
      </c>
      <c r="Z7" s="41">
        <v>2020</v>
      </c>
      <c r="AA7" s="41"/>
      <c r="AB7" s="40" t="s">
        <v>140</v>
      </c>
      <c r="AC7" s="43" t="s">
        <v>94</v>
      </c>
      <c r="AD7" s="35" t="s">
        <v>318</v>
      </c>
      <c r="AE7" s="45">
        <f t="shared" si="3"/>
        <v>0.1859</v>
      </c>
      <c r="AF7" s="41">
        <v>2020</v>
      </c>
      <c r="AG7" s="41"/>
      <c r="AH7" s="40" t="s">
        <v>140</v>
      </c>
      <c r="AI7" s="43" t="s">
        <v>77</v>
      </c>
      <c r="AJ7" s="35" t="s">
        <v>318</v>
      </c>
      <c r="AK7" s="45">
        <f t="shared" si="4"/>
        <v>0.1982</v>
      </c>
      <c r="AL7" s="41">
        <v>2020</v>
      </c>
      <c r="AM7" s="41"/>
      <c r="AN7" s="40" t="s">
        <v>140</v>
      </c>
      <c r="AO7" s="43" t="s">
        <v>73</v>
      </c>
      <c r="AP7" s="35" t="s">
        <v>318</v>
      </c>
      <c r="AQ7" s="45">
        <f t="shared" si="5"/>
        <v>0.0768</v>
      </c>
      <c r="AR7" s="41">
        <v>2020</v>
      </c>
      <c r="AT7" s="40" t="s">
        <v>140</v>
      </c>
      <c r="AU7" s="43" t="s">
        <v>68</v>
      </c>
      <c r="AV7" s="35" t="s">
        <v>318</v>
      </c>
      <c r="AW7" s="45">
        <f t="shared" si="6"/>
        <v>0.1555</v>
      </c>
      <c r="AX7" s="41">
        <v>2020</v>
      </c>
      <c r="AZ7" s="13"/>
      <c r="BA7" s="13"/>
      <c r="BB7" s="13"/>
      <c r="BC7" s="13"/>
    </row>
    <row r="8" s="38" customFormat="1" ht="14.5" customHeight="1" spans="4:55">
      <c r="D8" s="40"/>
      <c r="E8" s="43"/>
      <c r="F8" s="42"/>
      <c r="G8" s="44"/>
      <c r="H8" s="41"/>
      <c r="I8" s="41"/>
      <c r="J8" s="40" t="s">
        <v>140</v>
      </c>
      <c r="K8" s="43" t="s">
        <v>81</v>
      </c>
      <c r="L8" s="35" t="s">
        <v>319</v>
      </c>
      <c r="M8" s="45">
        <f t="shared" si="0"/>
        <v>0.5838</v>
      </c>
      <c r="N8" s="41">
        <v>2020</v>
      </c>
      <c r="O8" s="41"/>
      <c r="P8" s="40" t="s">
        <v>140</v>
      </c>
      <c r="Q8" s="43" t="s">
        <v>86</v>
      </c>
      <c r="R8" s="35" t="s">
        <v>319</v>
      </c>
      <c r="S8" s="45">
        <f t="shared" si="1"/>
        <v>0.5561</v>
      </c>
      <c r="T8" s="41">
        <v>2020</v>
      </c>
      <c r="U8" s="41"/>
      <c r="V8" s="40" t="s">
        <v>140</v>
      </c>
      <c r="W8" s="43" t="s">
        <v>90</v>
      </c>
      <c r="X8" s="35" t="s">
        <v>319</v>
      </c>
      <c r="Y8" s="45">
        <f t="shared" si="2"/>
        <v>0.5579</v>
      </c>
      <c r="Z8" s="41">
        <v>2020</v>
      </c>
      <c r="AA8" s="41"/>
      <c r="AB8" s="40" t="s">
        <v>140</v>
      </c>
      <c r="AC8" s="43" t="s">
        <v>94</v>
      </c>
      <c r="AD8" s="35" t="s">
        <v>319</v>
      </c>
      <c r="AE8" s="45">
        <f t="shared" si="3"/>
        <v>0.5505</v>
      </c>
      <c r="AF8" s="41">
        <v>2020</v>
      </c>
      <c r="AG8" s="41"/>
      <c r="AH8" s="40" t="s">
        <v>140</v>
      </c>
      <c r="AI8" s="43" t="s">
        <v>77</v>
      </c>
      <c r="AJ8" s="35" t="s">
        <v>319</v>
      </c>
      <c r="AK8" s="45">
        <f t="shared" si="4"/>
        <v>0.5942</v>
      </c>
      <c r="AL8" s="41">
        <v>2020</v>
      </c>
      <c r="AM8" s="41"/>
      <c r="AN8" s="40" t="s">
        <v>140</v>
      </c>
      <c r="AO8" s="43" t="s">
        <v>73</v>
      </c>
      <c r="AP8" s="35" t="s">
        <v>319</v>
      </c>
      <c r="AQ8" s="45">
        <f t="shared" si="5"/>
        <v>0.4099</v>
      </c>
      <c r="AR8" s="41">
        <v>2020</v>
      </c>
      <c r="AT8" s="40" t="s">
        <v>140</v>
      </c>
      <c r="AU8" s="43" t="s">
        <v>68</v>
      </c>
      <c r="AV8" s="35" t="s">
        <v>319</v>
      </c>
      <c r="AW8" s="45">
        <f t="shared" si="6"/>
        <v>0.477</v>
      </c>
      <c r="AX8" s="41">
        <v>2020</v>
      </c>
      <c r="AZ8" s="13"/>
      <c r="BA8" s="13"/>
      <c r="BB8" s="13"/>
      <c r="BC8" s="13"/>
    </row>
    <row r="9" s="38" customFormat="1" ht="16" spans="4:55">
      <c r="D9" s="40"/>
      <c r="E9" s="43"/>
      <c r="F9" s="42"/>
      <c r="G9" s="44"/>
      <c r="H9" s="41"/>
      <c r="I9" s="41"/>
      <c r="J9" s="40" t="s">
        <v>140</v>
      </c>
      <c r="K9" s="43" t="s">
        <v>81</v>
      </c>
      <c r="L9" s="35" t="s">
        <v>320</v>
      </c>
      <c r="M9" s="45">
        <f t="shared" si="0"/>
        <v>0.1275</v>
      </c>
      <c r="N9" s="41">
        <v>2020</v>
      </c>
      <c r="O9" s="41"/>
      <c r="P9" s="40" t="s">
        <v>140</v>
      </c>
      <c r="Q9" s="43" t="s">
        <v>86</v>
      </c>
      <c r="R9" s="35" t="s">
        <v>320</v>
      </c>
      <c r="S9" s="45">
        <f t="shared" si="1"/>
        <v>0.1337</v>
      </c>
      <c r="T9" s="41">
        <v>2020</v>
      </c>
      <c r="U9" s="41"/>
      <c r="V9" s="40" t="s">
        <v>140</v>
      </c>
      <c r="W9" s="43" t="s">
        <v>90</v>
      </c>
      <c r="X9" s="35" t="s">
        <v>320</v>
      </c>
      <c r="Y9" s="45">
        <f t="shared" si="2"/>
        <v>0.1403</v>
      </c>
      <c r="Z9" s="41">
        <v>2020</v>
      </c>
      <c r="AA9" s="41"/>
      <c r="AB9" s="40" t="s">
        <v>140</v>
      </c>
      <c r="AC9" s="43" t="s">
        <v>94</v>
      </c>
      <c r="AD9" s="35" t="s">
        <v>320</v>
      </c>
      <c r="AE9" s="45">
        <f t="shared" si="3"/>
        <v>0.1499</v>
      </c>
      <c r="AF9" s="41">
        <v>2020</v>
      </c>
      <c r="AG9" s="41"/>
      <c r="AH9" s="40" t="s">
        <v>140</v>
      </c>
      <c r="AI9" s="43" t="s">
        <v>77</v>
      </c>
      <c r="AJ9" s="35" t="s">
        <v>320</v>
      </c>
      <c r="AK9" s="45">
        <f t="shared" si="4"/>
        <v>0.1608</v>
      </c>
      <c r="AL9" s="41">
        <v>2020</v>
      </c>
      <c r="AM9" s="41"/>
      <c r="AN9" s="40" t="s">
        <v>140</v>
      </c>
      <c r="AO9" s="43" t="s">
        <v>73</v>
      </c>
      <c r="AP9" s="35" t="s">
        <v>320</v>
      </c>
      <c r="AQ9" s="45">
        <f t="shared" si="5"/>
        <v>0.057</v>
      </c>
      <c r="AR9" s="41">
        <v>2020</v>
      </c>
      <c r="AT9" s="40" t="s">
        <v>140</v>
      </c>
      <c r="AU9" s="43" t="s">
        <v>68</v>
      </c>
      <c r="AV9" s="35" t="s">
        <v>320</v>
      </c>
      <c r="AW9" s="45">
        <f t="shared" si="6"/>
        <v>0.0952</v>
      </c>
      <c r="AX9" s="41">
        <v>2020</v>
      </c>
      <c r="AZ9" s="13"/>
      <c r="BA9" s="13"/>
      <c r="BB9" s="13"/>
      <c r="BC9" s="13"/>
    </row>
    <row r="10" s="38" customFormat="1" ht="16" spans="4:55">
      <c r="D10" s="41"/>
      <c r="E10" s="43"/>
      <c r="G10" s="44"/>
      <c r="H10" s="41"/>
      <c r="I10" s="41"/>
    </row>
    <row r="13" s="39" customFormat="1"/>
    <row r="14" s="12" customFormat="1" ht="14.5" spans="4:55">
      <c r="D14" s="46"/>
      <c r="E14" s="46"/>
      <c r="F14" s="46"/>
      <c r="G14" s="46"/>
      <c r="H14" s="47"/>
      <c r="I14" s="47"/>
      <c r="J14" s="46"/>
      <c r="K14" s="46"/>
      <c r="L14" s="13"/>
      <c r="M14" s="46"/>
      <c r="N14" s="47"/>
      <c r="O14" s="47"/>
      <c r="P14" s="47"/>
      <c r="Q14" s="47"/>
      <c r="R14" s="13"/>
      <c r="S14" s="47"/>
      <c r="T14" s="47"/>
      <c r="U14" s="47"/>
      <c r="V14" s="47"/>
      <c r="W14" s="47"/>
      <c r="X14" s="13"/>
      <c r="Y14" s="47"/>
      <c r="Z14" s="47"/>
      <c r="AA14" s="47"/>
      <c r="AB14" s="47"/>
      <c r="AC14" s="47"/>
      <c r="AD14" s="13"/>
      <c r="AE14" s="47"/>
      <c r="AF14" s="47"/>
      <c r="AG14" s="47"/>
      <c r="AH14" s="47"/>
      <c r="AI14" s="47"/>
      <c r="AJ14" s="13"/>
      <c r="AK14" s="47"/>
      <c r="AL14" s="47"/>
      <c r="AM14" s="47"/>
      <c r="AN14" s="47"/>
      <c r="AO14" s="47"/>
      <c r="AP14" s="13"/>
      <c r="AQ14" s="47"/>
      <c r="AT14" s="47"/>
      <c r="AU14" s="47"/>
      <c r="AV14" s="13"/>
      <c r="AW14" s="47"/>
    </row>
    <row r="15" s="12" customFormat="1" ht="14.5" spans="4:55">
      <c r="D15" s="46"/>
      <c r="E15" s="46"/>
      <c r="F15" s="30"/>
      <c r="G15" s="46"/>
      <c r="H15" s="47"/>
      <c r="I15" s="47"/>
      <c r="J15" s="13"/>
      <c r="K15" s="13"/>
      <c r="L15" s="13"/>
      <c r="M15" s="13"/>
      <c r="N15" s="47"/>
      <c r="O15" s="47"/>
      <c r="P15" s="13"/>
      <c r="Q15" s="13"/>
      <c r="R15" s="13"/>
      <c r="S15" s="13"/>
      <c r="T15" s="47"/>
      <c r="U15" s="47"/>
      <c r="V15" s="13"/>
      <c r="W15" s="13"/>
      <c r="X15" s="13"/>
      <c r="Y15" s="13"/>
      <c r="Z15" s="47"/>
      <c r="AA15" s="47"/>
      <c r="AB15" s="13"/>
      <c r="AC15" s="13"/>
      <c r="AD15" s="13"/>
      <c r="AE15" s="13"/>
      <c r="AF15" s="47"/>
      <c r="AG15" s="47"/>
      <c r="AH15" s="13"/>
      <c r="AI15" s="13"/>
      <c r="AJ15" s="13"/>
      <c r="AK15" s="13"/>
      <c r="AL15" s="47"/>
      <c r="AM15" s="47"/>
      <c r="AN15" s="13"/>
      <c r="AO15" s="13"/>
      <c r="AP15" s="13"/>
      <c r="AQ15" s="13"/>
      <c r="AT15" s="13"/>
      <c r="AU15" s="13"/>
      <c r="AV15" s="13"/>
      <c r="AW15" s="13"/>
    </row>
    <row r="16" s="39" customFormat="1" ht="16" spans="4:55">
      <c r="J16" s="46"/>
      <c r="K16" s="48"/>
      <c r="L16" s="30"/>
      <c r="M16" s="44">
        <f t="shared" ref="M16:M19" si="7">T65</f>
        <v>76.8000000000001</v>
      </c>
      <c r="N16" s="47"/>
      <c r="O16" s="47"/>
      <c r="P16" s="46"/>
      <c r="Q16" s="48"/>
      <c r="R16" s="30"/>
      <c r="S16" s="49">
        <f t="shared" ref="S16:S19" si="8">U65</f>
        <v>71.3</v>
      </c>
      <c r="T16" s="47"/>
      <c r="U16" s="47"/>
      <c r="V16" s="46"/>
      <c r="W16" s="48"/>
      <c r="X16" s="30"/>
      <c r="Y16" s="49">
        <f t="shared" ref="Y16:Y19" si="9">V65</f>
        <v>71.2</v>
      </c>
      <c r="Z16" s="47"/>
      <c r="AA16" s="47"/>
      <c r="AB16" s="46"/>
      <c r="AC16" s="48"/>
      <c r="AD16" s="30"/>
      <c r="AE16" s="49">
        <f t="shared" ref="AE16:AE19" si="10">W65</f>
        <v>72.5</v>
      </c>
      <c r="AF16" s="47"/>
      <c r="AG16" s="47"/>
      <c r="AH16" s="46"/>
      <c r="AI16" s="48"/>
      <c r="AJ16" s="30"/>
      <c r="AK16" s="49">
        <f t="shared" ref="AK16:AK19" si="11">X65</f>
        <v>77</v>
      </c>
      <c r="AL16" s="47"/>
      <c r="AM16" s="47"/>
      <c r="AN16" s="46"/>
      <c r="AO16" s="48"/>
      <c r="AP16" s="30"/>
      <c r="AQ16" s="49">
        <f t="shared" ref="AQ16:AQ19" si="12">Y65</f>
        <v>42.4</v>
      </c>
      <c r="AR16" s="12"/>
      <c r="AS16" s="12"/>
      <c r="AT16" s="46"/>
      <c r="AU16" s="48"/>
      <c r="AV16" s="30"/>
      <c r="AW16" s="49">
        <f t="shared" ref="AW16:AW19" si="13">Z65</f>
        <v>47.2</v>
      </c>
    </row>
    <row r="17" s="39" customFormat="1" ht="16" spans="4:55">
      <c r="J17" s="46"/>
      <c r="K17" s="48"/>
      <c r="L17" s="30"/>
      <c r="M17" s="44">
        <f t="shared" si="7"/>
        <v>202.6</v>
      </c>
      <c r="N17" s="47"/>
      <c r="O17" s="47"/>
      <c r="P17" s="46"/>
      <c r="Q17" s="48"/>
      <c r="R17" s="30"/>
      <c r="S17" s="49">
        <f t="shared" si="8"/>
        <v>191.3</v>
      </c>
      <c r="T17" s="47"/>
      <c r="U17" s="47"/>
      <c r="V17" s="46"/>
      <c r="W17" s="48"/>
      <c r="X17" s="30"/>
      <c r="Y17" s="49">
        <f t="shared" si="9"/>
        <v>191.5</v>
      </c>
      <c r="Z17" s="47"/>
      <c r="AA17" s="47"/>
      <c r="AB17" s="46"/>
      <c r="AC17" s="48"/>
      <c r="AD17" s="30"/>
      <c r="AE17" s="49">
        <f t="shared" si="10"/>
        <v>185.9</v>
      </c>
      <c r="AF17" s="47"/>
      <c r="AG17" s="47"/>
      <c r="AH17" s="46"/>
      <c r="AI17" s="48"/>
      <c r="AJ17" s="30"/>
      <c r="AK17" s="49">
        <f t="shared" si="11"/>
        <v>198.2</v>
      </c>
      <c r="AL17" s="47"/>
      <c r="AM17" s="47"/>
      <c r="AN17" s="46"/>
      <c r="AO17" s="48"/>
      <c r="AP17" s="30"/>
      <c r="AQ17" s="49">
        <f t="shared" si="12"/>
        <v>76.8</v>
      </c>
      <c r="AR17" s="12"/>
      <c r="AS17" s="12"/>
      <c r="AT17" s="46"/>
      <c r="AU17" s="48"/>
      <c r="AV17" s="30"/>
      <c r="AW17" s="49">
        <f t="shared" si="13"/>
        <v>155.5</v>
      </c>
    </row>
    <row r="18" s="39" customFormat="1" ht="16" spans="4:55">
      <c r="J18" s="46"/>
      <c r="K18" s="48"/>
      <c r="L18" s="30"/>
      <c r="M18" s="44">
        <f t="shared" si="7"/>
        <v>583.8</v>
      </c>
      <c r="N18" s="47"/>
      <c r="O18" s="47"/>
      <c r="P18" s="46"/>
      <c r="Q18" s="48"/>
      <c r="R18" s="30"/>
      <c r="S18" s="49">
        <f t="shared" si="8"/>
        <v>556.1</v>
      </c>
      <c r="T18" s="47"/>
      <c r="U18" s="47"/>
      <c r="V18" s="46"/>
      <c r="W18" s="48"/>
      <c r="X18" s="30"/>
      <c r="Y18" s="49">
        <f t="shared" si="9"/>
        <v>557.9</v>
      </c>
      <c r="Z18" s="47"/>
      <c r="AA18" s="47"/>
      <c r="AB18" s="46"/>
      <c r="AC18" s="48"/>
      <c r="AD18" s="30"/>
      <c r="AE18" s="49">
        <f t="shared" si="10"/>
        <v>550.5</v>
      </c>
      <c r="AF18" s="47"/>
      <c r="AG18" s="47"/>
      <c r="AH18" s="46"/>
      <c r="AI18" s="48"/>
      <c r="AJ18" s="30"/>
      <c r="AK18" s="49">
        <f t="shared" si="11"/>
        <v>594.2</v>
      </c>
      <c r="AL18" s="47"/>
      <c r="AM18" s="47"/>
      <c r="AN18" s="46"/>
      <c r="AO18" s="48"/>
      <c r="AP18" s="30"/>
      <c r="AQ18" s="49">
        <f t="shared" si="12"/>
        <v>409.9</v>
      </c>
      <c r="AR18" s="12"/>
      <c r="AS18" s="12"/>
      <c r="AT18" s="46"/>
      <c r="AU18" s="48"/>
      <c r="AV18" s="30"/>
      <c r="AW18" s="49">
        <f t="shared" si="13"/>
        <v>477</v>
      </c>
    </row>
    <row r="19" s="39" customFormat="1" ht="16" spans="4:55">
      <c r="J19" s="46"/>
      <c r="K19" s="48"/>
      <c r="L19" s="30"/>
      <c r="M19" s="44">
        <f t="shared" si="7"/>
        <v>127.5</v>
      </c>
      <c r="N19" s="47"/>
      <c r="O19" s="47"/>
      <c r="P19" s="46"/>
      <c r="Q19" s="48"/>
      <c r="R19" s="30"/>
      <c r="S19" s="49">
        <f t="shared" si="8"/>
        <v>133.7</v>
      </c>
      <c r="T19" s="47"/>
      <c r="U19" s="47"/>
      <c r="V19" s="46"/>
      <c r="W19" s="48"/>
      <c r="X19" s="30"/>
      <c r="Y19" s="49">
        <f t="shared" si="9"/>
        <v>140.3</v>
      </c>
      <c r="Z19" s="47"/>
      <c r="AA19" s="47"/>
      <c r="AB19" s="46"/>
      <c r="AC19" s="48"/>
      <c r="AD19" s="30"/>
      <c r="AE19" s="49">
        <f t="shared" si="10"/>
        <v>149.9</v>
      </c>
      <c r="AF19" s="47"/>
      <c r="AG19" s="47"/>
      <c r="AH19" s="46"/>
      <c r="AI19" s="48"/>
      <c r="AJ19" s="30"/>
      <c r="AK19" s="49">
        <f t="shared" si="11"/>
        <v>160.8</v>
      </c>
      <c r="AL19" s="47"/>
      <c r="AM19" s="47"/>
      <c r="AN19" s="46"/>
      <c r="AO19" s="48"/>
      <c r="AP19" s="30"/>
      <c r="AQ19" s="49">
        <f t="shared" si="12"/>
        <v>57</v>
      </c>
      <c r="AR19" s="12"/>
      <c r="AS19" s="12"/>
      <c r="AT19" s="46"/>
      <c r="AU19" s="48"/>
      <c r="AV19" s="30"/>
      <c r="AW19" s="49">
        <f t="shared" si="13"/>
        <v>95.2</v>
      </c>
    </row>
    <row r="20" s="39" customFormat="1"/>
    <row r="21" s="39" customFormat="1"/>
    <row r="24" s="38" customFormat="1" ht="14.5" spans="4:55">
      <c r="D24" s="40"/>
      <c r="E24" s="40"/>
      <c r="F24" s="40"/>
      <c r="G24" s="40"/>
      <c r="H24" s="41"/>
      <c r="I24" s="41"/>
      <c r="J24" s="40"/>
      <c r="K24" s="40"/>
      <c r="L24" s="33" t="s">
        <v>316</v>
      </c>
      <c r="M24" s="40"/>
      <c r="N24" s="41"/>
      <c r="O24" s="41"/>
      <c r="P24" s="41"/>
      <c r="Q24" s="41"/>
      <c r="R24" s="33" t="s">
        <v>316</v>
      </c>
      <c r="S24" s="41"/>
      <c r="T24" s="41"/>
      <c r="U24" s="41"/>
      <c r="V24" s="41"/>
      <c r="W24" s="41"/>
      <c r="X24" s="33" t="s">
        <v>316</v>
      </c>
      <c r="Y24" s="41"/>
      <c r="Z24" s="41"/>
      <c r="AA24" s="41"/>
      <c r="AB24" s="41"/>
      <c r="AC24" s="41"/>
      <c r="AD24" s="33" t="s">
        <v>316</v>
      </c>
      <c r="AE24" s="41"/>
      <c r="AF24" s="41"/>
      <c r="AG24" s="41"/>
      <c r="AH24" s="41"/>
      <c r="AI24" s="41"/>
      <c r="AJ24" s="33" t="s">
        <v>316</v>
      </c>
      <c r="AK24" s="41"/>
      <c r="AL24" s="41"/>
      <c r="AM24" s="41"/>
      <c r="AN24" s="41"/>
      <c r="AO24" s="41"/>
      <c r="AP24" s="33" t="s">
        <v>316</v>
      </c>
      <c r="AQ24" s="41"/>
      <c r="AT24" s="41"/>
      <c r="AU24" s="41"/>
      <c r="AV24" s="33" t="s">
        <v>316</v>
      </c>
      <c r="AW24" s="41"/>
      <c r="AZ24" s="13"/>
      <c r="BA24" s="13"/>
      <c r="BB24" s="13"/>
      <c r="BC24" s="13"/>
    </row>
    <row r="25" s="38" customFormat="1" ht="14.5" spans="4:55">
      <c r="D25" s="40"/>
      <c r="E25" s="40"/>
      <c r="F25" s="42"/>
      <c r="G25" s="40"/>
      <c r="H25" s="41"/>
      <c r="I25" s="41"/>
      <c r="J25" s="33" t="s">
        <v>136</v>
      </c>
      <c r="K25" s="33" t="s">
        <v>65</v>
      </c>
      <c r="L25" s="33" t="s">
        <v>111</v>
      </c>
      <c r="M25" s="33" t="s">
        <v>11</v>
      </c>
      <c r="N25" s="41" t="s">
        <v>41</v>
      </c>
      <c r="O25" s="41"/>
      <c r="P25" s="33" t="s">
        <v>136</v>
      </c>
      <c r="Q25" s="33" t="s">
        <v>65</v>
      </c>
      <c r="R25" s="33" t="s">
        <v>111</v>
      </c>
      <c r="S25" s="33" t="s">
        <v>11</v>
      </c>
      <c r="T25" s="41" t="s">
        <v>41</v>
      </c>
      <c r="U25" s="41"/>
      <c r="V25" s="33" t="s">
        <v>136</v>
      </c>
      <c r="W25" s="33" t="s">
        <v>65</v>
      </c>
      <c r="X25" s="33" t="s">
        <v>111</v>
      </c>
      <c r="Y25" s="33" t="s">
        <v>11</v>
      </c>
      <c r="Z25" s="41" t="s">
        <v>41</v>
      </c>
      <c r="AA25" s="41"/>
      <c r="AB25" s="33" t="s">
        <v>136</v>
      </c>
      <c r="AC25" s="33" t="s">
        <v>65</v>
      </c>
      <c r="AD25" s="33" t="s">
        <v>111</v>
      </c>
      <c r="AE25" s="33" t="s">
        <v>11</v>
      </c>
      <c r="AF25" s="41" t="s">
        <v>41</v>
      </c>
      <c r="AG25" s="41"/>
      <c r="AH25" s="33" t="s">
        <v>136</v>
      </c>
      <c r="AI25" s="33" t="s">
        <v>65</v>
      </c>
      <c r="AJ25" s="33" t="s">
        <v>111</v>
      </c>
      <c r="AK25" s="33" t="s">
        <v>11</v>
      </c>
      <c r="AL25" s="41" t="s">
        <v>41</v>
      </c>
      <c r="AM25" s="41"/>
      <c r="AN25" s="33" t="s">
        <v>136</v>
      </c>
      <c r="AO25" s="33" t="s">
        <v>65</v>
      </c>
      <c r="AP25" s="33" t="s">
        <v>111</v>
      </c>
      <c r="AQ25" s="33" t="s">
        <v>11</v>
      </c>
      <c r="AR25" s="41" t="s">
        <v>41</v>
      </c>
      <c r="AT25" s="33" t="s">
        <v>136</v>
      </c>
      <c r="AU25" s="33" t="s">
        <v>65</v>
      </c>
      <c r="AV25" s="33" t="s">
        <v>111</v>
      </c>
      <c r="AW25" s="33" t="s">
        <v>11</v>
      </c>
      <c r="AX25" s="41" t="s">
        <v>41</v>
      </c>
      <c r="AZ25" s="13"/>
      <c r="BA25" s="13"/>
      <c r="BB25" s="13"/>
      <c r="BC25" s="13"/>
    </row>
    <row r="26" ht="16" spans="4:55">
      <c r="J26" s="40" t="s">
        <v>140</v>
      </c>
      <c r="K26" s="43" t="str">
        <f t="shared" ref="K26:K29" si="14">K6</f>
        <v>Tra_EV_Batt-NMC111_virgin</v>
      </c>
      <c r="L26" s="35" t="s">
        <v>317</v>
      </c>
      <c r="M26" s="44">
        <f t="shared" ref="M26:M29" si="15">T73/1000</f>
        <v>0.0774</v>
      </c>
      <c r="N26" s="41">
        <v>2020</v>
      </c>
      <c r="O26" s="41"/>
      <c r="P26" s="40" t="s">
        <v>140</v>
      </c>
      <c r="Q26" s="43" t="str">
        <f t="shared" ref="Q26:Q29" si="16">Q6</f>
        <v>Tra_EV_Batt-NMC532_virgin</v>
      </c>
      <c r="R26" s="35" t="s">
        <v>317</v>
      </c>
      <c r="S26" s="50">
        <f t="shared" ref="S26:S29" si="17">S32/1000</f>
        <v>0.072</v>
      </c>
      <c r="T26" s="41">
        <v>2020</v>
      </c>
      <c r="U26" s="41"/>
      <c r="V26" s="40" t="s">
        <v>140</v>
      </c>
      <c r="W26" s="43" t="str">
        <f t="shared" ref="W26:W29" si="18">W6</f>
        <v>Tra_EV_Batt-NMC622_virgin</v>
      </c>
      <c r="X26" s="35" t="s">
        <v>317</v>
      </c>
      <c r="Y26" s="50">
        <f t="shared" ref="Y26:Y29" si="19">Y32/1000</f>
        <v>0.0719</v>
      </c>
      <c r="Z26" s="41">
        <v>2020</v>
      </c>
      <c r="AA26" s="41"/>
      <c r="AB26" s="40" t="s">
        <v>140</v>
      </c>
      <c r="AC26" s="43" t="str">
        <f t="shared" ref="AC26:AC29" si="20">AC6</f>
        <v>Tra_EV_Batt-NMC811_virgin</v>
      </c>
      <c r="AD26" s="35" t="s">
        <v>317</v>
      </c>
      <c r="AE26" s="50">
        <f t="shared" ref="AE26:AE29" si="21">AE32/1000</f>
        <v>0.0731</v>
      </c>
      <c r="AF26" s="41">
        <v>2020</v>
      </c>
      <c r="AG26" s="41"/>
      <c r="AH26" s="40" t="s">
        <v>140</v>
      </c>
      <c r="AI26" s="43" t="str">
        <f t="shared" ref="AI26:AI29" si="22">AI6</f>
        <v>Tra_EV_Batt-NCA_virgin</v>
      </c>
      <c r="AJ26" s="35" t="s">
        <v>317</v>
      </c>
      <c r="AK26" s="50">
        <f t="shared" ref="AK26:AK29" si="23">AK32/1000</f>
        <v>0.0776999999999999</v>
      </c>
      <c r="AL26" s="41">
        <v>2020</v>
      </c>
      <c r="AM26" s="41"/>
      <c r="AN26" s="40" t="s">
        <v>140</v>
      </c>
      <c r="AO26" s="43" t="str">
        <f t="shared" ref="AO26:AO29" si="24">AO6</f>
        <v>Tra_EV_Batt-LMO_virgin</v>
      </c>
      <c r="AP26" s="35" t="s">
        <v>317</v>
      </c>
      <c r="AQ26" s="50">
        <f t="shared" ref="AQ26:AQ29" si="25">AQ32/1000</f>
        <v>0.0431</v>
      </c>
      <c r="AR26" s="41">
        <v>2020</v>
      </c>
      <c r="AS26" s="38"/>
      <c r="AT26" s="40" t="s">
        <v>140</v>
      </c>
      <c r="AU26" s="43" t="str">
        <f t="shared" ref="AU26:AU29" si="26">AU6</f>
        <v>Tra_EV_Batt-LFP_virgin</v>
      </c>
      <c r="AV26" s="35" t="s">
        <v>317</v>
      </c>
      <c r="AW26" s="50">
        <f t="shared" ref="AW26:AW29" si="27">AW32/1000</f>
        <v>0.0478</v>
      </c>
      <c r="AX26" s="41">
        <v>2020</v>
      </c>
    </row>
    <row r="27" ht="16" spans="4:55">
      <c r="J27" s="40" t="s">
        <v>140</v>
      </c>
      <c r="K27" s="43" t="str">
        <f t="shared" si="14"/>
        <v>Tra_EV_Batt-NMC111_virgin</v>
      </c>
      <c r="L27" s="35" t="s">
        <v>318</v>
      </c>
      <c r="M27" s="44">
        <f t="shared" si="15"/>
        <v>0.2366</v>
      </c>
      <c r="N27" s="41">
        <v>2020</v>
      </c>
      <c r="O27" s="41"/>
      <c r="P27" s="40" t="s">
        <v>140</v>
      </c>
      <c r="Q27" s="43" t="str">
        <f t="shared" si="16"/>
        <v>Tra_EV_Batt-NMC532_virgin</v>
      </c>
      <c r="R27" s="35" t="s">
        <v>318</v>
      </c>
      <c r="S27" s="50">
        <f t="shared" si="17"/>
        <v>0.2252</v>
      </c>
      <c r="T27" s="41">
        <v>2020</v>
      </c>
      <c r="U27" s="41"/>
      <c r="V27" s="40" t="s">
        <v>140</v>
      </c>
      <c r="W27" s="43" t="str">
        <f t="shared" si="18"/>
        <v>Tra_EV_Batt-NMC622_virgin</v>
      </c>
      <c r="X27" s="35" t="s">
        <v>318</v>
      </c>
      <c r="Y27" s="50">
        <f t="shared" si="19"/>
        <v>0.2255</v>
      </c>
      <c r="Z27" s="41">
        <v>2020</v>
      </c>
      <c r="AA27" s="41"/>
      <c r="AB27" s="40" t="s">
        <v>140</v>
      </c>
      <c r="AC27" s="43" t="str">
        <f t="shared" si="20"/>
        <v>Tra_EV_Batt-NMC811_virgin</v>
      </c>
      <c r="AD27" s="35" t="s">
        <v>318</v>
      </c>
      <c r="AE27" s="50">
        <f t="shared" si="21"/>
        <v>0.2198</v>
      </c>
      <c r="AF27" s="41">
        <v>2020</v>
      </c>
      <c r="AG27" s="41"/>
      <c r="AH27" s="40" t="s">
        <v>140</v>
      </c>
      <c r="AI27" s="43" t="str">
        <f t="shared" si="22"/>
        <v>Tra_EV_Batt-NCA_virgin</v>
      </c>
      <c r="AJ27" s="35" t="s">
        <v>318</v>
      </c>
      <c r="AK27" s="50">
        <f t="shared" si="23"/>
        <v>0.2322</v>
      </c>
      <c r="AL27" s="41">
        <v>2020</v>
      </c>
      <c r="AM27" s="41"/>
      <c r="AN27" s="40" t="s">
        <v>140</v>
      </c>
      <c r="AO27" s="43" t="str">
        <f t="shared" si="24"/>
        <v>Tra_EV_Batt-LMO_virgin</v>
      </c>
      <c r="AP27" s="35" t="s">
        <v>318</v>
      </c>
      <c r="AQ27" s="50">
        <f t="shared" si="25"/>
        <v>0.1108</v>
      </c>
      <c r="AR27" s="41">
        <v>2020</v>
      </c>
      <c r="AS27" s="38"/>
      <c r="AT27" s="40" t="s">
        <v>140</v>
      </c>
      <c r="AU27" s="43" t="str">
        <f t="shared" si="26"/>
        <v>Tra_EV_Batt-LFP_virgin</v>
      </c>
      <c r="AV27" s="35" t="s">
        <v>318</v>
      </c>
      <c r="AW27" s="50">
        <f t="shared" si="27"/>
        <v>0.1895</v>
      </c>
      <c r="AX27" s="41">
        <v>2020</v>
      </c>
    </row>
    <row r="28" ht="16" spans="4:55">
      <c r="J28" s="40" t="s">
        <v>140</v>
      </c>
      <c r="K28" s="43" t="str">
        <f t="shared" si="14"/>
        <v>Tra_EV_Batt-NMC111_virgin</v>
      </c>
      <c r="L28" s="35" t="s">
        <v>319</v>
      </c>
      <c r="M28" s="44">
        <f t="shared" si="15"/>
        <v>0.5598</v>
      </c>
      <c r="N28" s="41">
        <v>2020</v>
      </c>
      <c r="O28" s="41"/>
      <c r="P28" s="40" t="s">
        <v>140</v>
      </c>
      <c r="Q28" s="43" t="str">
        <f t="shared" si="16"/>
        <v>Tra_EV_Batt-NMC532_virgin</v>
      </c>
      <c r="R28" s="35" t="s">
        <v>319</v>
      </c>
      <c r="S28" s="50">
        <f t="shared" si="17"/>
        <v>0.5321</v>
      </c>
      <c r="T28" s="41">
        <v>2020</v>
      </c>
      <c r="U28" s="41"/>
      <c r="V28" s="40" t="s">
        <v>140</v>
      </c>
      <c r="W28" s="43" t="str">
        <f t="shared" si="18"/>
        <v>Tra_EV_Batt-NMC622_virgin</v>
      </c>
      <c r="X28" s="35" t="s">
        <v>319</v>
      </c>
      <c r="Y28" s="50">
        <f t="shared" si="19"/>
        <v>0.5339</v>
      </c>
      <c r="Z28" s="41">
        <v>2020</v>
      </c>
      <c r="AA28" s="41"/>
      <c r="AB28" s="40" t="s">
        <v>140</v>
      </c>
      <c r="AC28" s="43" t="str">
        <f t="shared" si="20"/>
        <v>Tra_EV_Batt-NMC811_virgin</v>
      </c>
      <c r="AD28" s="35" t="s">
        <v>319</v>
      </c>
      <c r="AE28" s="50">
        <f t="shared" si="21"/>
        <v>0.5264</v>
      </c>
      <c r="AF28" s="41">
        <v>2020</v>
      </c>
      <c r="AG28" s="41"/>
      <c r="AH28" s="40" t="s">
        <v>140</v>
      </c>
      <c r="AI28" s="43" t="str">
        <f t="shared" si="22"/>
        <v>Tra_EV_Batt-NCA_virgin</v>
      </c>
      <c r="AJ28" s="35" t="s">
        <v>319</v>
      </c>
      <c r="AK28" s="50">
        <f t="shared" si="23"/>
        <v>0.5702</v>
      </c>
      <c r="AL28" s="41">
        <v>2020</v>
      </c>
      <c r="AM28" s="41"/>
      <c r="AN28" s="40" t="s">
        <v>140</v>
      </c>
      <c r="AO28" s="43" t="str">
        <f t="shared" si="24"/>
        <v>Tra_EV_Batt-LMO_virgin</v>
      </c>
      <c r="AP28" s="35" t="s">
        <v>319</v>
      </c>
      <c r="AQ28" s="50">
        <f t="shared" si="25"/>
        <v>0.3858</v>
      </c>
      <c r="AR28" s="41">
        <v>2020</v>
      </c>
      <c r="AS28" s="38"/>
      <c r="AT28" s="40" t="s">
        <v>140</v>
      </c>
      <c r="AU28" s="43" t="str">
        <f t="shared" si="26"/>
        <v>Tra_EV_Batt-LFP_virgin</v>
      </c>
      <c r="AV28" s="35" t="s">
        <v>319</v>
      </c>
      <c r="AW28" s="50">
        <f t="shared" si="27"/>
        <v>0.453</v>
      </c>
      <c r="AX28" s="41">
        <v>2020</v>
      </c>
    </row>
    <row r="29" ht="16" spans="4:55">
      <c r="J29" s="40" t="s">
        <v>140</v>
      </c>
      <c r="K29" s="43" t="str">
        <f t="shared" si="14"/>
        <v>Tra_EV_Batt-NMC111_virgin</v>
      </c>
      <c r="L29" s="35" t="s">
        <v>320</v>
      </c>
      <c r="M29" s="44">
        <f t="shared" si="15"/>
        <v>0.1277</v>
      </c>
      <c r="N29" s="41">
        <v>2020</v>
      </c>
      <c r="O29" s="41"/>
      <c r="P29" s="40" t="s">
        <v>140</v>
      </c>
      <c r="Q29" s="43" t="str">
        <f t="shared" si="16"/>
        <v>Tra_EV_Batt-NMC532_virgin</v>
      </c>
      <c r="R29" s="35" t="s">
        <v>320</v>
      </c>
      <c r="S29" s="50">
        <f t="shared" si="17"/>
        <v>0.134</v>
      </c>
      <c r="T29" s="41">
        <v>2020</v>
      </c>
      <c r="U29" s="41"/>
      <c r="V29" s="40" t="s">
        <v>140</v>
      </c>
      <c r="W29" s="43" t="str">
        <f t="shared" si="18"/>
        <v>Tra_EV_Batt-NMC622_virgin</v>
      </c>
      <c r="X29" s="35" t="s">
        <v>320</v>
      </c>
      <c r="Y29" s="50">
        <f t="shared" si="19"/>
        <v>0.1406</v>
      </c>
      <c r="Z29" s="41">
        <v>2020</v>
      </c>
      <c r="AA29" s="41"/>
      <c r="AB29" s="40" t="s">
        <v>140</v>
      </c>
      <c r="AC29" s="43" t="str">
        <f t="shared" si="20"/>
        <v>Tra_EV_Batt-NMC811_virgin</v>
      </c>
      <c r="AD29" s="35" t="s">
        <v>320</v>
      </c>
      <c r="AE29" s="50">
        <f t="shared" si="21"/>
        <v>0.1502</v>
      </c>
      <c r="AF29" s="41">
        <v>2020</v>
      </c>
      <c r="AG29" s="41"/>
      <c r="AH29" s="40" t="s">
        <v>140</v>
      </c>
      <c r="AI29" s="43" t="str">
        <f t="shared" si="22"/>
        <v>Tra_EV_Batt-NCA_virgin</v>
      </c>
      <c r="AJ29" s="35" t="s">
        <v>320</v>
      </c>
      <c r="AK29" s="50">
        <f t="shared" si="23"/>
        <v>0.1611</v>
      </c>
      <c r="AL29" s="41">
        <v>2020</v>
      </c>
      <c r="AM29" s="41"/>
      <c r="AN29" s="40" t="s">
        <v>140</v>
      </c>
      <c r="AO29" s="43" t="str">
        <f t="shared" si="24"/>
        <v>Tra_EV_Batt-LMO_virgin</v>
      </c>
      <c r="AP29" s="35" t="s">
        <v>320</v>
      </c>
      <c r="AQ29" s="50">
        <f t="shared" si="25"/>
        <v>0.0572</v>
      </c>
      <c r="AR29" s="41">
        <v>2020</v>
      </c>
      <c r="AS29" s="38"/>
      <c r="AT29" s="40" t="s">
        <v>140</v>
      </c>
      <c r="AU29" s="43" t="str">
        <f t="shared" si="26"/>
        <v>Tra_EV_Batt-LFP_virgin</v>
      </c>
      <c r="AV29" s="35" t="s">
        <v>320</v>
      </c>
      <c r="AW29" s="50">
        <f t="shared" si="27"/>
        <v>0.0955</v>
      </c>
      <c r="AX29" s="41">
        <v>2020</v>
      </c>
    </row>
    <row r="32" ht="14.5" spans="4:55">
      <c r="S32" s="49">
        <f t="shared" ref="S32:S35" si="28">U73</f>
        <v>72</v>
      </c>
      <c r="Y32" s="49">
        <f t="shared" ref="Y32:Y35" si="29">V73</f>
        <v>71.9</v>
      </c>
      <c r="AE32" s="49">
        <f t="shared" ref="AE32:AE35" si="30">W73</f>
        <v>73.1</v>
      </c>
      <c r="AK32" s="49">
        <f t="shared" ref="AK32:AK35" si="31">X73</f>
        <v>77.6999999999999</v>
      </c>
      <c r="AQ32" s="49">
        <f t="shared" ref="AQ32:AQ35" si="32">Y73</f>
        <v>43.1</v>
      </c>
      <c r="AW32" s="49">
        <f t="shared" ref="AW32:AW35" si="33">Z73</f>
        <v>47.8</v>
      </c>
    </row>
    <row r="33" ht="14.5" spans="17:49">
      <c r="S33" s="49">
        <f t="shared" si="28"/>
        <v>225.2</v>
      </c>
      <c r="Y33" s="49">
        <f t="shared" si="29"/>
        <v>225.5</v>
      </c>
      <c r="AE33" s="49">
        <f t="shared" si="30"/>
        <v>219.8</v>
      </c>
      <c r="AK33" s="49">
        <f t="shared" si="31"/>
        <v>232.2</v>
      </c>
      <c r="AQ33" s="49">
        <f t="shared" si="32"/>
        <v>110.8</v>
      </c>
      <c r="AW33" s="49">
        <f t="shared" si="33"/>
        <v>189.5</v>
      </c>
    </row>
    <row r="34" ht="14.5" spans="17:49">
      <c r="S34" s="49">
        <f t="shared" si="28"/>
        <v>532.1</v>
      </c>
      <c r="Y34" s="49">
        <f t="shared" si="29"/>
        <v>533.9</v>
      </c>
      <c r="AE34" s="49">
        <f t="shared" si="30"/>
        <v>526.4</v>
      </c>
      <c r="AK34" s="49">
        <f t="shared" si="31"/>
        <v>570.2</v>
      </c>
      <c r="AQ34" s="49">
        <f t="shared" si="32"/>
        <v>385.8</v>
      </c>
      <c r="AW34" s="49">
        <f t="shared" si="33"/>
        <v>453</v>
      </c>
    </row>
    <row r="35" ht="14.5" spans="17:49">
      <c r="S35" s="49">
        <f t="shared" si="28"/>
        <v>134</v>
      </c>
      <c r="Y35" s="49">
        <f t="shared" si="29"/>
        <v>140.6</v>
      </c>
      <c r="AE35" s="49">
        <f t="shared" si="30"/>
        <v>150.2</v>
      </c>
      <c r="AK35" s="49">
        <f t="shared" si="31"/>
        <v>161.1</v>
      </c>
      <c r="AQ35" s="49">
        <f t="shared" si="32"/>
        <v>57.2</v>
      </c>
      <c r="AW35" s="49">
        <f t="shared" si="33"/>
        <v>95.5</v>
      </c>
    </row>
    <row r="42" ht="14.5" spans="17:49">
      <c r="Q42" s="12" t="s">
        <v>321</v>
      </c>
      <c r="R42" s="12"/>
      <c r="S42" s="12"/>
      <c r="T42" s="12"/>
      <c r="U42" s="12"/>
      <c r="V42" s="12"/>
      <c r="W42" s="12"/>
      <c r="X42" s="12"/>
      <c r="Y42" s="12"/>
      <c r="Z42" s="12"/>
    </row>
    <row r="43" ht="15.5" spans="17:49">
      <c r="Q43" s="51" t="s">
        <v>322</v>
      </c>
      <c r="R43" s="51" t="s">
        <v>323</v>
      </c>
      <c r="S43" s="52" t="s">
        <v>324</v>
      </c>
      <c r="T43" s="52"/>
      <c r="U43" s="52"/>
      <c r="V43" s="52"/>
      <c r="W43" s="52"/>
      <c r="X43" s="52"/>
      <c r="Y43" s="52"/>
      <c r="Z43" s="52"/>
    </row>
    <row r="44" ht="15.5" spans="17:49">
      <c r="Q44" s="51"/>
      <c r="R44" s="51"/>
      <c r="S44" s="52" t="s">
        <v>325</v>
      </c>
      <c r="T44" s="52" t="s">
        <v>326</v>
      </c>
      <c r="U44" s="52" t="s">
        <v>327</v>
      </c>
      <c r="V44" s="52" t="s">
        <v>328</v>
      </c>
      <c r="W44" s="52" t="s">
        <v>329</v>
      </c>
      <c r="X44" s="52" t="s">
        <v>330</v>
      </c>
      <c r="Y44" s="52" t="s">
        <v>331</v>
      </c>
      <c r="Z44" s="52" t="s">
        <v>332</v>
      </c>
    </row>
    <row r="45" ht="15.5" spans="17:49">
      <c r="Q45" s="51" t="s">
        <v>333</v>
      </c>
      <c r="R45" s="53" t="s">
        <v>334</v>
      </c>
      <c r="S45" s="54">
        <v>1211.3</v>
      </c>
      <c r="T45" s="54">
        <v>990.7</v>
      </c>
      <c r="U45" s="54">
        <v>952.4</v>
      </c>
      <c r="V45" s="54">
        <v>961</v>
      </c>
      <c r="W45" s="54">
        <v>958.7</v>
      </c>
      <c r="X45" s="54">
        <v>1030.2</v>
      </c>
      <c r="Y45" s="54">
        <v>586.1</v>
      </c>
      <c r="Z45" s="54">
        <v>775</v>
      </c>
    </row>
    <row r="46" ht="15.5" spans="17:49">
      <c r="Q46" s="51"/>
      <c r="R46" s="53" t="s">
        <v>335</v>
      </c>
      <c r="S46" s="54">
        <v>1103.7</v>
      </c>
      <c r="T46" s="54">
        <v>913.9</v>
      </c>
      <c r="U46" s="54">
        <v>881.1</v>
      </c>
      <c r="V46" s="54">
        <v>889.8</v>
      </c>
      <c r="W46" s="54">
        <v>886.2</v>
      </c>
      <c r="X46" s="54">
        <v>953.2</v>
      </c>
      <c r="Y46" s="54">
        <v>543.7</v>
      </c>
      <c r="Z46" s="54">
        <v>727.8</v>
      </c>
    </row>
    <row r="47" ht="15.5" spans="17:49">
      <c r="Q47" s="51"/>
      <c r="R47" s="53" t="s">
        <v>336</v>
      </c>
      <c r="S47" s="54">
        <v>267.3</v>
      </c>
      <c r="T47" s="54">
        <v>202.6</v>
      </c>
      <c r="U47" s="54">
        <v>191.3</v>
      </c>
      <c r="V47" s="54">
        <v>191.5</v>
      </c>
      <c r="W47" s="54">
        <v>185.9</v>
      </c>
      <c r="X47" s="54">
        <v>198.2</v>
      </c>
      <c r="Y47" s="54">
        <v>76.8</v>
      </c>
      <c r="Z47" s="54">
        <v>155.5</v>
      </c>
    </row>
    <row r="48" ht="15.5" spans="17:49">
      <c r="Q48" s="51"/>
      <c r="R48" s="53" t="s">
        <v>337</v>
      </c>
      <c r="S48" s="54">
        <v>692.5</v>
      </c>
      <c r="T48" s="54">
        <v>583.8</v>
      </c>
      <c r="U48" s="54">
        <v>556.1</v>
      </c>
      <c r="V48" s="54">
        <v>557.9</v>
      </c>
      <c r="W48" s="54">
        <v>550.5</v>
      </c>
      <c r="X48" s="54">
        <v>594.2</v>
      </c>
      <c r="Y48" s="54">
        <v>409.9</v>
      </c>
      <c r="Z48" s="54">
        <v>477</v>
      </c>
    </row>
    <row r="49" ht="15.5" spans="17:26">
      <c r="Q49" s="51"/>
      <c r="R49" s="53" t="s">
        <v>338</v>
      </c>
      <c r="S49" s="54">
        <v>144</v>
      </c>
      <c r="T49" s="54">
        <v>127.5</v>
      </c>
      <c r="U49" s="54">
        <v>133.7</v>
      </c>
      <c r="V49" s="54">
        <v>140.3</v>
      </c>
      <c r="W49" s="54">
        <v>149.9</v>
      </c>
      <c r="X49" s="54">
        <v>160.8</v>
      </c>
      <c r="Y49" s="54">
        <v>57</v>
      </c>
      <c r="Z49" s="54">
        <v>95.2</v>
      </c>
    </row>
    <row r="50" ht="15.5" spans="17:26">
      <c r="Q50" s="51" t="s">
        <v>339</v>
      </c>
      <c r="R50" s="53" t="s">
        <v>334</v>
      </c>
      <c r="S50" s="54">
        <v>1217.1</v>
      </c>
      <c r="T50" s="54">
        <v>996.4</v>
      </c>
      <c r="U50" s="54">
        <v>958.2</v>
      </c>
      <c r="V50" s="54">
        <v>966.8</v>
      </c>
      <c r="W50" s="54">
        <v>964.4</v>
      </c>
      <c r="X50" s="54">
        <v>1036</v>
      </c>
      <c r="Y50" s="54">
        <v>591.9</v>
      </c>
      <c r="Z50" s="54">
        <v>780.8</v>
      </c>
    </row>
    <row r="51" ht="15.5" spans="17:26">
      <c r="Q51" s="51"/>
      <c r="R51" s="53" t="s">
        <v>335</v>
      </c>
      <c r="S51" s="54">
        <v>1109.8</v>
      </c>
      <c r="T51" s="54">
        <v>920</v>
      </c>
      <c r="U51" s="54">
        <v>887.2</v>
      </c>
      <c r="V51" s="54">
        <v>895.9</v>
      </c>
      <c r="W51" s="54">
        <v>892.3</v>
      </c>
      <c r="X51" s="54">
        <v>959.3</v>
      </c>
      <c r="Y51" s="54">
        <v>549.8</v>
      </c>
      <c r="Z51" s="54">
        <v>733.9</v>
      </c>
    </row>
    <row r="52" ht="15.5" spans="17:26">
      <c r="Q52" s="51"/>
      <c r="R52" s="53" t="s">
        <v>336</v>
      </c>
      <c r="S52" s="54">
        <v>280.2</v>
      </c>
      <c r="T52" s="54">
        <v>215.6</v>
      </c>
      <c r="U52" s="54">
        <v>204.2</v>
      </c>
      <c r="V52" s="54">
        <v>204.5</v>
      </c>
      <c r="W52" s="54">
        <v>198.8</v>
      </c>
      <c r="X52" s="54">
        <v>211.1</v>
      </c>
      <c r="Y52" s="54">
        <v>89.8</v>
      </c>
      <c r="Z52" s="54">
        <v>168.5</v>
      </c>
    </row>
    <row r="53" ht="15.5" spans="17:26">
      <c r="Q53" s="51"/>
      <c r="R53" s="53" t="s">
        <v>337</v>
      </c>
      <c r="S53" s="54">
        <v>684.6</v>
      </c>
      <c r="T53" s="54">
        <v>575.9</v>
      </c>
      <c r="U53" s="54">
        <v>548.2</v>
      </c>
      <c r="V53" s="54">
        <v>550</v>
      </c>
      <c r="W53" s="54">
        <v>542.6</v>
      </c>
      <c r="X53" s="54">
        <v>586.3</v>
      </c>
      <c r="Y53" s="54">
        <v>402</v>
      </c>
      <c r="Z53" s="54">
        <v>469.1</v>
      </c>
    </row>
    <row r="54" ht="15.5" spans="17:26">
      <c r="Q54" s="51"/>
      <c r="R54" s="53" t="s">
        <v>338</v>
      </c>
      <c r="S54" s="54">
        <v>145</v>
      </c>
      <c r="T54" s="54">
        <v>128.5</v>
      </c>
      <c r="U54" s="54">
        <v>134.7</v>
      </c>
      <c r="V54" s="54">
        <v>141.3</v>
      </c>
      <c r="W54" s="54">
        <v>150.9</v>
      </c>
      <c r="X54" s="54">
        <v>161.9</v>
      </c>
      <c r="Y54" s="54">
        <v>58</v>
      </c>
      <c r="Z54" s="54">
        <v>96.3</v>
      </c>
    </row>
    <row r="55" ht="15.5" spans="17:26">
      <c r="Q55" s="51" t="s">
        <v>11</v>
      </c>
      <c r="R55" s="53" t="s">
        <v>334</v>
      </c>
      <c r="S55" s="54">
        <v>1222.2</v>
      </c>
      <c r="T55" s="54">
        <v>1001.5</v>
      </c>
      <c r="U55" s="54">
        <v>963.3</v>
      </c>
      <c r="V55" s="54">
        <v>971.9</v>
      </c>
      <c r="W55" s="54">
        <v>969.5</v>
      </c>
      <c r="X55" s="54">
        <v>1041.1</v>
      </c>
      <c r="Y55" s="54">
        <v>597</v>
      </c>
      <c r="Z55" s="54">
        <v>785.8</v>
      </c>
    </row>
    <row r="56" ht="15.5" spans="17:26">
      <c r="Q56" s="51"/>
      <c r="R56" s="53" t="s">
        <v>335</v>
      </c>
      <c r="S56" s="54">
        <v>1113.9</v>
      </c>
      <c r="T56" s="54">
        <v>924.1</v>
      </c>
      <c r="U56" s="54">
        <v>891.3</v>
      </c>
      <c r="V56" s="54">
        <v>900</v>
      </c>
      <c r="W56" s="54">
        <v>896.4</v>
      </c>
      <c r="X56" s="54">
        <v>963.4</v>
      </c>
      <c r="Y56" s="54">
        <v>553.9</v>
      </c>
      <c r="Z56" s="54">
        <v>738</v>
      </c>
    </row>
    <row r="57" ht="15.5" spans="17:26">
      <c r="Q57" s="51"/>
      <c r="R57" s="53" t="s">
        <v>336</v>
      </c>
      <c r="S57" s="54">
        <v>301.2</v>
      </c>
      <c r="T57" s="54">
        <v>236.6</v>
      </c>
      <c r="U57" s="54">
        <v>225.2</v>
      </c>
      <c r="V57" s="54">
        <v>225.5</v>
      </c>
      <c r="W57" s="54">
        <v>219.8</v>
      </c>
      <c r="X57" s="54">
        <v>232.2</v>
      </c>
      <c r="Y57" s="54">
        <v>110.8</v>
      </c>
      <c r="Z57" s="54">
        <v>189.5</v>
      </c>
    </row>
    <row r="58" ht="15.5" spans="17:26">
      <c r="Q58" s="51"/>
      <c r="R58" s="53" t="s">
        <v>337</v>
      </c>
      <c r="S58" s="54">
        <v>668.4</v>
      </c>
      <c r="T58" s="54">
        <v>559.8</v>
      </c>
      <c r="U58" s="54">
        <v>532.1</v>
      </c>
      <c r="V58" s="54">
        <v>533.9</v>
      </c>
      <c r="W58" s="54">
        <v>526.4</v>
      </c>
      <c r="X58" s="54">
        <v>570.2</v>
      </c>
      <c r="Y58" s="54">
        <v>385.8</v>
      </c>
      <c r="Z58" s="54">
        <v>453</v>
      </c>
    </row>
    <row r="59" ht="15.5" spans="17:26">
      <c r="Q59" s="51"/>
      <c r="R59" s="53" t="s">
        <v>338</v>
      </c>
      <c r="S59" s="54">
        <v>144.2</v>
      </c>
      <c r="T59" s="54">
        <v>127.7</v>
      </c>
      <c r="U59" s="54">
        <v>134</v>
      </c>
      <c r="V59" s="54">
        <v>140.6</v>
      </c>
      <c r="W59" s="54">
        <v>150.2</v>
      </c>
      <c r="X59" s="54">
        <v>161.1</v>
      </c>
      <c r="Y59" s="54">
        <v>57.2</v>
      </c>
      <c r="Z59" s="54">
        <v>95.5</v>
      </c>
    </row>
    <row r="60" ht="15.5" spans="17:26">
      <c r="Q60" s="52"/>
      <c r="R60" s="52"/>
      <c r="S60" s="54"/>
      <c r="T60" s="54"/>
      <c r="U60" s="54"/>
      <c r="V60" s="54"/>
      <c r="W60" s="54"/>
      <c r="X60" s="54"/>
      <c r="Y60" s="54"/>
      <c r="Z60" s="54"/>
    </row>
    <row r="61" ht="15.5" spans="17:26">
      <c r="Q61" s="52" t="s">
        <v>340</v>
      </c>
      <c r="R61" s="52"/>
      <c r="S61" s="52"/>
      <c r="T61" s="52"/>
      <c r="U61" s="52"/>
      <c r="V61" s="52"/>
      <c r="W61" s="52"/>
      <c r="X61" s="52"/>
      <c r="Y61" s="52"/>
      <c r="Z61" s="52"/>
    </row>
    <row r="62" ht="14.5" spans="17:26">
      <c r="Q62" s="12"/>
      <c r="R62" s="12"/>
      <c r="S62" s="12"/>
      <c r="T62" s="12"/>
      <c r="U62" s="12"/>
      <c r="V62" s="12"/>
      <c r="W62" s="12"/>
      <c r="X62" s="12"/>
      <c r="Y62" s="12"/>
      <c r="Z62" s="12"/>
    </row>
    <row r="63" ht="14.5" spans="17:26">
      <c r="Q63" s="12"/>
      <c r="R63" s="12"/>
      <c r="S63" s="12"/>
      <c r="T63" s="12"/>
      <c r="U63" s="12"/>
      <c r="V63" s="12"/>
      <c r="W63" s="12"/>
      <c r="X63" s="12"/>
      <c r="Y63" s="12"/>
      <c r="Z63" s="12"/>
    </row>
    <row r="64" ht="15.5" spans="17:26">
      <c r="Q64" s="12"/>
      <c r="R64" s="12"/>
      <c r="S64" s="52" t="s">
        <v>325</v>
      </c>
      <c r="T64" s="52" t="s">
        <v>326</v>
      </c>
      <c r="U64" s="52" t="s">
        <v>327</v>
      </c>
      <c r="V64" s="52" t="s">
        <v>328</v>
      </c>
      <c r="W64" s="52" t="s">
        <v>329</v>
      </c>
      <c r="X64" s="52" t="s">
        <v>330</v>
      </c>
      <c r="Y64" s="52" t="s">
        <v>331</v>
      </c>
      <c r="Z64" s="52" t="s">
        <v>332</v>
      </c>
    </row>
    <row r="65" ht="14.5" spans="17:26">
      <c r="Q65" s="55" t="s">
        <v>333</v>
      </c>
      <c r="R65" s="55" t="s">
        <v>121</v>
      </c>
      <c r="S65" s="56">
        <f t="shared" ref="S65:Z65" si="34">S45-S46</f>
        <v>107.6</v>
      </c>
      <c r="T65" s="57">
        <f t="shared" si="34"/>
        <v>76.8000000000001</v>
      </c>
      <c r="U65" s="57">
        <f t="shared" si="34"/>
        <v>71.3</v>
      </c>
      <c r="V65" s="57">
        <f t="shared" si="34"/>
        <v>71.2</v>
      </c>
      <c r="W65" s="57">
        <f t="shared" si="34"/>
        <v>72.5</v>
      </c>
      <c r="X65" s="57">
        <f t="shared" si="34"/>
        <v>77</v>
      </c>
      <c r="Y65" s="57">
        <f t="shared" si="34"/>
        <v>42.4</v>
      </c>
      <c r="Z65" s="57">
        <f t="shared" si="34"/>
        <v>47.2</v>
      </c>
    </row>
    <row r="66" ht="15.5" spans="17:26">
      <c r="Q66" s="55"/>
      <c r="R66" s="58" t="s">
        <v>336</v>
      </c>
      <c r="S66" s="56">
        <f t="shared" ref="S66:Z66" si="35">S47</f>
        <v>267.3</v>
      </c>
      <c r="T66" s="57">
        <f t="shared" si="35"/>
        <v>202.6</v>
      </c>
      <c r="U66" s="57">
        <f t="shared" si="35"/>
        <v>191.3</v>
      </c>
      <c r="V66" s="57">
        <f t="shared" si="35"/>
        <v>191.5</v>
      </c>
      <c r="W66" s="57">
        <f t="shared" si="35"/>
        <v>185.9</v>
      </c>
      <c r="X66" s="57">
        <f t="shared" si="35"/>
        <v>198.2</v>
      </c>
      <c r="Y66" s="57">
        <f t="shared" si="35"/>
        <v>76.8</v>
      </c>
      <c r="Z66" s="57">
        <f t="shared" si="35"/>
        <v>155.5</v>
      </c>
    </row>
    <row r="67" ht="15.5" spans="17:26">
      <c r="Q67" s="55"/>
      <c r="R67" s="58" t="s">
        <v>337</v>
      </c>
      <c r="S67" s="56">
        <f t="shared" ref="S67:Z67" si="36">S48</f>
        <v>692.5</v>
      </c>
      <c r="T67" s="57">
        <f t="shared" si="36"/>
        <v>583.8</v>
      </c>
      <c r="U67" s="57">
        <f t="shared" si="36"/>
        <v>556.1</v>
      </c>
      <c r="V67" s="57">
        <f t="shared" si="36"/>
        <v>557.9</v>
      </c>
      <c r="W67" s="57">
        <f t="shared" si="36"/>
        <v>550.5</v>
      </c>
      <c r="X67" s="57">
        <f t="shared" si="36"/>
        <v>594.2</v>
      </c>
      <c r="Y67" s="57">
        <f t="shared" si="36"/>
        <v>409.9</v>
      </c>
      <c r="Z67" s="57">
        <f t="shared" si="36"/>
        <v>477</v>
      </c>
    </row>
    <row r="68" ht="15.5" spans="17:26">
      <c r="Q68" s="55"/>
      <c r="R68" s="58" t="s">
        <v>338</v>
      </c>
      <c r="S68" s="56">
        <f t="shared" ref="S68:Z68" si="37">S49</f>
        <v>144</v>
      </c>
      <c r="T68" s="57">
        <f t="shared" si="37"/>
        <v>127.5</v>
      </c>
      <c r="U68" s="57">
        <f t="shared" si="37"/>
        <v>133.7</v>
      </c>
      <c r="V68" s="57">
        <f t="shared" si="37"/>
        <v>140.3</v>
      </c>
      <c r="W68" s="57">
        <f t="shared" si="37"/>
        <v>149.9</v>
      </c>
      <c r="X68" s="57">
        <f t="shared" si="37"/>
        <v>160.8</v>
      </c>
      <c r="Y68" s="57">
        <f t="shared" si="37"/>
        <v>57</v>
      </c>
      <c r="Z68" s="57">
        <f t="shared" si="37"/>
        <v>95.2</v>
      </c>
    </row>
    <row r="69" ht="14.5" spans="17:26">
      <c r="Q69" s="55" t="s">
        <v>339</v>
      </c>
      <c r="R69" s="55" t="s">
        <v>121</v>
      </c>
      <c r="S69" s="56">
        <f t="shared" ref="S69:Z69" si="38">S50-S51</f>
        <v>107.3</v>
      </c>
      <c r="T69" s="57">
        <f t="shared" si="38"/>
        <v>76.4</v>
      </c>
      <c r="U69" s="57">
        <f t="shared" si="38"/>
        <v>71</v>
      </c>
      <c r="V69" s="57">
        <f t="shared" si="38"/>
        <v>70.9</v>
      </c>
      <c r="W69" s="57">
        <f t="shared" si="38"/>
        <v>72.1</v>
      </c>
      <c r="X69" s="57">
        <f t="shared" si="38"/>
        <v>76.7</v>
      </c>
      <c r="Y69" s="57">
        <f t="shared" si="38"/>
        <v>42.1</v>
      </c>
      <c r="Z69" s="57">
        <f t="shared" si="38"/>
        <v>46.9</v>
      </c>
    </row>
    <row r="70" ht="15.5" spans="17:26">
      <c r="Q70" s="55"/>
      <c r="R70" s="58" t="s">
        <v>336</v>
      </c>
      <c r="S70" s="56">
        <f t="shared" ref="S70:Z70" si="39">S52</f>
        <v>280.2</v>
      </c>
      <c r="T70" s="57">
        <f t="shared" si="39"/>
        <v>215.6</v>
      </c>
      <c r="U70" s="57">
        <f t="shared" si="39"/>
        <v>204.2</v>
      </c>
      <c r="V70" s="57">
        <f t="shared" si="39"/>
        <v>204.5</v>
      </c>
      <c r="W70" s="57">
        <f t="shared" si="39"/>
        <v>198.8</v>
      </c>
      <c r="X70" s="57">
        <f t="shared" si="39"/>
        <v>211.1</v>
      </c>
      <c r="Y70" s="57">
        <f t="shared" si="39"/>
        <v>89.8</v>
      </c>
      <c r="Z70" s="57">
        <f t="shared" si="39"/>
        <v>168.5</v>
      </c>
    </row>
    <row r="71" ht="15.5" spans="17:26">
      <c r="Q71" s="55"/>
      <c r="R71" s="58" t="s">
        <v>337</v>
      </c>
      <c r="S71" s="56">
        <f t="shared" ref="S71:Z71" si="40">S53</f>
        <v>684.6</v>
      </c>
      <c r="T71" s="57">
        <f t="shared" si="40"/>
        <v>575.9</v>
      </c>
      <c r="U71" s="57">
        <f t="shared" si="40"/>
        <v>548.2</v>
      </c>
      <c r="V71" s="57">
        <f t="shared" si="40"/>
        <v>550</v>
      </c>
      <c r="W71" s="57">
        <f t="shared" si="40"/>
        <v>542.6</v>
      </c>
      <c r="X71" s="57">
        <f t="shared" si="40"/>
        <v>586.3</v>
      </c>
      <c r="Y71" s="57">
        <f t="shared" si="40"/>
        <v>402</v>
      </c>
      <c r="Z71" s="57">
        <f t="shared" si="40"/>
        <v>469.1</v>
      </c>
    </row>
    <row r="72" ht="15.5" spans="17:26">
      <c r="Q72" s="55"/>
      <c r="R72" s="58" t="s">
        <v>338</v>
      </c>
      <c r="S72" s="56">
        <f t="shared" ref="S72:Z72" si="41">S54</f>
        <v>145</v>
      </c>
      <c r="T72" s="57">
        <f t="shared" si="41"/>
        <v>128.5</v>
      </c>
      <c r="U72" s="57">
        <f t="shared" si="41"/>
        <v>134.7</v>
      </c>
      <c r="V72" s="57">
        <f t="shared" si="41"/>
        <v>141.3</v>
      </c>
      <c r="W72" s="57">
        <f t="shared" si="41"/>
        <v>150.9</v>
      </c>
      <c r="X72" s="57">
        <f t="shared" si="41"/>
        <v>161.9</v>
      </c>
      <c r="Y72" s="57">
        <f t="shared" si="41"/>
        <v>58</v>
      </c>
      <c r="Z72" s="57">
        <f t="shared" si="41"/>
        <v>96.3</v>
      </c>
    </row>
    <row r="73" ht="14.5" spans="17:26">
      <c r="Q73" s="55" t="s">
        <v>11</v>
      </c>
      <c r="R73" s="55" t="s">
        <v>121</v>
      </c>
      <c r="S73" s="56">
        <f t="shared" ref="S73:Z73" si="42">S55-S56</f>
        <v>108.3</v>
      </c>
      <c r="T73" s="57">
        <f t="shared" si="42"/>
        <v>77.4</v>
      </c>
      <c r="U73" s="57">
        <f t="shared" si="42"/>
        <v>72</v>
      </c>
      <c r="V73" s="57">
        <f t="shared" si="42"/>
        <v>71.9</v>
      </c>
      <c r="W73" s="57">
        <f t="shared" si="42"/>
        <v>73.1</v>
      </c>
      <c r="X73" s="57">
        <f t="shared" si="42"/>
        <v>77.6999999999999</v>
      </c>
      <c r="Y73" s="57">
        <f t="shared" si="42"/>
        <v>43.1</v>
      </c>
      <c r="Z73" s="57">
        <f t="shared" si="42"/>
        <v>47.8</v>
      </c>
    </row>
    <row r="74" ht="15.5" spans="17:26">
      <c r="Q74" s="55"/>
      <c r="R74" s="58" t="s">
        <v>336</v>
      </c>
      <c r="S74" s="56">
        <f t="shared" ref="S74:Z74" si="43">S57</f>
        <v>301.2</v>
      </c>
      <c r="T74" s="57">
        <f t="shared" si="43"/>
        <v>236.6</v>
      </c>
      <c r="U74" s="57">
        <f t="shared" si="43"/>
        <v>225.2</v>
      </c>
      <c r="V74" s="57">
        <f t="shared" si="43"/>
        <v>225.5</v>
      </c>
      <c r="W74" s="57">
        <f t="shared" si="43"/>
        <v>219.8</v>
      </c>
      <c r="X74" s="57">
        <f t="shared" si="43"/>
        <v>232.2</v>
      </c>
      <c r="Y74" s="57">
        <f t="shared" si="43"/>
        <v>110.8</v>
      </c>
      <c r="Z74" s="57">
        <f t="shared" si="43"/>
        <v>189.5</v>
      </c>
    </row>
    <row r="75" ht="15.5" spans="17:26">
      <c r="Q75" s="55"/>
      <c r="R75" s="58" t="s">
        <v>337</v>
      </c>
      <c r="S75" s="56">
        <f t="shared" ref="S75:Z75" si="44">S58</f>
        <v>668.4</v>
      </c>
      <c r="T75" s="57">
        <f t="shared" si="44"/>
        <v>559.8</v>
      </c>
      <c r="U75" s="57">
        <f t="shared" si="44"/>
        <v>532.1</v>
      </c>
      <c r="V75" s="57">
        <f t="shared" si="44"/>
        <v>533.9</v>
      </c>
      <c r="W75" s="57">
        <f t="shared" si="44"/>
        <v>526.4</v>
      </c>
      <c r="X75" s="57">
        <f t="shared" si="44"/>
        <v>570.2</v>
      </c>
      <c r="Y75" s="57">
        <f t="shared" si="44"/>
        <v>385.8</v>
      </c>
      <c r="Z75" s="57">
        <f t="shared" si="44"/>
        <v>453</v>
      </c>
    </row>
    <row r="76" ht="15.5" spans="17:26">
      <c r="Q76" s="55"/>
      <c r="R76" s="58" t="s">
        <v>338</v>
      </c>
      <c r="S76" s="56">
        <f t="shared" ref="S76:Z76" si="45">S59</f>
        <v>144.2</v>
      </c>
      <c r="T76" s="57">
        <f t="shared" si="45"/>
        <v>127.7</v>
      </c>
      <c r="U76" s="57">
        <f t="shared" si="45"/>
        <v>134</v>
      </c>
      <c r="V76" s="57">
        <f t="shared" si="45"/>
        <v>140.6</v>
      </c>
      <c r="W76" s="57">
        <f t="shared" si="45"/>
        <v>150.2</v>
      </c>
      <c r="X76" s="57">
        <f t="shared" si="45"/>
        <v>161.1</v>
      </c>
      <c r="Y76" s="57">
        <f t="shared" si="45"/>
        <v>57.2</v>
      </c>
      <c r="Z76" s="57">
        <f t="shared" si="45"/>
        <v>95.5</v>
      </c>
    </row>
    <row r="77" ht="14.5" spans="17:26">
      <c r="Q77" s="12"/>
      <c r="R77" s="12"/>
      <c r="S77" s="12"/>
      <c r="T77" s="12"/>
      <c r="U77" s="12"/>
      <c r="V77" s="12"/>
      <c r="W77" s="12"/>
      <c r="X77" s="12"/>
      <c r="Y77" s="12"/>
      <c r="Z77" s="12"/>
    </row>
    <row r="78" ht="14.5" spans="17:26">
      <c r="Q78" s="12"/>
      <c r="R78" s="12"/>
      <c r="S78" s="12"/>
      <c r="T78" s="12"/>
      <c r="U78" s="12"/>
      <c r="V78" s="12"/>
      <c r="W78" s="12"/>
      <c r="X78" s="12"/>
      <c r="Y78" s="12"/>
      <c r="Z78" s="12"/>
    </row>
    <row r="79" ht="14.5" spans="17:26">
      <c r="Q79" s="55" t="s">
        <v>341</v>
      </c>
      <c r="R79" s="55" t="s">
        <v>121</v>
      </c>
      <c r="S79" s="59">
        <f t="shared" ref="S79:Z79" si="46">AVERAGE(S65,S69,S73)</f>
        <v>107.733333333333</v>
      </c>
      <c r="T79" s="12">
        <f t="shared" si="46"/>
        <v>76.8666666666667</v>
      </c>
      <c r="U79" s="12">
        <f t="shared" si="46"/>
        <v>71.4333333333333</v>
      </c>
      <c r="V79" s="12">
        <f t="shared" si="46"/>
        <v>71.3333333333333</v>
      </c>
      <c r="W79" s="12">
        <f t="shared" si="46"/>
        <v>72.5666666666667</v>
      </c>
      <c r="X79" s="12">
        <f t="shared" si="46"/>
        <v>77.1333333333333</v>
      </c>
      <c r="Y79" s="12">
        <f t="shared" si="46"/>
        <v>42.5333333333333</v>
      </c>
      <c r="Z79" s="12">
        <f t="shared" si="46"/>
        <v>47.3</v>
      </c>
    </row>
    <row r="80" ht="15.5" spans="17:26">
      <c r="Q80" s="55"/>
      <c r="R80" s="58" t="s">
        <v>336</v>
      </c>
      <c r="S80" s="59">
        <f t="shared" ref="S80:Z80" si="47">AVERAGE(S66,S70,S74)</f>
        <v>282.9</v>
      </c>
      <c r="T80" s="12">
        <f t="shared" si="47"/>
        <v>218.266666666667</v>
      </c>
      <c r="U80" s="12">
        <f t="shared" si="47"/>
        <v>206.9</v>
      </c>
      <c r="V80" s="12">
        <f t="shared" si="47"/>
        <v>207.166666666667</v>
      </c>
      <c r="W80" s="12">
        <f t="shared" si="47"/>
        <v>201.5</v>
      </c>
      <c r="X80" s="12">
        <f t="shared" si="47"/>
        <v>213.833333333333</v>
      </c>
      <c r="Y80" s="12">
        <f t="shared" si="47"/>
        <v>92.4666666666667</v>
      </c>
      <c r="Z80" s="12">
        <f t="shared" si="47"/>
        <v>171.166666666667</v>
      </c>
    </row>
    <row r="81" ht="15.5" spans="11:51">
      <c r="Q81" s="55"/>
      <c r="R81" s="58" t="s">
        <v>337</v>
      </c>
      <c r="S81" s="59">
        <f t="shared" ref="S81:Z81" si="48">AVERAGE(S67,S71,S75)</f>
        <v>681.833333333333</v>
      </c>
      <c r="T81" s="12">
        <f t="shared" si="48"/>
        <v>573.166666666667</v>
      </c>
      <c r="U81" s="12">
        <f t="shared" si="48"/>
        <v>545.466666666667</v>
      </c>
      <c r="V81" s="12">
        <f t="shared" si="48"/>
        <v>547.266666666667</v>
      </c>
      <c r="W81" s="12">
        <f t="shared" si="48"/>
        <v>539.833333333333</v>
      </c>
      <c r="X81" s="12">
        <f t="shared" si="48"/>
        <v>583.566666666667</v>
      </c>
      <c r="Y81" s="12">
        <f t="shared" si="48"/>
        <v>399.233333333333</v>
      </c>
      <c r="Z81" s="12">
        <f t="shared" si="48"/>
        <v>466.366666666667</v>
      </c>
    </row>
    <row r="82" ht="15.5" spans="11:51">
      <c r="Q82" s="55"/>
      <c r="R82" s="58" t="s">
        <v>338</v>
      </c>
      <c r="S82" s="59">
        <f t="shared" ref="S82:Z82" si="49">AVERAGE(S68,S72,S76)</f>
        <v>144.4</v>
      </c>
      <c r="T82" s="12">
        <f t="shared" si="49"/>
        <v>127.9</v>
      </c>
      <c r="U82" s="12">
        <f t="shared" si="49"/>
        <v>134.133333333333</v>
      </c>
      <c r="V82" s="12">
        <f t="shared" si="49"/>
        <v>140.733333333333</v>
      </c>
      <c r="W82" s="12">
        <f t="shared" si="49"/>
        <v>150.333333333333</v>
      </c>
      <c r="X82" s="12">
        <f t="shared" si="49"/>
        <v>161.266666666667</v>
      </c>
      <c r="Y82" s="12">
        <f t="shared" si="49"/>
        <v>57.4</v>
      </c>
      <c r="Z82" s="12">
        <f t="shared" si="49"/>
        <v>95.6666666666667</v>
      </c>
    </row>
    <row r="94" spans="11:51">
      <c r="M94" s="13" t="s">
        <v>316</v>
      </c>
      <c r="S94" s="13" t="s">
        <v>316</v>
      </c>
      <c r="Y94" s="13" t="s">
        <v>316</v>
      </c>
      <c r="AE94" s="13" t="s">
        <v>316</v>
      </c>
      <c r="AK94" s="13" t="s">
        <v>316</v>
      </c>
      <c r="AQ94" s="13" t="s">
        <v>316</v>
      </c>
      <c r="AW94" s="13" t="s">
        <v>316</v>
      </c>
    </row>
    <row r="95" spans="11:51">
      <c r="K95" s="13" t="s">
        <v>136</v>
      </c>
      <c r="L95" s="13" t="s">
        <v>65</v>
      </c>
      <c r="M95" s="13" t="s">
        <v>111</v>
      </c>
      <c r="N95" s="13" t="s">
        <v>25</v>
      </c>
      <c r="O95" s="13" t="s">
        <v>41</v>
      </c>
      <c r="Q95" s="13" t="s">
        <v>136</v>
      </c>
      <c r="R95" s="13" t="s">
        <v>65</v>
      </c>
      <c r="S95" s="13" t="s">
        <v>111</v>
      </c>
      <c r="T95" s="13" t="s">
        <v>25</v>
      </c>
      <c r="U95" s="13" t="s">
        <v>41</v>
      </c>
      <c r="W95" s="13" t="s">
        <v>136</v>
      </c>
      <c r="X95" s="13" t="s">
        <v>65</v>
      </c>
      <c r="Y95" s="13" t="s">
        <v>111</v>
      </c>
      <c r="Z95" s="13" t="s">
        <v>25</v>
      </c>
      <c r="AA95" s="13" t="s">
        <v>41</v>
      </c>
      <c r="AC95" s="13" t="s">
        <v>136</v>
      </c>
      <c r="AD95" s="13" t="s">
        <v>65</v>
      </c>
      <c r="AE95" s="13" t="s">
        <v>111</v>
      </c>
      <c r="AF95" s="13" t="s">
        <v>25</v>
      </c>
      <c r="AG95" s="13" t="s">
        <v>41</v>
      </c>
      <c r="AI95" s="13" t="s">
        <v>136</v>
      </c>
      <c r="AJ95" s="13" t="s">
        <v>65</v>
      </c>
      <c r="AK95" s="13" t="s">
        <v>111</v>
      </c>
      <c r="AL95" s="13" t="s">
        <v>25</v>
      </c>
      <c r="AM95" s="13" t="s">
        <v>41</v>
      </c>
      <c r="AO95" s="13" t="s">
        <v>136</v>
      </c>
      <c r="AP95" s="13" t="s">
        <v>65</v>
      </c>
      <c r="AQ95" s="13" t="s">
        <v>111</v>
      </c>
      <c r="AR95" s="13" t="s">
        <v>25</v>
      </c>
      <c r="AS95" s="13" t="s">
        <v>41</v>
      </c>
      <c r="AU95" s="13" t="s">
        <v>136</v>
      </c>
      <c r="AV95" s="13" t="s">
        <v>65</v>
      </c>
      <c r="AW95" s="13" t="s">
        <v>111</v>
      </c>
      <c r="AX95" s="13" t="s">
        <v>25</v>
      </c>
      <c r="AY95" s="13" t="s">
        <v>41</v>
      </c>
    </row>
    <row r="96" spans="11:51">
      <c r="K96" s="13" t="s">
        <v>140</v>
      </c>
      <c r="L96" s="13" t="s">
        <v>81</v>
      </c>
      <c r="M96" s="13" t="s">
        <v>317</v>
      </c>
      <c r="N96" s="13">
        <f>SUM(M6:M9)</f>
        <v>0.9907</v>
      </c>
      <c r="O96" s="13" t="s">
        <v>342</v>
      </c>
      <c r="Q96" s="13" t="s">
        <v>140</v>
      </c>
      <c r="R96" s="13" t="s">
        <v>86</v>
      </c>
      <c r="S96" s="13" t="s">
        <v>317</v>
      </c>
      <c r="T96" s="13">
        <f>SUM(S6:S9)</f>
        <v>0.9524</v>
      </c>
      <c r="U96" s="13" t="s">
        <v>342</v>
      </c>
      <c r="W96" s="13" t="s">
        <v>140</v>
      </c>
      <c r="X96" s="13" t="s">
        <v>90</v>
      </c>
      <c r="Y96" s="13" t="s">
        <v>317</v>
      </c>
      <c r="Z96" s="13">
        <f>SUM(Y6:Y9)</f>
        <v>0.9609</v>
      </c>
      <c r="AA96" s="13" t="s">
        <v>342</v>
      </c>
      <c r="AC96" s="13" t="s">
        <v>140</v>
      </c>
      <c r="AD96" s="13" t="s">
        <v>94</v>
      </c>
      <c r="AE96" s="13" t="s">
        <v>317</v>
      </c>
      <c r="AF96" s="13">
        <f>SUM(AE6:AE9)</f>
        <v>0.9588</v>
      </c>
      <c r="AG96" s="13" t="s">
        <v>342</v>
      </c>
      <c r="AI96" s="13" t="s">
        <v>140</v>
      </c>
      <c r="AJ96" s="13" t="s">
        <v>77</v>
      </c>
      <c r="AK96" s="13" t="s">
        <v>317</v>
      </c>
      <c r="AL96" s="13">
        <f>SUM(AK6:AK9)</f>
        <v>1.0302</v>
      </c>
      <c r="AM96" s="13" t="s">
        <v>342</v>
      </c>
      <c r="AO96" s="13" t="s">
        <v>140</v>
      </c>
      <c r="AP96" s="13" t="s">
        <v>73</v>
      </c>
      <c r="AQ96" s="13" t="s">
        <v>317</v>
      </c>
      <c r="AR96" s="13">
        <f>SUM(AQ6:AQ9)</f>
        <v>0.5861</v>
      </c>
      <c r="AS96" s="13" t="s">
        <v>342</v>
      </c>
      <c r="AU96" s="13" t="s">
        <v>140</v>
      </c>
      <c r="AV96" s="13" t="s">
        <v>68</v>
      </c>
      <c r="AW96" s="13" t="s">
        <v>317</v>
      </c>
      <c r="AX96" s="13">
        <f>SUM(AW6:AW9)</f>
        <v>0.7749</v>
      </c>
      <c r="AY96" s="13" t="s">
        <v>342</v>
      </c>
    </row>
    <row r="97" spans="11:51">
      <c r="K97" s="13" t="s">
        <v>140</v>
      </c>
      <c r="L97" s="13" t="s">
        <v>81</v>
      </c>
      <c r="M97" s="13" t="s">
        <v>318</v>
      </c>
      <c r="N97" s="13">
        <v>0</v>
      </c>
      <c r="O97" s="13" t="s">
        <v>342</v>
      </c>
      <c r="Q97" s="13" t="s">
        <v>140</v>
      </c>
      <c r="R97" s="13" t="s">
        <v>86</v>
      </c>
      <c r="S97" s="13" t="s">
        <v>318</v>
      </c>
      <c r="T97" s="13">
        <v>0</v>
      </c>
      <c r="U97" s="13" t="s">
        <v>342</v>
      </c>
      <c r="W97" s="13" t="s">
        <v>140</v>
      </c>
      <c r="X97" s="13" t="s">
        <v>90</v>
      </c>
      <c r="Y97" s="13" t="s">
        <v>318</v>
      </c>
      <c r="Z97" s="13">
        <v>0</v>
      </c>
      <c r="AA97" s="13" t="s">
        <v>342</v>
      </c>
      <c r="AC97" s="13" t="s">
        <v>140</v>
      </c>
      <c r="AD97" s="13" t="s">
        <v>94</v>
      </c>
      <c r="AE97" s="13" t="s">
        <v>318</v>
      </c>
      <c r="AF97" s="13">
        <v>0</v>
      </c>
      <c r="AG97" s="13" t="s">
        <v>342</v>
      </c>
      <c r="AI97" s="13" t="s">
        <v>140</v>
      </c>
      <c r="AJ97" s="13" t="s">
        <v>77</v>
      </c>
      <c r="AK97" s="13" t="s">
        <v>318</v>
      </c>
      <c r="AL97" s="13">
        <v>0</v>
      </c>
      <c r="AM97" s="13" t="s">
        <v>342</v>
      </c>
      <c r="AO97" s="13" t="s">
        <v>140</v>
      </c>
      <c r="AP97" s="13" t="s">
        <v>73</v>
      </c>
      <c r="AQ97" s="13" t="s">
        <v>318</v>
      </c>
      <c r="AR97" s="13">
        <v>0</v>
      </c>
      <c r="AS97" s="13" t="s">
        <v>342</v>
      </c>
      <c r="AU97" s="13" t="s">
        <v>140</v>
      </c>
      <c r="AV97" s="13" t="s">
        <v>68</v>
      </c>
      <c r="AW97" s="13" t="s">
        <v>318</v>
      </c>
      <c r="AX97" s="13">
        <v>0</v>
      </c>
      <c r="AY97" s="13" t="s">
        <v>342</v>
      </c>
    </row>
    <row r="98" spans="11:51">
      <c r="K98" s="13" t="s">
        <v>140</v>
      </c>
      <c r="L98" s="13" t="s">
        <v>81</v>
      </c>
      <c r="M98" s="13" t="s">
        <v>319</v>
      </c>
      <c r="N98" s="13">
        <v>0</v>
      </c>
      <c r="O98" s="13" t="s">
        <v>342</v>
      </c>
      <c r="Q98" s="13" t="s">
        <v>140</v>
      </c>
      <c r="R98" s="13" t="s">
        <v>86</v>
      </c>
      <c r="S98" s="13" t="s">
        <v>319</v>
      </c>
      <c r="T98" s="13">
        <v>0</v>
      </c>
      <c r="U98" s="13" t="s">
        <v>342</v>
      </c>
      <c r="W98" s="13" t="s">
        <v>140</v>
      </c>
      <c r="X98" s="13" t="s">
        <v>90</v>
      </c>
      <c r="Y98" s="13" t="s">
        <v>319</v>
      </c>
      <c r="Z98" s="13">
        <v>0</v>
      </c>
      <c r="AA98" s="13" t="s">
        <v>342</v>
      </c>
      <c r="AC98" s="13" t="s">
        <v>140</v>
      </c>
      <c r="AD98" s="13" t="s">
        <v>94</v>
      </c>
      <c r="AE98" s="13" t="s">
        <v>319</v>
      </c>
      <c r="AF98" s="13">
        <v>0</v>
      </c>
      <c r="AG98" s="13" t="s">
        <v>342</v>
      </c>
      <c r="AI98" s="13" t="s">
        <v>140</v>
      </c>
      <c r="AJ98" s="13" t="s">
        <v>77</v>
      </c>
      <c r="AK98" s="13" t="s">
        <v>319</v>
      </c>
      <c r="AL98" s="13">
        <v>0</v>
      </c>
      <c r="AM98" s="13" t="s">
        <v>342</v>
      </c>
      <c r="AO98" s="13" t="s">
        <v>140</v>
      </c>
      <c r="AP98" s="13" t="s">
        <v>73</v>
      </c>
      <c r="AQ98" s="13" t="s">
        <v>319</v>
      </c>
      <c r="AR98" s="13">
        <v>0</v>
      </c>
      <c r="AS98" s="13" t="s">
        <v>342</v>
      </c>
      <c r="AU98" s="13" t="s">
        <v>140</v>
      </c>
      <c r="AV98" s="13" t="s">
        <v>68</v>
      </c>
      <c r="AW98" s="13" t="s">
        <v>319</v>
      </c>
      <c r="AX98" s="13">
        <v>0</v>
      </c>
      <c r="AY98" s="13" t="s">
        <v>342</v>
      </c>
    </row>
    <row r="99" spans="11:51">
      <c r="K99" s="13" t="s">
        <v>140</v>
      </c>
      <c r="L99" s="13" t="s">
        <v>81</v>
      </c>
      <c r="M99" s="13" t="s">
        <v>320</v>
      </c>
      <c r="N99" s="13">
        <v>0</v>
      </c>
      <c r="O99" s="13" t="s">
        <v>342</v>
      </c>
      <c r="Q99" s="13" t="s">
        <v>140</v>
      </c>
      <c r="R99" s="13" t="s">
        <v>86</v>
      </c>
      <c r="S99" s="13" t="s">
        <v>320</v>
      </c>
      <c r="T99" s="13">
        <v>0</v>
      </c>
      <c r="U99" s="13" t="s">
        <v>342</v>
      </c>
      <c r="W99" s="13" t="s">
        <v>140</v>
      </c>
      <c r="X99" s="13" t="s">
        <v>90</v>
      </c>
      <c r="Y99" s="13" t="s">
        <v>320</v>
      </c>
      <c r="Z99" s="13">
        <v>0</v>
      </c>
      <c r="AA99" s="13" t="s">
        <v>342</v>
      </c>
      <c r="AC99" s="13" t="s">
        <v>140</v>
      </c>
      <c r="AD99" s="13" t="s">
        <v>94</v>
      </c>
      <c r="AE99" s="13" t="s">
        <v>320</v>
      </c>
      <c r="AF99" s="13">
        <v>0</v>
      </c>
      <c r="AG99" s="13" t="s">
        <v>342</v>
      </c>
      <c r="AI99" s="13" t="s">
        <v>140</v>
      </c>
      <c r="AJ99" s="13" t="s">
        <v>77</v>
      </c>
      <c r="AK99" s="13" t="s">
        <v>320</v>
      </c>
      <c r="AL99" s="13">
        <v>0</v>
      </c>
      <c r="AM99" s="13" t="s">
        <v>342</v>
      </c>
      <c r="AO99" s="13" t="s">
        <v>140</v>
      </c>
      <c r="AP99" s="13" t="s">
        <v>73</v>
      </c>
      <c r="AQ99" s="13" t="s">
        <v>320</v>
      </c>
      <c r="AR99" s="13">
        <v>0</v>
      </c>
      <c r="AS99" s="13" t="s">
        <v>342</v>
      </c>
      <c r="AU99" s="13" t="s">
        <v>140</v>
      </c>
      <c r="AV99" s="13" t="s">
        <v>68</v>
      </c>
      <c r="AW99" s="13" t="s">
        <v>320</v>
      </c>
      <c r="AX99" s="13">
        <v>0</v>
      </c>
      <c r="AY99" s="13" t="s">
        <v>342</v>
      </c>
    </row>
    <row r="106" spans="11:51">
      <c r="N106" s="13">
        <v>76.8000000000001</v>
      </c>
      <c r="T106" s="13">
        <v>71.3</v>
      </c>
      <c r="Z106" s="13">
        <v>71.2</v>
      </c>
      <c r="AF106" s="13">
        <v>71.2</v>
      </c>
      <c r="AL106" s="13">
        <v>71.2</v>
      </c>
      <c r="AR106" s="13">
        <v>71.2</v>
      </c>
      <c r="AX106" s="13">
        <v>71.2</v>
      </c>
    </row>
    <row r="107" spans="11:51">
      <c r="N107" s="13">
        <v>202.6</v>
      </c>
      <c r="T107" s="13">
        <v>191.3</v>
      </c>
      <c r="Z107" s="13">
        <v>191.5</v>
      </c>
      <c r="AF107" s="13">
        <v>191.5</v>
      </c>
      <c r="AL107" s="13">
        <v>191.5</v>
      </c>
      <c r="AR107" s="13">
        <v>191.5</v>
      </c>
      <c r="AX107" s="13">
        <v>191.5</v>
      </c>
    </row>
    <row r="108" spans="11:51">
      <c r="N108" s="13">
        <v>583.8</v>
      </c>
      <c r="T108" s="13">
        <v>556.1</v>
      </c>
      <c r="Z108" s="13">
        <v>557.9</v>
      </c>
      <c r="AF108" s="13">
        <v>557.9</v>
      </c>
      <c r="AL108" s="13">
        <v>557.9</v>
      </c>
      <c r="AR108" s="13">
        <v>557.9</v>
      </c>
      <c r="AX108" s="13">
        <v>557.9</v>
      </c>
    </row>
    <row r="109" spans="11:51">
      <c r="N109" s="13">
        <v>127.5</v>
      </c>
      <c r="T109" s="13">
        <v>133.7</v>
      </c>
      <c r="Z109" s="13">
        <v>140.3</v>
      </c>
      <c r="AF109" s="13">
        <v>140.3</v>
      </c>
      <c r="AL109" s="13">
        <v>140.3</v>
      </c>
      <c r="AR109" s="13">
        <v>140.3</v>
      </c>
      <c r="AX109" s="13">
        <v>140.3</v>
      </c>
    </row>
    <row r="114" spans="11:51">
      <c r="M114" s="13" t="s">
        <v>316</v>
      </c>
      <c r="S114" s="13" t="s">
        <v>316</v>
      </c>
      <c r="Y114" s="13" t="s">
        <v>316</v>
      </c>
      <c r="AE114" s="13" t="s">
        <v>316</v>
      </c>
      <c r="AK114" s="13" t="s">
        <v>316</v>
      </c>
      <c r="AQ114" s="13" t="s">
        <v>316</v>
      </c>
      <c r="AW114" s="13" t="s">
        <v>316</v>
      </c>
    </row>
    <row r="115" spans="11:51">
      <c r="K115" s="13" t="s">
        <v>136</v>
      </c>
      <c r="L115" s="13" t="s">
        <v>65</v>
      </c>
      <c r="M115" s="13" t="s">
        <v>111</v>
      </c>
      <c r="N115" s="13" t="s">
        <v>11</v>
      </c>
      <c r="O115" s="13" t="s">
        <v>41</v>
      </c>
      <c r="Q115" s="13" t="s">
        <v>136</v>
      </c>
      <c r="R115" s="13" t="s">
        <v>65</v>
      </c>
      <c r="S115" s="13" t="s">
        <v>111</v>
      </c>
      <c r="T115" s="13" t="s">
        <v>11</v>
      </c>
      <c r="U115" s="13" t="s">
        <v>41</v>
      </c>
      <c r="W115" s="13" t="s">
        <v>136</v>
      </c>
      <c r="X115" s="13" t="s">
        <v>65</v>
      </c>
      <c r="Y115" s="13" t="s">
        <v>111</v>
      </c>
      <c r="Z115" s="13" t="s">
        <v>11</v>
      </c>
      <c r="AA115" s="13" t="s">
        <v>41</v>
      </c>
      <c r="AC115" s="13" t="s">
        <v>136</v>
      </c>
      <c r="AD115" s="13" t="s">
        <v>65</v>
      </c>
      <c r="AE115" s="13" t="s">
        <v>111</v>
      </c>
      <c r="AF115" s="13" t="s">
        <v>11</v>
      </c>
      <c r="AG115" s="13" t="s">
        <v>41</v>
      </c>
      <c r="AI115" s="13" t="s">
        <v>136</v>
      </c>
      <c r="AJ115" s="13" t="s">
        <v>65</v>
      </c>
      <c r="AK115" s="13" t="s">
        <v>111</v>
      </c>
      <c r="AL115" s="13" t="s">
        <v>11</v>
      </c>
      <c r="AM115" s="13" t="s">
        <v>41</v>
      </c>
      <c r="AO115" s="13" t="s">
        <v>136</v>
      </c>
      <c r="AP115" s="13" t="s">
        <v>65</v>
      </c>
      <c r="AQ115" s="13" t="s">
        <v>111</v>
      </c>
      <c r="AR115" s="13" t="s">
        <v>11</v>
      </c>
      <c r="AS115" s="13" t="s">
        <v>41</v>
      </c>
      <c r="AU115" s="13" t="s">
        <v>136</v>
      </c>
      <c r="AV115" s="13" t="s">
        <v>65</v>
      </c>
      <c r="AW115" s="13" t="s">
        <v>111</v>
      </c>
      <c r="AX115" s="13" t="s">
        <v>11</v>
      </c>
      <c r="AY115" s="13" t="s">
        <v>41</v>
      </c>
    </row>
    <row r="116" spans="11:51">
      <c r="K116" s="13" t="s">
        <v>140</v>
      </c>
      <c r="L116" s="13" t="s">
        <v>81</v>
      </c>
      <c r="M116" s="13" t="s">
        <v>317</v>
      </c>
      <c r="N116" s="13">
        <f>SUM(M26:M29)</f>
        <v>1.0015</v>
      </c>
      <c r="O116" s="13" t="s">
        <v>342</v>
      </c>
      <c r="Q116" s="13" t="s">
        <v>140</v>
      </c>
      <c r="R116" s="13" t="s">
        <v>86</v>
      </c>
      <c r="S116" s="13" t="s">
        <v>317</v>
      </c>
      <c r="T116" s="13">
        <f>SUM(S26:S29)</f>
        <v>0.9633</v>
      </c>
      <c r="U116" s="13" t="s">
        <v>342</v>
      </c>
      <c r="W116" s="13" t="s">
        <v>140</v>
      </c>
      <c r="X116" s="13" t="s">
        <v>90</v>
      </c>
      <c r="Y116" s="13" t="s">
        <v>317</v>
      </c>
      <c r="Z116" s="13">
        <f>SUM(Y26:Y29)</f>
        <v>0.9719</v>
      </c>
      <c r="AA116" s="13" t="s">
        <v>342</v>
      </c>
      <c r="AC116" s="13" t="s">
        <v>140</v>
      </c>
      <c r="AD116" s="13" t="s">
        <v>94</v>
      </c>
      <c r="AE116" s="13" t="s">
        <v>317</v>
      </c>
      <c r="AF116" s="13">
        <f>SUM(AE26:AE29)</f>
        <v>0.9695</v>
      </c>
      <c r="AG116" s="13" t="s">
        <v>342</v>
      </c>
      <c r="AI116" s="13" t="s">
        <v>140</v>
      </c>
      <c r="AJ116" s="13" t="s">
        <v>77</v>
      </c>
      <c r="AK116" s="13" t="s">
        <v>317</v>
      </c>
      <c r="AL116" s="13">
        <f>SUM(AK26:AK29)</f>
        <v>1.0412</v>
      </c>
      <c r="AM116" s="13" t="s">
        <v>342</v>
      </c>
      <c r="AO116" s="13" t="s">
        <v>140</v>
      </c>
      <c r="AP116" s="13" t="s">
        <v>73</v>
      </c>
      <c r="AQ116" s="13" t="s">
        <v>317</v>
      </c>
      <c r="AR116" s="13">
        <f>SUM(AQ26:AQ29)</f>
        <v>0.5969</v>
      </c>
      <c r="AS116" s="13" t="s">
        <v>342</v>
      </c>
      <c r="AU116" s="13" t="s">
        <v>140</v>
      </c>
      <c r="AV116" s="13" t="s">
        <v>68</v>
      </c>
      <c r="AW116" s="13" t="s">
        <v>317</v>
      </c>
      <c r="AX116" s="13">
        <f>SUM(AW26:AW29)</f>
        <v>0.7858</v>
      </c>
      <c r="AY116" s="13" t="s">
        <v>342</v>
      </c>
    </row>
    <row r="117" spans="11:51">
      <c r="K117" s="13" t="s">
        <v>140</v>
      </c>
      <c r="L117" s="13" t="s">
        <v>81</v>
      </c>
      <c r="M117" s="13" t="s">
        <v>318</v>
      </c>
      <c r="N117" s="13">
        <v>0</v>
      </c>
      <c r="O117" s="13" t="s">
        <v>342</v>
      </c>
      <c r="Q117" s="13" t="s">
        <v>140</v>
      </c>
      <c r="R117" s="13" t="s">
        <v>86</v>
      </c>
      <c r="S117" s="13" t="s">
        <v>318</v>
      </c>
      <c r="T117" s="13">
        <v>0</v>
      </c>
      <c r="U117" s="13" t="s">
        <v>342</v>
      </c>
      <c r="W117" s="13" t="s">
        <v>140</v>
      </c>
      <c r="X117" s="13" t="s">
        <v>90</v>
      </c>
      <c r="Y117" s="13" t="s">
        <v>318</v>
      </c>
      <c r="Z117" s="13">
        <v>0</v>
      </c>
      <c r="AA117" s="13" t="s">
        <v>342</v>
      </c>
      <c r="AC117" s="13" t="s">
        <v>140</v>
      </c>
      <c r="AD117" s="13" t="s">
        <v>94</v>
      </c>
      <c r="AE117" s="13" t="s">
        <v>318</v>
      </c>
      <c r="AF117" s="13">
        <v>0</v>
      </c>
      <c r="AG117" s="13" t="s">
        <v>342</v>
      </c>
      <c r="AI117" s="13" t="s">
        <v>140</v>
      </c>
      <c r="AJ117" s="13" t="s">
        <v>77</v>
      </c>
      <c r="AK117" s="13" t="s">
        <v>318</v>
      </c>
      <c r="AL117" s="13">
        <v>0</v>
      </c>
      <c r="AM117" s="13" t="s">
        <v>342</v>
      </c>
      <c r="AO117" s="13" t="s">
        <v>140</v>
      </c>
      <c r="AP117" s="13" t="s">
        <v>73</v>
      </c>
      <c r="AQ117" s="13" t="s">
        <v>318</v>
      </c>
      <c r="AR117" s="13">
        <v>0</v>
      </c>
      <c r="AS117" s="13" t="s">
        <v>342</v>
      </c>
      <c r="AU117" s="13" t="s">
        <v>140</v>
      </c>
      <c r="AV117" s="13" t="s">
        <v>68</v>
      </c>
      <c r="AW117" s="13" t="s">
        <v>318</v>
      </c>
      <c r="AX117" s="13">
        <v>0</v>
      </c>
      <c r="AY117" s="13" t="s">
        <v>342</v>
      </c>
    </row>
    <row r="118" spans="11:51">
      <c r="K118" s="13" t="s">
        <v>140</v>
      </c>
      <c r="L118" s="13" t="s">
        <v>81</v>
      </c>
      <c r="M118" s="13" t="s">
        <v>319</v>
      </c>
      <c r="N118" s="13">
        <v>0</v>
      </c>
      <c r="O118" s="13" t="s">
        <v>342</v>
      </c>
      <c r="Q118" s="13" t="s">
        <v>140</v>
      </c>
      <c r="R118" s="13" t="s">
        <v>86</v>
      </c>
      <c r="S118" s="13" t="s">
        <v>319</v>
      </c>
      <c r="T118" s="13">
        <v>0</v>
      </c>
      <c r="U118" s="13" t="s">
        <v>342</v>
      </c>
      <c r="W118" s="13" t="s">
        <v>140</v>
      </c>
      <c r="X118" s="13" t="s">
        <v>90</v>
      </c>
      <c r="Y118" s="13" t="s">
        <v>319</v>
      </c>
      <c r="Z118" s="13">
        <v>0</v>
      </c>
      <c r="AA118" s="13" t="s">
        <v>342</v>
      </c>
      <c r="AC118" s="13" t="s">
        <v>140</v>
      </c>
      <c r="AD118" s="13" t="s">
        <v>94</v>
      </c>
      <c r="AE118" s="13" t="s">
        <v>319</v>
      </c>
      <c r="AF118" s="13">
        <v>0</v>
      </c>
      <c r="AG118" s="13" t="s">
        <v>342</v>
      </c>
      <c r="AI118" s="13" t="s">
        <v>140</v>
      </c>
      <c r="AJ118" s="13" t="s">
        <v>77</v>
      </c>
      <c r="AK118" s="13" t="s">
        <v>319</v>
      </c>
      <c r="AL118" s="13">
        <v>0</v>
      </c>
      <c r="AM118" s="13" t="s">
        <v>342</v>
      </c>
      <c r="AO118" s="13" t="s">
        <v>140</v>
      </c>
      <c r="AP118" s="13" t="s">
        <v>73</v>
      </c>
      <c r="AQ118" s="13" t="s">
        <v>319</v>
      </c>
      <c r="AR118" s="13">
        <v>0</v>
      </c>
      <c r="AS118" s="13" t="s">
        <v>342</v>
      </c>
      <c r="AU118" s="13" t="s">
        <v>140</v>
      </c>
      <c r="AV118" s="13" t="s">
        <v>68</v>
      </c>
      <c r="AW118" s="13" t="s">
        <v>319</v>
      </c>
      <c r="AX118" s="13">
        <v>0</v>
      </c>
      <c r="AY118" s="13" t="s">
        <v>342</v>
      </c>
    </row>
    <row r="119" spans="11:51">
      <c r="K119" s="13" t="s">
        <v>140</v>
      </c>
      <c r="L119" s="13" t="s">
        <v>81</v>
      </c>
      <c r="M119" s="13" t="s">
        <v>320</v>
      </c>
      <c r="N119" s="13">
        <v>0</v>
      </c>
      <c r="O119" s="13" t="s">
        <v>342</v>
      </c>
      <c r="Q119" s="13" t="s">
        <v>140</v>
      </c>
      <c r="R119" s="13" t="s">
        <v>86</v>
      </c>
      <c r="S119" s="13" t="s">
        <v>320</v>
      </c>
      <c r="T119" s="13">
        <v>0</v>
      </c>
      <c r="U119" s="13" t="s">
        <v>342</v>
      </c>
      <c r="W119" s="13" t="s">
        <v>140</v>
      </c>
      <c r="X119" s="13" t="s">
        <v>90</v>
      </c>
      <c r="Y119" s="13" t="s">
        <v>320</v>
      </c>
      <c r="Z119" s="13">
        <v>0</v>
      </c>
      <c r="AA119" s="13" t="s">
        <v>342</v>
      </c>
      <c r="AC119" s="13" t="s">
        <v>140</v>
      </c>
      <c r="AD119" s="13" t="s">
        <v>94</v>
      </c>
      <c r="AE119" s="13" t="s">
        <v>320</v>
      </c>
      <c r="AF119" s="13">
        <v>0</v>
      </c>
      <c r="AG119" s="13" t="s">
        <v>342</v>
      </c>
      <c r="AI119" s="13" t="s">
        <v>140</v>
      </c>
      <c r="AJ119" s="13" t="s">
        <v>77</v>
      </c>
      <c r="AK119" s="13" t="s">
        <v>320</v>
      </c>
      <c r="AL119" s="13">
        <v>0</v>
      </c>
      <c r="AM119" s="13" t="s">
        <v>342</v>
      </c>
      <c r="AO119" s="13" t="s">
        <v>140</v>
      </c>
      <c r="AP119" s="13" t="s">
        <v>73</v>
      </c>
      <c r="AQ119" s="13" t="s">
        <v>320</v>
      </c>
      <c r="AR119" s="13">
        <v>0</v>
      </c>
      <c r="AS119" s="13" t="s">
        <v>342</v>
      </c>
      <c r="AU119" s="13" t="s">
        <v>140</v>
      </c>
      <c r="AV119" s="13" t="s">
        <v>68</v>
      </c>
      <c r="AW119" s="13" t="s">
        <v>320</v>
      </c>
      <c r="AX119" s="13">
        <v>0</v>
      </c>
      <c r="AY119" s="13" t="s">
        <v>342</v>
      </c>
    </row>
    <row r="122" spans="11:51">
      <c r="T122" s="13">
        <v>72</v>
      </c>
      <c r="Z122" s="13">
        <v>71.9</v>
      </c>
      <c r="AF122" s="13">
        <v>73.1</v>
      </c>
      <c r="AL122" s="13">
        <v>77.6999999999999</v>
      </c>
      <c r="AR122" s="13">
        <v>43.1</v>
      </c>
      <c r="AX122" s="13">
        <v>47.8</v>
      </c>
    </row>
    <row r="123" spans="11:51">
      <c r="T123" s="13">
        <v>225.2</v>
      </c>
      <c r="Z123" s="13">
        <v>225.5</v>
      </c>
      <c r="AF123" s="13">
        <v>219.8</v>
      </c>
      <c r="AL123" s="13">
        <v>232.2</v>
      </c>
      <c r="AR123" s="13">
        <v>110.8</v>
      </c>
      <c r="AX123" s="13">
        <v>189.5</v>
      </c>
    </row>
    <row r="124" spans="11:51">
      <c r="T124" s="13">
        <v>532.1</v>
      </c>
      <c r="Z124" s="13">
        <v>533.9</v>
      </c>
      <c r="AF124" s="13">
        <v>526.4</v>
      </c>
      <c r="AL124" s="13">
        <v>570.2</v>
      </c>
      <c r="AR124" s="13">
        <v>385.8</v>
      </c>
      <c r="AX124" s="13">
        <v>453</v>
      </c>
    </row>
    <row r="125" spans="11:51">
      <c r="T125" s="13">
        <v>134</v>
      </c>
      <c r="Z125" s="13">
        <v>140.6</v>
      </c>
      <c r="AF125" s="13">
        <v>150.2</v>
      </c>
      <c r="AL125" s="13">
        <v>161.1</v>
      </c>
      <c r="AR125" s="13">
        <v>57.2</v>
      </c>
      <c r="AX125" s="13">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workbookViewId="0">
      <selection activeCell="W223" sqref="W223"/>
    </sheetView>
  </sheetViews>
  <sheetFormatPr defaultColWidth="8.72727272727273" defaultRowHeight="14.5"/>
  <cols>
    <col min="1" max="1" width="8.71818181818182" style="12"/>
    <col min="2" max="2" width="43.8545454545455" style="12" customWidth="1"/>
    <col min="3" max="20" width="8.71818181818182" style="12"/>
    <col min="21" max="21" width="19.2818181818182" style="12" customWidth="1"/>
    <col min="22" max="22" width="25.5727272727273" style="12" customWidth="1"/>
    <col min="23" max="23" width="19.8545454545455" style="12" customWidth="1"/>
    <col min="24" max="29" width="15.2818181818182" style="12"/>
    <col min="30" max="30" width="8.71818181818182" style="12"/>
    <col min="31" max="31" width="14" style="12"/>
    <col min="32" max="38" width="15.2818181818182" style="12"/>
    <col min="39" max="40" width="14" style="12"/>
    <col min="41" max="47" width="15.2818181818182" style="12"/>
    <col min="48" max="53" width="14" style="12"/>
    <col min="54" max="67" width="8.71818181818182" style="12"/>
    <col min="68" max="16384" width="8.71818181818182" style="13"/>
  </cols>
  <sheetData>
    <row r="1" ht="15.5" spans="1:67">
      <c r="A1" s="14" t="s">
        <v>343</v>
      </c>
      <c r="B1" s="14"/>
      <c r="C1" s="14"/>
      <c r="D1" s="14"/>
      <c r="E1" s="14"/>
      <c r="F1" s="14"/>
      <c r="G1" s="14"/>
      <c r="H1" s="14"/>
      <c r="I1" s="14"/>
      <c r="J1" s="14"/>
      <c r="K1" s="15"/>
      <c r="L1" s="15" t="s">
        <v>344</v>
      </c>
      <c r="M1" s="15"/>
      <c r="N1" s="15"/>
      <c r="O1" s="15"/>
      <c r="P1" s="15"/>
      <c r="Q1" s="15"/>
      <c r="R1" s="15"/>
      <c r="S1" s="15"/>
      <c r="T1" s="15"/>
      <c r="U1" s="15"/>
      <c r="V1" s="15"/>
      <c r="W1" s="15" t="s">
        <v>345</v>
      </c>
      <c r="X1" s="15"/>
      <c r="Y1" s="15"/>
      <c r="Z1" s="15"/>
      <c r="AA1" s="15"/>
      <c r="AB1" s="16" t="s">
        <v>346</v>
      </c>
      <c r="AC1" s="16"/>
      <c r="AD1" s="15"/>
      <c r="AE1" s="15"/>
      <c r="AF1" s="15" t="s">
        <v>347</v>
      </c>
      <c r="AG1" s="15"/>
      <c r="AH1" s="15"/>
      <c r="AI1" s="15"/>
      <c r="AJ1" s="15"/>
      <c r="AK1" s="15"/>
      <c r="AL1" s="15"/>
      <c r="AM1" s="15"/>
      <c r="AN1" s="15"/>
      <c r="AO1" s="15" t="s">
        <v>348</v>
      </c>
      <c r="AP1" s="15"/>
      <c r="AQ1" s="15"/>
      <c r="AR1" s="15"/>
      <c r="AS1" s="15"/>
      <c r="AT1" s="15"/>
      <c r="AU1" s="15"/>
      <c r="AZ1" s="14" t="s">
        <v>343</v>
      </c>
      <c r="BA1" s="14"/>
      <c r="BB1" s="14"/>
      <c r="BC1" s="14"/>
      <c r="BD1" s="14"/>
      <c r="BE1" s="14"/>
      <c r="BF1" s="14"/>
      <c r="BG1" s="14"/>
      <c r="BH1" s="14"/>
      <c r="BI1" s="14"/>
      <c r="BJ1" s="15"/>
      <c r="BK1" s="15"/>
      <c r="BL1" s="15"/>
      <c r="BM1" s="15"/>
      <c r="BN1" s="15"/>
      <c r="BO1" s="15"/>
    </row>
    <row r="2" ht="30" spans="1:67">
      <c r="A2" s="14" t="s">
        <v>322</v>
      </c>
      <c r="B2" s="14" t="s">
        <v>349</v>
      </c>
      <c r="C2" s="14" t="s">
        <v>324</v>
      </c>
      <c r="D2" s="14"/>
      <c r="E2" s="14"/>
      <c r="F2" s="14"/>
      <c r="G2" s="14"/>
      <c r="H2" s="14"/>
      <c r="I2" s="14"/>
      <c r="J2" s="14"/>
      <c r="K2" s="15"/>
      <c r="L2" s="15"/>
      <c r="M2" s="15"/>
      <c r="N2" s="15"/>
      <c r="O2" s="15"/>
      <c r="P2" s="15"/>
      <c r="Q2" s="15"/>
      <c r="R2" s="15"/>
      <c r="S2" s="15"/>
      <c r="T2" s="15"/>
      <c r="U2" s="15"/>
      <c r="V2" s="17" t="s">
        <v>350</v>
      </c>
      <c r="W2" s="15"/>
      <c r="X2" s="15"/>
      <c r="Y2" s="15"/>
      <c r="Z2" s="15"/>
      <c r="AA2" s="15"/>
      <c r="AB2" s="15"/>
      <c r="AC2" s="15"/>
      <c r="AD2" s="15"/>
      <c r="AE2" s="15"/>
      <c r="AF2" s="15"/>
      <c r="AG2" s="15"/>
      <c r="AH2" s="15"/>
      <c r="AI2" s="15"/>
      <c r="AJ2" s="15"/>
      <c r="AK2" s="15"/>
      <c r="AL2" s="15"/>
      <c r="AM2" s="15"/>
      <c r="AN2" s="15"/>
      <c r="AO2" s="15"/>
      <c r="AP2" s="15"/>
      <c r="AQ2" s="15"/>
      <c r="AR2" s="15"/>
      <c r="AS2" s="15"/>
      <c r="AT2" s="15"/>
      <c r="AU2" s="15"/>
      <c r="AZ2" s="14" t="s">
        <v>322</v>
      </c>
      <c r="BA2" s="14" t="s">
        <v>349</v>
      </c>
      <c r="BB2" s="14" t="s">
        <v>324</v>
      </c>
      <c r="BC2" s="14"/>
      <c r="BD2" s="14"/>
      <c r="BE2" s="14"/>
      <c r="BF2" s="14"/>
      <c r="BG2" s="14"/>
      <c r="BH2" s="14"/>
      <c r="BI2" s="14"/>
      <c r="BJ2" s="15"/>
      <c r="BK2" s="15"/>
      <c r="BL2" s="15"/>
      <c r="BM2" s="15"/>
      <c r="BN2" s="15"/>
      <c r="BO2" s="15"/>
    </row>
    <row r="3" ht="30" spans="1:67">
      <c r="A3" s="14"/>
      <c r="B3" s="14"/>
      <c r="C3" s="18" t="s">
        <v>325</v>
      </c>
      <c r="D3" s="15" t="s">
        <v>326</v>
      </c>
      <c r="E3" s="15" t="s">
        <v>327</v>
      </c>
      <c r="F3" s="19" t="s">
        <v>328</v>
      </c>
      <c r="G3" s="15" t="s">
        <v>329</v>
      </c>
      <c r="H3" s="15" t="s">
        <v>330</v>
      </c>
      <c r="I3" s="15" t="s">
        <v>331</v>
      </c>
      <c r="J3" s="15" t="s">
        <v>332</v>
      </c>
      <c r="K3" s="15"/>
      <c r="L3" s="20" t="s">
        <v>325</v>
      </c>
      <c r="M3" s="15" t="s">
        <v>326</v>
      </c>
      <c r="N3" s="15" t="s">
        <v>327</v>
      </c>
      <c r="O3" s="15" t="s">
        <v>328</v>
      </c>
      <c r="P3" s="15" t="s">
        <v>329</v>
      </c>
      <c r="Q3" s="15" t="s">
        <v>330</v>
      </c>
      <c r="R3" s="15" t="s">
        <v>331</v>
      </c>
      <c r="S3" s="15" t="s">
        <v>332</v>
      </c>
      <c r="T3" s="15"/>
      <c r="U3" s="15"/>
      <c r="V3" s="17" t="s">
        <v>351</v>
      </c>
      <c r="W3" s="15" t="s">
        <v>326</v>
      </c>
      <c r="X3" s="15" t="s">
        <v>327</v>
      </c>
      <c r="Y3" s="19" t="s">
        <v>328</v>
      </c>
      <c r="Z3" s="15" t="s">
        <v>329</v>
      </c>
      <c r="AA3" s="15" t="s">
        <v>330</v>
      </c>
      <c r="AB3" s="21" t="s">
        <v>331</v>
      </c>
      <c r="AC3" s="21" t="s">
        <v>332</v>
      </c>
      <c r="AD3" s="15"/>
      <c r="AE3" s="15"/>
      <c r="AF3" s="15" t="s">
        <v>326</v>
      </c>
      <c r="AG3" s="15" t="s">
        <v>327</v>
      </c>
      <c r="AH3" s="19" t="s">
        <v>328</v>
      </c>
      <c r="AI3" s="15" t="s">
        <v>329</v>
      </c>
      <c r="AJ3" s="15" t="s">
        <v>330</v>
      </c>
      <c r="AK3" s="21" t="s">
        <v>331</v>
      </c>
      <c r="AL3" s="21" t="s">
        <v>332</v>
      </c>
      <c r="AM3" s="15"/>
      <c r="AN3" s="15"/>
      <c r="AO3" s="15" t="s">
        <v>326</v>
      </c>
      <c r="AP3" s="15" t="s">
        <v>327</v>
      </c>
      <c r="AQ3" s="19" t="s">
        <v>328</v>
      </c>
      <c r="AR3" s="15" t="s">
        <v>329</v>
      </c>
      <c r="AS3" s="15" t="s">
        <v>330</v>
      </c>
      <c r="AT3" s="21" t="s">
        <v>331</v>
      </c>
      <c r="AU3" s="21" t="s">
        <v>332</v>
      </c>
      <c r="AZ3" s="14"/>
      <c r="BA3" s="14"/>
      <c r="BB3" s="18" t="s">
        <v>325</v>
      </c>
      <c r="BC3" s="15" t="s">
        <v>326</v>
      </c>
      <c r="BD3" s="15" t="s">
        <v>327</v>
      </c>
      <c r="BE3" s="19" t="s">
        <v>328</v>
      </c>
      <c r="BF3" s="15" t="s">
        <v>329</v>
      </c>
      <c r="BG3" s="15" t="s">
        <v>330</v>
      </c>
      <c r="BH3" s="15" t="s">
        <v>331</v>
      </c>
      <c r="BI3" s="15" t="s">
        <v>332</v>
      </c>
      <c r="BJ3" s="15"/>
      <c r="BK3" s="20"/>
      <c r="BL3" s="15"/>
      <c r="BM3" s="15"/>
      <c r="BN3" s="15"/>
      <c r="BO3" s="15"/>
    </row>
    <row r="4" ht="15.5" spans="1:67">
      <c r="A4" s="14" t="s">
        <v>333</v>
      </c>
      <c r="B4" s="22" t="s">
        <v>334</v>
      </c>
      <c r="C4" s="23">
        <f t="shared" ref="C4:J4" si="0">BB4/1000</f>
        <v>0.8374</v>
      </c>
      <c r="D4" s="23">
        <f t="shared" si="0"/>
        <v>0.8081</v>
      </c>
      <c r="E4" s="23">
        <f t="shared" si="0"/>
        <v>0.7705</v>
      </c>
      <c r="F4" s="23">
        <f t="shared" si="0"/>
        <v>0.76</v>
      </c>
      <c r="G4" s="23">
        <f t="shared" si="0"/>
        <v>0.7551</v>
      </c>
      <c r="H4" s="23">
        <f t="shared" si="0"/>
        <v>0.796</v>
      </c>
      <c r="I4" s="23">
        <f t="shared" si="0"/>
        <v>0.76</v>
      </c>
      <c r="J4" s="23">
        <f t="shared" si="0"/>
        <v>0.76</v>
      </c>
      <c r="K4" s="15"/>
      <c r="L4" s="20"/>
      <c r="M4" s="24">
        <v>5.937</v>
      </c>
      <c r="N4" s="24">
        <v>5.845</v>
      </c>
      <c r="O4" s="24">
        <v>5.575</v>
      </c>
      <c r="P4" s="24">
        <v>5.276</v>
      </c>
      <c r="Q4" s="24">
        <v>5.363</v>
      </c>
      <c r="R4" s="24">
        <v>6.645</v>
      </c>
      <c r="S4" s="24">
        <v>5.654</v>
      </c>
      <c r="T4" s="24"/>
      <c r="U4" s="14" t="s">
        <v>333</v>
      </c>
      <c r="V4" s="22" t="s">
        <v>334</v>
      </c>
      <c r="W4" s="25">
        <f t="shared" ref="W4:AC4" si="1">D4/M4</f>
        <v>0.136112514738083</v>
      </c>
      <c r="X4" s="25">
        <f t="shared" si="1"/>
        <v>0.131822070145423</v>
      </c>
      <c r="Y4" s="25">
        <f t="shared" si="1"/>
        <v>0.136322869955157</v>
      </c>
      <c r="Z4" s="25">
        <f t="shared" si="1"/>
        <v>0.143119787717968</v>
      </c>
      <c r="AA4" s="25">
        <f t="shared" si="1"/>
        <v>0.148424389334328</v>
      </c>
      <c r="AB4" s="26">
        <f t="shared" si="1"/>
        <v>0.114371708051166</v>
      </c>
      <c r="AC4" s="26">
        <f t="shared" si="1"/>
        <v>0.134418111071808</v>
      </c>
      <c r="AD4" s="15"/>
      <c r="AE4" s="15"/>
      <c r="AF4" s="25">
        <f t="shared" ref="AF4:AJ4" si="2">W4</f>
        <v>0.136112514738083</v>
      </c>
      <c r="AG4" s="25">
        <f t="shared" si="2"/>
        <v>0.131822070145423</v>
      </c>
      <c r="AH4" s="25">
        <f t="shared" si="2"/>
        <v>0.136322869955157</v>
      </c>
      <c r="AI4" s="25">
        <f t="shared" si="2"/>
        <v>0.143119787717968</v>
      </c>
      <c r="AJ4" s="25">
        <f t="shared" si="2"/>
        <v>0.148424389334328</v>
      </c>
      <c r="AK4" s="27">
        <f t="shared" ref="AK4:AK18" si="3">AB4*1.15</f>
        <v>0.131527464258841</v>
      </c>
      <c r="AL4" s="27">
        <f t="shared" ref="AL4:AL18" si="4">AC4*1.15</f>
        <v>0.154580827732579</v>
      </c>
      <c r="AM4" s="15"/>
      <c r="AN4" s="15"/>
      <c r="AO4" s="25">
        <f t="shared" ref="AO4:AS4" si="5">W4</f>
        <v>0.136112514738083</v>
      </c>
      <c r="AP4" s="25">
        <f t="shared" si="5"/>
        <v>0.131822070145423</v>
      </c>
      <c r="AQ4" s="25">
        <f t="shared" si="5"/>
        <v>0.136322869955157</v>
      </c>
      <c r="AR4" s="25">
        <f t="shared" si="5"/>
        <v>0.143119787717968</v>
      </c>
      <c r="AS4" s="25">
        <f t="shared" si="5"/>
        <v>0.148424389334328</v>
      </c>
      <c r="AT4" s="27">
        <f t="shared" ref="AT4:AT18" si="6">AB4*0.85</f>
        <v>0.0972159518434914</v>
      </c>
      <c r="AU4" s="27">
        <f t="shared" ref="AU4:AU18" si="7">AC4*0.85</f>
        <v>0.114255394411036</v>
      </c>
      <c r="AZ4" s="14" t="s">
        <v>333</v>
      </c>
      <c r="BA4" s="22" t="s">
        <v>334</v>
      </c>
      <c r="BB4" s="23">
        <v>837.4</v>
      </c>
      <c r="BC4" s="25">
        <v>808.1</v>
      </c>
      <c r="BD4" s="25">
        <v>770.5</v>
      </c>
      <c r="BE4" s="25">
        <v>760</v>
      </c>
      <c r="BF4" s="25">
        <v>755.1</v>
      </c>
      <c r="BG4" s="25">
        <v>796</v>
      </c>
      <c r="BH4" s="25">
        <v>760</v>
      </c>
      <c r="BI4" s="25">
        <v>760</v>
      </c>
      <c r="BJ4" s="15"/>
      <c r="BK4" s="20"/>
      <c r="BL4" s="24"/>
      <c r="BM4" s="24"/>
      <c r="BN4" s="24"/>
      <c r="BO4" s="24"/>
    </row>
    <row r="5" ht="15.5" spans="1:67">
      <c r="A5" s="14"/>
      <c r="B5" s="22" t="s">
        <v>335</v>
      </c>
      <c r="C5" s="23">
        <f t="shared" ref="C5:J5" si="8">BB5/1000</f>
        <v>0.7701</v>
      </c>
      <c r="D5" s="23">
        <f t="shared" si="8"/>
        <v>0.7457</v>
      </c>
      <c r="E5" s="23">
        <f t="shared" si="8"/>
        <v>0.7115</v>
      </c>
      <c r="F5" s="23">
        <f t="shared" si="8"/>
        <v>0.7021</v>
      </c>
      <c r="G5" s="23">
        <f t="shared" si="8"/>
        <v>0.6948</v>
      </c>
      <c r="H5" s="23">
        <f t="shared" si="8"/>
        <v>0.7338</v>
      </c>
      <c r="I5" s="23">
        <f t="shared" si="8"/>
        <v>0.7021</v>
      </c>
      <c r="J5" s="23">
        <f t="shared" si="8"/>
        <v>0.7021</v>
      </c>
      <c r="K5" s="15"/>
      <c r="L5" s="15"/>
      <c r="M5" s="28">
        <v>5.937</v>
      </c>
      <c r="N5" s="28">
        <v>5.845</v>
      </c>
      <c r="O5" s="28">
        <v>5.575</v>
      </c>
      <c r="P5" s="28">
        <v>5.276</v>
      </c>
      <c r="Q5" s="28">
        <v>5.363</v>
      </c>
      <c r="R5" s="28">
        <v>6.645</v>
      </c>
      <c r="S5" s="28">
        <v>5.654</v>
      </c>
      <c r="T5" s="28"/>
      <c r="U5" s="14"/>
      <c r="V5" s="22" t="s">
        <v>335</v>
      </c>
      <c r="W5" s="25">
        <f t="shared" ref="W5:AC5" si="9">D5/M5</f>
        <v>0.125602155971029</v>
      </c>
      <c r="X5" s="25">
        <f t="shared" si="9"/>
        <v>0.121727972626176</v>
      </c>
      <c r="Y5" s="25">
        <f t="shared" si="9"/>
        <v>0.125937219730942</v>
      </c>
      <c r="Z5" s="25">
        <f t="shared" si="9"/>
        <v>0.131690674753601</v>
      </c>
      <c r="AA5" s="25">
        <f t="shared" si="9"/>
        <v>0.136826403132575</v>
      </c>
      <c r="AB5" s="26">
        <f t="shared" si="9"/>
        <v>0.105658389766742</v>
      </c>
      <c r="AC5" s="26">
        <f t="shared" si="9"/>
        <v>0.124177573399363</v>
      </c>
      <c r="AD5" s="15"/>
      <c r="AE5" s="15"/>
      <c r="AF5" s="25">
        <f t="shared" ref="AF5:AJ5" si="10">W5</f>
        <v>0.125602155971029</v>
      </c>
      <c r="AG5" s="25">
        <f t="shared" si="10"/>
        <v>0.121727972626176</v>
      </c>
      <c r="AH5" s="25">
        <f t="shared" si="10"/>
        <v>0.125937219730942</v>
      </c>
      <c r="AI5" s="25">
        <f t="shared" si="10"/>
        <v>0.131690674753601</v>
      </c>
      <c r="AJ5" s="25">
        <f t="shared" si="10"/>
        <v>0.136826403132575</v>
      </c>
      <c r="AK5" s="27">
        <f t="shared" si="3"/>
        <v>0.121507148231753</v>
      </c>
      <c r="AL5" s="27">
        <f t="shared" si="4"/>
        <v>0.142804209409268</v>
      </c>
      <c r="AM5" s="15"/>
      <c r="AN5" s="15"/>
      <c r="AO5" s="25">
        <f t="shared" ref="AO5:AS5" si="11">W5</f>
        <v>0.125602155971029</v>
      </c>
      <c r="AP5" s="25">
        <f t="shared" si="11"/>
        <v>0.121727972626176</v>
      </c>
      <c r="AQ5" s="25">
        <f t="shared" si="11"/>
        <v>0.125937219730942</v>
      </c>
      <c r="AR5" s="25">
        <f t="shared" si="11"/>
        <v>0.131690674753601</v>
      </c>
      <c r="AS5" s="25">
        <f t="shared" si="11"/>
        <v>0.136826403132575</v>
      </c>
      <c r="AT5" s="27">
        <f t="shared" si="6"/>
        <v>0.0898096313017306</v>
      </c>
      <c r="AU5" s="27">
        <f t="shared" si="7"/>
        <v>0.105550937389459</v>
      </c>
      <c r="AZ5" s="14"/>
      <c r="BA5" s="22" t="s">
        <v>335</v>
      </c>
      <c r="BB5" s="23">
        <v>770.1</v>
      </c>
      <c r="BC5" s="25">
        <v>745.7</v>
      </c>
      <c r="BD5" s="25">
        <v>711.5</v>
      </c>
      <c r="BE5" s="25">
        <v>702.1</v>
      </c>
      <c r="BF5" s="25">
        <v>694.8</v>
      </c>
      <c r="BG5" s="25">
        <v>733.8</v>
      </c>
      <c r="BH5" s="25">
        <v>702.1</v>
      </c>
      <c r="BI5" s="25">
        <v>702.1</v>
      </c>
      <c r="BJ5" s="15"/>
      <c r="BK5" s="15"/>
      <c r="BL5" s="28"/>
      <c r="BM5" s="28"/>
      <c r="BN5" s="28"/>
      <c r="BO5" s="28"/>
    </row>
    <row r="6" ht="15.5" spans="1:67">
      <c r="A6" s="14"/>
      <c r="B6" s="22" t="s">
        <v>336</v>
      </c>
      <c r="C6" s="23">
        <f t="shared" ref="C6:J6" si="12">BB6/1000</f>
        <v>0.1986</v>
      </c>
      <c r="D6" s="23">
        <f t="shared" si="12"/>
        <v>0.1717</v>
      </c>
      <c r="E6" s="23">
        <f t="shared" si="12"/>
        <v>0.1611</v>
      </c>
      <c r="F6" s="23">
        <f t="shared" si="12"/>
        <v>0.1579</v>
      </c>
      <c r="G6" s="23">
        <f t="shared" si="12"/>
        <v>0.1521</v>
      </c>
      <c r="H6" s="23">
        <f t="shared" si="12"/>
        <v>0.1588</v>
      </c>
      <c r="I6" s="23">
        <f t="shared" si="12"/>
        <v>0.1579</v>
      </c>
      <c r="J6" s="23">
        <f t="shared" si="12"/>
        <v>0.1579</v>
      </c>
      <c r="K6" s="15"/>
      <c r="L6" s="15"/>
      <c r="M6" s="28">
        <v>5.937</v>
      </c>
      <c r="N6" s="28">
        <v>5.845</v>
      </c>
      <c r="O6" s="28">
        <v>5.575</v>
      </c>
      <c r="P6" s="28">
        <v>5.276</v>
      </c>
      <c r="Q6" s="28">
        <v>5.363</v>
      </c>
      <c r="R6" s="28">
        <v>6.645</v>
      </c>
      <c r="S6" s="28">
        <v>5.654</v>
      </c>
      <c r="T6" s="28"/>
      <c r="U6" s="14"/>
      <c r="V6" s="22" t="s">
        <v>336</v>
      </c>
      <c r="W6" s="25">
        <f t="shared" ref="W6:AC6" si="13">D6/M6</f>
        <v>0.0289203301330638</v>
      </c>
      <c r="X6" s="25">
        <f t="shared" si="13"/>
        <v>0.0275620188195039</v>
      </c>
      <c r="Y6" s="25">
        <f t="shared" si="13"/>
        <v>0.028322869955157</v>
      </c>
      <c r="Z6" s="25">
        <f t="shared" si="13"/>
        <v>0.0288286580742987</v>
      </c>
      <c r="AA6" s="25">
        <f t="shared" si="13"/>
        <v>0.0296102927465971</v>
      </c>
      <c r="AB6" s="26">
        <f t="shared" si="13"/>
        <v>0.0237622272385252</v>
      </c>
      <c r="AC6" s="26">
        <f t="shared" si="13"/>
        <v>0.0279271312345242</v>
      </c>
      <c r="AD6" s="15"/>
      <c r="AE6" s="15"/>
      <c r="AF6" s="25">
        <f t="shared" ref="AF6:AJ6" si="14">W6</f>
        <v>0.0289203301330638</v>
      </c>
      <c r="AG6" s="25">
        <f t="shared" si="14"/>
        <v>0.0275620188195039</v>
      </c>
      <c r="AH6" s="25">
        <f t="shared" si="14"/>
        <v>0.028322869955157</v>
      </c>
      <c r="AI6" s="25">
        <f t="shared" si="14"/>
        <v>0.0288286580742987</v>
      </c>
      <c r="AJ6" s="25">
        <f t="shared" si="14"/>
        <v>0.0296102927465971</v>
      </c>
      <c r="AK6" s="27">
        <f t="shared" si="3"/>
        <v>0.027326561324304</v>
      </c>
      <c r="AL6" s="27">
        <f t="shared" si="4"/>
        <v>0.0321162009197029</v>
      </c>
      <c r="AM6" s="15"/>
      <c r="AN6" s="15"/>
      <c r="AO6" s="25">
        <f t="shared" ref="AO6:AS6" si="15">W6</f>
        <v>0.0289203301330638</v>
      </c>
      <c r="AP6" s="25">
        <f t="shared" si="15"/>
        <v>0.0275620188195039</v>
      </c>
      <c r="AQ6" s="25">
        <f t="shared" si="15"/>
        <v>0.028322869955157</v>
      </c>
      <c r="AR6" s="25">
        <f t="shared" si="15"/>
        <v>0.0288286580742987</v>
      </c>
      <c r="AS6" s="25">
        <f t="shared" si="15"/>
        <v>0.0296102927465971</v>
      </c>
      <c r="AT6" s="27">
        <f t="shared" si="6"/>
        <v>0.0201978931527464</v>
      </c>
      <c r="AU6" s="27">
        <f t="shared" si="7"/>
        <v>0.0237380615493456</v>
      </c>
      <c r="AZ6" s="14"/>
      <c r="BA6" s="22" t="s">
        <v>336</v>
      </c>
      <c r="BB6" s="23">
        <v>198.6</v>
      </c>
      <c r="BC6" s="25">
        <v>171.7</v>
      </c>
      <c r="BD6" s="25">
        <v>161.1</v>
      </c>
      <c r="BE6" s="25">
        <v>157.9</v>
      </c>
      <c r="BF6" s="25">
        <v>152.1</v>
      </c>
      <c r="BG6" s="25">
        <v>158.8</v>
      </c>
      <c r="BH6" s="25">
        <v>157.9</v>
      </c>
      <c r="BI6" s="25">
        <v>157.9</v>
      </c>
      <c r="BJ6" s="15"/>
      <c r="BK6" s="15"/>
      <c r="BL6" s="28"/>
      <c r="BM6" s="28"/>
      <c r="BN6" s="28"/>
      <c r="BO6" s="28"/>
    </row>
    <row r="7" ht="15.5" spans="1:67">
      <c r="A7" s="14"/>
      <c r="B7" s="22" t="s">
        <v>337</v>
      </c>
      <c r="C7" s="23">
        <f t="shared" ref="C7:J7" si="16">BB7/1000</f>
        <v>0.487</v>
      </c>
      <c r="D7" s="23">
        <f t="shared" si="16"/>
        <v>0.4967</v>
      </c>
      <c r="E7" s="23">
        <f t="shared" si="16"/>
        <v>0.4758</v>
      </c>
      <c r="F7" s="23">
        <f t="shared" si="16"/>
        <v>0.4705</v>
      </c>
      <c r="G7" s="23">
        <f t="shared" si="16"/>
        <v>0.4665</v>
      </c>
      <c r="H7" s="23">
        <f t="shared" si="16"/>
        <v>0.496</v>
      </c>
      <c r="I7" s="23">
        <f t="shared" si="16"/>
        <v>0.4705</v>
      </c>
      <c r="J7" s="23">
        <f t="shared" si="16"/>
        <v>0.4705</v>
      </c>
      <c r="K7" s="15"/>
      <c r="L7" s="15"/>
      <c r="M7" s="28">
        <v>5.937</v>
      </c>
      <c r="N7" s="28">
        <v>5.845</v>
      </c>
      <c r="O7" s="28">
        <v>5.575</v>
      </c>
      <c r="P7" s="28">
        <v>5.276</v>
      </c>
      <c r="Q7" s="28">
        <v>5.363</v>
      </c>
      <c r="R7" s="28">
        <v>6.645</v>
      </c>
      <c r="S7" s="28">
        <v>5.654</v>
      </c>
      <c r="T7" s="28"/>
      <c r="U7" s="14"/>
      <c r="V7" s="22" t="s">
        <v>337</v>
      </c>
      <c r="W7" s="25">
        <f t="shared" ref="W7:AC7" si="17">D7/M7</f>
        <v>0.0836617820448038</v>
      </c>
      <c r="X7" s="25">
        <f t="shared" si="17"/>
        <v>0.0814029084687767</v>
      </c>
      <c r="Y7" s="25">
        <f t="shared" si="17"/>
        <v>0.0843946188340807</v>
      </c>
      <c r="Z7" s="25">
        <f t="shared" si="17"/>
        <v>0.0884192570128886</v>
      </c>
      <c r="AA7" s="25">
        <f t="shared" si="17"/>
        <v>0.092485549132948</v>
      </c>
      <c r="AB7" s="26">
        <f t="shared" si="17"/>
        <v>0.0708051166290444</v>
      </c>
      <c r="AC7" s="26">
        <f t="shared" si="17"/>
        <v>0.0832154227095861</v>
      </c>
      <c r="AD7" s="15"/>
      <c r="AE7" s="15"/>
      <c r="AF7" s="25">
        <f t="shared" ref="AF7:AJ7" si="18">W7</f>
        <v>0.0836617820448038</v>
      </c>
      <c r="AG7" s="25">
        <f t="shared" si="18"/>
        <v>0.0814029084687767</v>
      </c>
      <c r="AH7" s="25">
        <f t="shared" si="18"/>
        <v>0.0843946188340807</v>
      </c>
      <c r="AI7" s="25">
        <f t="shared" si="18"/>
        <v>0.0884192570128886</v>
      </c>
      <c r="AJ7" s="25">
        <f t="shared" si="18"/>
        <v>0.092485549132948</v>
      </c>
      <c r="AK7" s="27">
        <f t="shared" si="3"/>
        <v>0.0814258841234011</v>
      </c>
      <c r="AL7" s="27">
        <f t="shared" si="4"/>
        <v>0.0956977361160241</v>
      </c>
      <c r="AM7" s="15"/>
      <c r="AN7" s="15"/>
      <c r="AO7" s="25">
        <f t="shared" ref="AO7:AS7" si="19">W7</f>
        <v>0.0836617820448038</v>
      </c>
      <c r="AP7" s="25">
        <f t="shared" si="19"/>
        <v>0.0814029084687767</v>
      </c>
      <c r="AQ7" s="25">
        <f t="shared" si="19"/>
        <v>0.0843946188340807</v>
      </c>
      <c r="AR7" s="25">
        <f t="shared" si="19"/>
        <v>0.0884192570128886</v>
      </c>
      <c r="AS7" s="25">
        <f t="shared" si="19"/>
        <v>0.092485549132948</v>
      </c>
      <c r="AT7" s="27">
        <f t="shared" si="6"/>
        <v>0.0601843491346877</v>
      </c>
      <c r="AU7" s="27">
        <f t="shared" si="7"/>
        <v>0.0707331093031482</v>
      </c>
      <c r="AZ7" s="14"/>
      <c r="BA7" s="22" t="s">
        <v>337</v>
      </c>
      <c r="BB7" s="23">
        <v>487</v>
      </c>
      <c r="BC7" s="25">
        <v>496.7</v>
      </c>
      <c r="BD7" s="25">
        <v>475.8</v>
      </c>
      <c r="BE7" s="25">
        <v>470.5</v>
      </c>
      <c r="BF7" s="25">
        <v>466.5</v>
      </c>
      <c r="BG7" s="25">
        <v>496</v>
      </c>
      <c r="BH7" s="25">
        <v>470.5</v>
      </c>
      <c r="BI7" s="25">
        <v>470.5</v>
      </c>
      <c r="BJ7" s="15"/>
      <c r="BK7" s="15"/>
      <c r="BL7" s="28"/>
      <c r="BM7" s="28"/>
      <c r="BN7" s="28"/>
      <c r="BO7" s="28"/>
    </row>
    <row r="8" ht="15.5" spans="1:67">
      <c r="A8" s="14"/>
      <c r="B8" s="22" t="s">
        <v>338</v>
      </c>
      <c r="C8" s="23">
        <f t="shared" ref="C8:J8" si="20">BB8/1000</f>
        <v>0.0845</v>
      </c>
      <c r="D8" s="23">
        <f t="shared" si="20"/>
        <v>0.0773</v>
      </c>
      <c r="E8" s="23">
        <f t="shared" si="20"/>
        <v>0.0745</v>
      </c>
      <c r="F8" s="23">
        <f t="shared" si="20"/>
        <v>0.0736</v>
      </c>
      <c r="G8" s="23">
        <f t="shared" si="20"/>
        <v>0.0761</v>
      </c>
      <c r="H8" s="23">
        <f t="shared" si="20"/>
        <v>0.0789</v>
      </c>
      <c r="I8" s="23">
        <f t="shared" si="20"/>
        <v>0.0736</v>
      </c>
      <c r="J8" s="23">
        <f t="shared" si="20"/>
        <v>0.0736</v>
      </c>
      <c r="K8" s="15"/>
      <c r="L8" s="15"/>
      <c r="M8" s="28">
        <v>5.937</v>
      </c>
      <c r="N8" s="28">
        <v>5.845</v>
      </c>
      <c r="O8" s="28">
        <v>5.575</v>
      </c>
      <c r="P8" s="28">
        <v>5.276</v>
      </c>
      <c r="Q8" s="28">
        <v>5.363</v>
      </c>
      <c r="R8" s="28">
        <v>6.645</v>
      </c>
      <c r="S8" s="28">
        <v>5.654</v>
      </c>
      <c r="T8" s="28"/>
      <c r="U8" s="14"/>
      <c r="V8" s="22" t="s">
        <v>338</v>
      </c>
      <c r="W8" s="25">
        <f t="shared" ref="W8:AC8" si="21">D8/M8</f>
        <v>0.0130200437931615</v>
      </c>
      <c r="X8" s="25">
        <f t="shared" si="21"/>
        <v>0.0127459366980325</v>
      </c>
      <c r="Y8" s="25">
        <f t="shared" si="21"/>
        <v>0.0132017937219731</v>
      </c>
      <c r="Z8" s="25">
        <f t="shared" si="21"/>
        <v>0.0144238059135709</v>
      </c>
      <c r="AA8" s="25">
        <f t="shared" si="21"/>
        <v>0.0147119149729629</v>
      </c>
      <c r="AB8" s="26">
        <f t="shared" si="21"/>
        <v>0.0110759969902182</v>
      </c>
      <c r="AC8" s="26">
        <f t="shared" si="21"/>
        <v>0.0130173328616908</v>
      </c>
      <c r="AD8" s="15"/>
      <c r="AE8" s="15"/>
      <c r="AF8" s="25">
        <f t="shared" ref="AF8:AJ8" si="22">W8</f>
        <v>0.0130200437931615</v>
      </c>
      <c r="AG8" s="25">
        <f t="shared" si="22"/>
        <v>0.0127459366980325</v>
      </c>
      <c r="AH8" s="25">
        <f t="shared" si="22"/>
        <v>0.0132017937219731</v>
      </c>
      <c r="AI8" s="25">
        <f t="shared" si="22"/>
        <v>0.0144238059135709</v>
      </c>
      <c r="AJ8" s="25">
        <f t="shared" si="22"/>
        <v>0.0147119149729629</v>
      </c>
      <c r="AK8" s="27">
        <f t="shared" si="3"/>
        <v>0.0127373965387509</v>
      </c>
      <c r="AL8" s="27">
        <f t="shared" si="4"/>
        <v>0.0149699327909445</v>
      </c>
      <c r="AM8" s="15"/>
      <c r="AN8" s="15"/>
      <c r="AO8" s="25">
        <f t="shared" ref="AO8:AS8" si="23">W8</f>
        <v>0.0130200437931615</v>
      </c>
      <c r="AP8" s="25">
        <f t="shared" si="23"/>
        <v>0.0127459366980325</v>
      </c>
      <c r="AQ8" s="25">
        <f t="shared" si="23"/>
        <v>0.0132017937219731</v>
      </c>
      <c r="AR8" s="25">
        <f t="shared" si="23"/>
        <v>0.0144238059135709</v>
      </c>
      <c r="AS8" s="25">
        <f t="shared" si="23"/>
        <v>0.0147119149729629</v>
      </c>
      <c r="AT8" s="27">
        <f t="shared" si="6"/>
        <v>0.00941459744168548</v>
      </c>
      <c r="AU8" s="27">
        <f t="shared" si="7"/>
        <v>0.0110647329324372</v>
      </c>
      <c r="AZ8" s="14"/>
      <c r="BA8" s="22" t="s">
        <v>338</v>
      </c>
      <c r="BB8" s="23">
        <v>84.5</v>
      </c>
      <c r="BC8" s="25">
        <v>77.3</v>
      </c>
      <c r="BD8" s="25">
        <v>74.5</v>
      </c>
      <c r="BE8" s="25">
        <v>73.6</v>
      </c>
      <c r="BF8" s="25">
        <v>76.1</v>
      </c>
      <c r="BG8" s="25">
        <v>78.9</v>
      </c>
      <c r="BH8" s="25">
        <v>73.6</v>
      </c>
      <c r="BI8" s="25">
        <v>73.6</v>
      </c>
      <c r="BJ8" s="15"/>
      <c r="BK8" s="15"/>
      <c r="BL8" s="28"/>
      <c r="BM8" s="28"/>
      <c r="BN8" s="28"/>
      <c r="BO8" s="28"/>
    </row>
    <row r="9" ht="15.5" spans="1:67">
      <c r="A9" s="14" t="s">
        <v>339</v>
      </c>
      <c r="B9" s="22" t="s">
        <v>334</v>
      </c>
      <c r="C9" s="23">
        <f t="shared" ref="C9:J9" si="24">BB9/1000</f>
        <v>0.855</v>
      </c>
      <c r="D9" s="23">
        <f t="shared" si="24"/>
        <v>0.8241</v>
      </c>
      <c r="E9" s="23">
        <f t="shared" si="24"/>
        <v>0.7857</v>
      </c>
      <c r="F9" s="23">
        <f t="shared" si="24"/>
        <v>0.775</v>
      </c>
      <c r="G9" s="23">
        <f t="shared" si="24"/>
        <v>0.7702</v>
      </c>
      <c r="H9" s="23">
        <f t="shared" si="24"/>
        <v>0.8116</v>
      </c>
      <c r="I9" s="23">
        <f t="shared" si="24"/>
        <v>0.775</v>
      </c>
      <c r="J9" s="23">
        <f t="shared" si="24"/>
        <v>0.775</v>
      </c>
      <c r="K9" s="15"/>
      <c r="L9" s="15"/>
      <c r="M9" s="28">
        <v>5.937</v>
      </c>
      <c r="N9" s="28">
        <v>5.845</v>
      </c>
      <c r="O9" s="28">
        <v>5.575</v>
      </c>
      <c r="P9" s="28">
        <v>5.276</v>
      </c>
      <c r="Q9" s="28">
        <v>5.363</v>
      </c>
      <c r="R9" s="28">
        <v>6.645</v>
      </c>
      <c r="S9" s="28">
        <v>5.654</v>
      </c>
      <c r="T9" s="28"/>
      <c r="U9" s="14" t="s">
        <v>339</v>
      </c>
      <c r="V9" s="22" t="s">
        <v>334</v>
      </c>
      <c r="W9" s="25">
        <f t="shared" ref="W9:AC9" si="25">D9/M9</f>
        <v>0.138807478524507</v>
      </c>
      <c r="X9" s="25">
        <f t="shared" si="25"/>
        <v>0.134422583404619</v>
      </c>
      <c r="Y9" s="25">
        <f t="shared" si="25"/>
        <v>0.139013452914798</v>
      </c>
      <c r="Z9" s="25">
        <f t="shared" si="25"/>
        <v>0.145981804397271</v>
      </c>
      <c r="AA9" s="25">
        <f t="shared" si="25"/>
        <v>0.1513332090248</v>
      </c>
      <c r="AB9" s="26">
        <f t="shared" si="25"/>
        <v>0.116629044394281</v>
      </c>
      <c r="AC9" s="26">
        <f t="shared" si="25"/>
        <v>0.13707110010612</v>
      </c>
      <c r="AD9" s="15"/>
      <c r="AE9" s="15"/>
      <c r="AF9" s="25">
        <f t="shared" ref="AF9:AJ9" si="26">W9</f>
        <v>0.138807478524507</v>
      </c>
      <c r="AG9" s="25">
        <f t="shared" si="26"/>
        <v>0.134422583404619</v>
      </c>
      <c r="AH9" s="25">
        <f t="shared" si="26"/>
        <v>0.139013452914798</v>
      </c>
      <c r="AI9" s="25">
        <f t="shared" si="26"/>
        <v>0.145981804397271</v>
      </c>
      <c r="AJ9" s="25">
        <f t="shared" si="26"/>
        <v>0.1513332090248</v>
      </c>
      <c r="AK9" s="27">
        <f t="shared" si="3"/>
        <v>0.134123401053424</v>
      </c>
      <c r="AL9" s="27">
        <f t="shared" si="4"/>
        <v>0.157631765122037</v>
      </c>
      <c r="AM9" s="15"/>
      <c r="AN9" s="15"/>
      <c r="AO9" s="25">
        <f t="shared" ref="AO9:AS9" si="27">W9</f>
        <v>0.138807478524507</v>
      </c>
      <c r="AP9" s="25">
        <f t="shared" si="27"/>
        <v>0.134422583404619</v>
      </c>
      <c r="AQ9" s="25">
        <f t="shared" si="27"/>
        <v>0.139013452914798</v>
      </c>
      <c r="AR9" s="25">
        <f t="shared" si="27"/>
        <v>0.145981804397271</v>
      </c>
      <c r="AS9" s="25">
        <f t="shared" si="27"/>
        <v>0.1513332090248</v>
      </c>
      <c r="AT9" s="27">
        <f t="shared" si="6"/>
        <v>0.0991346877351392</v>
      </c>
      <c r="AU9" s="27">
        <f t="shared" si="7"/>
        <v>0.116510435090202</v>
      </c>
      <c r="AZ9" s="14" t="s">
        <v>339</v>
      </c>
      <c r="BA9" s="22" t="s">
        <v>334</v>
      </c>
      <c r="BB9" s="23">
        <v>855</v>
      </c>
      <c r="BC9" s="25">
        <v>824.1</v>
      </c>
      <c r="BD9" s="25">
        <v>785.7</v>
      </c>
      <c r="BE9" s="25">
        <v>775</v>
      </c>
      <c r="BF9" s="25">
        <v>770.2</v>
      </c>
      <c r="BG9" s="25">
        <v>811.6</v>
      </c>
      <c r="BH9" s="25">
        <v>775</v>
      </c>
      <c r="BI9" s="25">
        <v>775</v>
      </c>
      <c r="BJ9" s="15"/>
      <c r="BK9" s="15"/>
      <c r="BL9" s="28"/>
      <c r="BM9" s="28"/>
      <c r="BN9" s="28"/>
      <c r="BO9" s="28"/>
    </row>
    <row r="10" ht="15.5" spans="1:67">
      <c r="A10" s="14"/>
      <c r="B10" s="22" t="s">
        <v>335</v>
      </c>
      <c r="C10" s="23">
        <f t="shared" ref="C10:J10" si="28">BB10/1000</f>
        <v>0.7888</v>
      </c>
      <c r="D10" s="23">
        <f t="shared" si="28"/>
        <v>0.7626</v>
      </c>
      <c r="E10" s="23">
        <f t="shared" si="28"/>
        <v>0.7275</v>
      </c>
      <c r="F10" s="23">
        <f t="shared" si="28"/>
        <v>0.7179</v>
      </c>
      <c r="G10" s="23">
        <f t="shared" si="28"/>
        <v>0.7107</v>
      </c>
      <c r="H10" s="23">
        <f t="shared" si="28"/>
        <v>0.7503</v>
      </c>
      <c r="I10" s="23">
        <f t="shared" si="28"/>
        <v>0.7179</v>
      </c>
      <c r="J10" s="23">
        <f t="shared" si="28"/>
        <v>0.7179</v>
      </c>
      <c r="K10" s="15"/>
      <c r="L10" s="15"/>
      <c r="M10" s="28">
        <v>5.937</v>
      </c>
      <c r="N10" s="28">
        <v>5.845</v>
      </c>
      <c r="O10" s="28">
        <v>5.575</v>
      </c>
      <c r="P10" s="28">
        <v>5.276</v>
      </c>
      <c r="Q10" s="28">
        <v>5.363</v>
      </c>
      <c r="R10" s="28">
        <v>6.645</v>
      </c>
      <c r="S10" s="28">
        <v>5.654</v>
      </c>
      <c r="T10" s="28"/>
      <c r="U10" s="14"/>
      <c r="V10" s="22" t="s">
        <v>335</v>
      </c>
      <c r="W10" s="25">
        <f t="shared" ref="W10:AC10" si="29">D10/M10</f>
        <v>0.12844871147044</v>
      </c>
      <c r="X10" s="25">
        <f t="shared" si="29"/>
        <v>0.124465355004277</v>
      </c>
      <c r="Y10" s="25">
        <f t="shared" si="29"/>
        <v>0.12877130044843</v>
      </c>
      <c r="Z10" s="25">
        <f t="shared" si="29"/>
        <v>0.134704321455648</v>
      </c>
      <c r="AA10" s="25">
        <f t="shared" si="29"/>
        <v>0.139903039343651</v>
      </c>
      <c r="AB10" s="26">
        <f t="shared" si="29"/>
        <v>0.10803611738149</v>
      </c>
      <c r="AC10" s="26">
        <f t="shared" si="29"/>
        <v>0.126972055182172</v>
      </c>
      <c r="AD10" s="15"/>
      <c r="AE10" s="15"/>
      <c r="AF10" s="25">
        <f t="shared" ref="AF10:AJ10" si="30">W10</f>
        <v>0.12844871147044</v>
      </c>
      <c r="AG10" s="25">
        <f t="shared" si="30"/>
        <v>0.124465355004277</v>
      </c>
      <c r="AH10" s="25">
        <f t="shared" si="30"/>
        <v>0.12877130044843</v>
      </c>
      <c r="AI10" s="25">
        <f t="shared" si="30"/>
        <v>0.134704321455648</v>
      </c>
      <c r="AJ10" s="25">
        <f t="shared" si="30"/>
        <v>0.139903039343651</v>
      </c>
      <c r="AK10" s="27">
        <f t="shared" si="3"/>
        <v>0.124241534988713</v>
      </c>
      <c r="AL10" s="27">
        <f t="shared" si="4"/>
        <v>0.146017863459498</v>
      </c>
      <c r="AM10" s="15"/>
      <c r="AN10" s="15"/>
      <c r="AO10" s="25">
        <f t="shared" ref="AO10:AS10" si="31">W10</f>
        <v>0.12844871147044</v>
      </c>
      <c r="AP10" s="25">
        <f t="shared" si="31"/>
        <v>0.124465355004277</v>
      </c>
      <c r="AQ10" s="25">
        <f t="shared" si="31"/>
        <v>0.12877130044843</v>
      </c>
      <c r="AR10" s="25">
        <f t="shared" si="31"/>
        <v>0.134704321455648</v>
      </c>
      <c r="AS10" s="25">
        <f t="shared" si="31"/>
        <v>0.139903039343651</v>
      </c>
      <c r="AT10" s="27">
        <f t="shared" si="6"/>
        <v>0.0918306997742664</v>
      </c>
      <c r="AU10" s="27">
        <f t="shared" si="7"/>
        <v>0.107926246904846</v>
      </c>
      <c r="AZ10" s="14"/>
      <c r="BA10" s="22" t="s">
        <v>335</v>
      </c>
      <c r="BB10" s="23">
        <v>788.8</v>
      </c>
      <c r="BC10" s="25">
        <v>762.6</v>
      </c>
      <c r="BD10" s="25">
        <v>727.5</v>
      </c>
      <c r="BE10" s="25">
        <v>717.9</v>
      </c>
      <c r="BF10" s="25">
        <v>710.7</v>
      </c>
      <c r="BG10" s="25">
        <v>750.3</v>
      </c>
      <c r="BH10" s="25">
        <v>717.9</v>
      </c>
      <c r="BI10" s="25">
        <v>717.9</v>
      </c>
      <c r="BJ10" s="15"/>
      <c r="BK10" s="15"/>
      <c r="BL10" s="28"/>
      <c r="BM10" s="28"/>
      <c r="BN10" s="28"/>
      <c r="BO10" s="28"/>
    </row>
    <row r="11" ht="15.5" spans="1:67">
      <c r="A11" s="14"/>
      <c r="B11" s="22" t="s">
        <v>336</v>
      </c>
      <c r="C11" s="23">
        <f t="shared" ref="C11:J11" si="32">BB11/1000</f>
        <v>0.2381</v>
      </c>
      <c r="D11" s="23">
        <f t="shared" si="32"/>
        <v>0.2075</v>
      </c>
      <c r="E11" s="23">
        <f t="shared" si="32"/>
        <v>0.1951</v>
      </c>
      <c r="F11" s="23">
        <f t="shared" si="32"/>
        <v>0.1916</v>
      </c>
      <c r="G11" s="23">
        <f t="shared" si="32"/>
        <v>0.186</v>
      </c>
      <c r="H11" s="23">
        <f t="shared" si="32"/>
        <v>0.1938</v>
      </c>
      <c r="I11" s="23">
        <f t="shared" si="32"/>
        <v>0.1916</v>
      </c>
      <c r="J11" s="23">
        <f t="shared" si="32"/>
        <v>0.1916</v>
      </c>
      <c r="K11" s="15"/>
      <c r="L11" s="15"/>
      <c r="M11" s="28">
        <v>5.937</v>
      </c>
      <c r="N11" s="28">
        <v>5.845</v>
      </c>
      <c r="O11" s="28">
        <v>5.575</v>
      </c>
      <c r="P11" s="28">
        <v>5.276</v>
      </c>
      <c r="Q11" s="28">
        <v>5.363</v>
      </c>
      <c r="R11" s="28">
        <v>6.645</v>
      </c>
      <c r="S11" s="28">
        <v>5.654</v>
      </c>
      <c r="T11" s="28"/>
      <c r="U11" s="14"/>
      <c r="V11" s="22" t="s">
        <v>336</v>
      </c>
      <c r="W11" s="25">
        <f t="shared" ref="W11:AC11" si="33">D11/M11</f>
        <v>0.0349503116051878</v>
      </c>
      <c r="X11" s="25">
        <f t="shared" si="33"/>
        <v>0.0333789563729684</v>
      </c>
      <c r="Y11" s="25">
        <f t="shared" si="33"/>
        <v>0.0343677130044843</v>
      </c>
      <c r="Z11" s="25">
        <f t="shared" si="33"/>
        <v>0.035253980288097</v>
      </c>
      <c r="AA11" s="25">
        <f t="shared" si="33"/>
        <v>0.0361364907700914</v>
      </c>
      <c r="AB11" s="26">
        <f t="shared" si="33"/>
        <v>0.0288337095560572</v>
      </c>
      <c r="AC11" s="26">
        <f t="shared" si="33"/>
        <v>0.0338875132649452</v>
      </c>
      <c r="AD11" s="15"/>
      <c r="AE11" s="15"/>
      <c r="AF11" s="25">
        <f t="shared" ref="AF11:AJ11" si="34">W11</f>
        <v>0.0349503116051878</v>
      </c>
      <c r="AG11" s="25">
        <f t="shared" si="34"/>
        <v>0.0333789563729684</v>
      </c>
      <c r="AH11" s="25">
        <f t="shared" si="34"/>
        <v>0.0343677130044843</v>
      </c>
      <c r="AI11" s="25">
        <f t="shared" si="34"/>
        <v>0.035253980288097</v>
      </c>
      <c r="AJ11" s="25">
        <f t="shared" si="34"/>
        <v>0.0361364907700914</v>
      </c>
      <c r="AK11" s="27">
        <f t="shared" si="3"/>
        <v>0.0331587659894658</v>
      </c>
      <c r="AL11" s="27">
        <f t="shared" si="4"/>
        <v>0.0389706402546869</v>
      </c>
      <c r="AM11" s="15"/>
      <c r="AN11" s="15"/>
      <c r="AO11" s="25">
        <f t="shared" ref="AO11:AS11" si="35">W11</f>
        <v>0.0349503116051878</v>
      </c>
      <c r="AP11" s="25">
        <f t="shared" si="35"/>
        <v>0.0333789563729684</v>
      </c>
      <c r="AQ11" s="25">
        <f t="shared" si="35"/>
        <v>0.0343677130044843</v>
      </c>
      <c r="AR11" s="25">
        <f t="shared" si="35"/>
        <v>0.035253980288097</v>
      </c>
      <c r="AS11" s="25">
        <f t="shared" si="35"/>
        <v>0.0361364907700914</v>
      </c>
      <c r="AT11" s="27">
        <f t="shared" si="6"/>
        <v>0.0245086531226486</v>
      </c>
      <c r="AU11" s="27">
        <f t="shared" si="7"/>
        <v>0.0288043862752034</v>
      </c>
      <c r="AZ11" s="14"/>
      <c r="BA11" s="22" t="s">
        <v>336</v>
      </c>
      <c r="BB11" s="23">
        <v>238.1</v>
      </c>
      <c r="BC11" s="25">
        <v>207.5</v>
      </c>
      <c r="BD11" s="25">
        <v>195.1</v>
      </c>
      <c r="BE11" s="25">
        <v>191.6</v>
      </c>
      <c r="BF11" s="25">
        <v>186</v>
      </c>
      <c r="BG11" s="25">
        <v>193.8</v>
      </c>
      <c r="BH11" s="25">
        <v>191.6</v>
      </c>
      <c r="BI11" s="25">
        <v>191.6</v>
      </c>
      <c r="BJ11" s="15"/>
      <c r="BK11" s="15"/>
      <c r="BL11" s="28"/>
      <c r="BM11" s="28"/>
      <c r="BN11" s="28"/>
      <c r="BO11" s="28"/>
    </row>
    <row r="12" ht="15.5" spans="1:67">
      <c r="A12" s="14"/>
      <c r="B12" s="22" t="s">
        <v>337</v>
      </c>
      <c r="C12" s="23">
        <f t="shared" ref="C12:J12" si="36">BB12/1000</f>
        <v>0.4629</v>
      </c>
      <c r="D12" s="23">
        <f t="shared" si="36"/>
        <v>0.4749</v>
      </c>
      <c r="E12" s="23">
        <f t="shared" si="36"/>
        <v>0.4551</v>
      </c>
      <c r="F12" s="23">
        <f t="shared" si="36"/>
        <v>0.45</v>
      </c>
      <c r="G12" s="23">
        <f t="shared" si="36"/>
        <v>0.4459</v>
      </c>
      <c r="H12" s="23">
        <f t="shared" si="36"/>
        <v>0.4747</v>
      </c>
      <c r="I12" s="23">
        <f t="shared" si="36"/>
        <v>0.45</v>
      </c>
      <c r="J12" s="23">
        <f t="shared" si="36"/>
        <v>0.45</v>
      </c>
      <c r="K12" s="15"/>
      <c r="L12" s="15"/>
      <c r="M12" s="28">
        <v>5.937</v>
      </c>
      <c r="N12" s="28">
        <v>5.845</v>
      </c>
      <c r="O12" s="28">
        <v>5.575</v>
      </c>
      <c r="P12" s="28">
        <v>5.276</v>
      </c>
      <c r="Q12" s="28">
        <v>5.363</v>
      </c>
      <c r="R12" s="28">
        <v>6.645</v>
      </c>
      <c r="S12" s="28">
        <v>5.654</v>
      </c>
      <c r="T12" s="28"/>
      <c r="U12" s="14"/>
      <c r="V12" s="22" t="s">
        <v>337</v>
      </c>
      <c r="W12" s="25">
        <f t="shared" ref="W12:AC12" si="37">D12/M12</f>
        <v>0.0799898938858009</v>
      </c>
      <c r="X12" s="25">
        <f t="shared" si="37"/>
        <v>0.0778614200171086</v>
      </c>
      <c r="Y12" s="25">
        <f t="shared" si="37"/>
        <v>0.0807174887892377</v>
      </c>
      <c r="Z12" s="25">
        <f t="shared" si="37"/>
        <v>0.0845147839272176</v>
      </c>
      <c r="AA12" s="25">
        <f t="shared" si="37"/>
        <v>0.08851389147865</v>
      </c>
      <c r="AB12" s="26">
        <f t="shared" si="37"/>
        <v>0.0677200902934537</v>
      </c>
      <c r="AC12" s="26">
        <f t="shared" si="37"/>
        <v>0.0795896710293598</v>
      </c>
      <c r="AD12" s="15"/>
      <c r="AE12" s="15"/>
      <c r="AF12" s="25">
        <f t="shared" ref="AF12:AJ12" si="38">W12</f>
        <v>0.0799898938858009</v>
      </c>
      <c r="AG12" s="25">
        <f t="shared" si="38"/>
        <v>0.0778614200171086</v>
      </c>
      <c r="AH12" s="25">
        <f t="shared" si="38"/>
        <v>0.0807174887892377</v>
      </c>
      <c r="AI12" s="25">
        <f t="shared" si="38"/>
        <v>0.0845147839272176</v>
      </c>
      <c r="AJ12" s="25">
        <f t="shared" si="38"/>
        <v>0.08851389147865</v>
      </c>
      <c r="AK12" s="27">
        <f t="shared" si="3"/>
        <v>0.0778781038374718</v>
      </c>
      <c r="AL12" s="27">
        <f t="shared" si="4"/>
        <v>0.0915281216837637</v>
      </c>
      <c r="AM12" s="15"/>
      <c r="AN12" s="15"/>
      <c r="AO12" s="25">
        <f t="shared" ref="AO12:AS12" si="39">W12</f>
        <v>0.0799898938858009</v>
      </c>
      <c r="AP12" s="25">
        <f t="shared" si="39"/>
        <v>0.0778614200171086</v>
      </c>
      <c r="AQ12" s="25">
        <f t="shared" si="39"/>
        <v>0.0807174887892377</v>
      </c>
      <c r="AR12" s="25">
        <f t="shared" si="39"/>
        <v>0.0845147839272176</v>
      </c>
      <c r="AS12" s="25">
        <f t="shared" si="39"/>
        <v>0.08851389147865</v>
      </c>
      <c r="AT12" s="27">
        <f t="shared" si="6"/>
        <v>0.0575620767494357</v>
      </c>
      <c r="AU12" s="27">
        <f t="shared" si="7"/>
        <v>0.0676512203749558</v>
      </c>
      <c r="AZ12" s="14"/>
      <c r="BA12" s="22" t="s">
        <v>337</v>
      </c>
      <c r="BB12" s="23">
        <v>462.9</v>
      </c>
      <c r="BC12" s="25">
        <v>474.9</v>
      </c>
      <c r="BD12" s="25">
        <v>455.1</v>
      </c>
      <c r="BE12" s="25">
        <v>450</v>
      </c>
      <c r="BF12" s="25">
        <v>445.9</v>
      </c>
      <c r="BG12" s="25">
        <v>474.7</v>
      </c>
      <c r="BH12" s="25">
        <v>450</v>
      </c>
      <c r="BI12" s="25">
        <v>450</v>
      </c>
      <c r="BJ12" s="15"/>
      <c r="BK12" s="15"/>
      <c r="BL12" s="28"/>
      <c r="BM12" s="28"/>
      <c r="BN12" s="28"/>
      <c r="BO12" s="28"/>
    </row>
    <row r="13" ht="15.5" spans="1:67">
      <c r="A13" s="14"/>
      <c r="B13" s="22" t="s">
        <v>338</v>
      </c>
      <c r="C13" s="23">
        <f t="shared" ref="C13:J13" si="40">BB13/1000</f>
        <v>0.0877</v>
      </c>
      <c r="D13" s="23">
        <f t="shared" si="40"/>
        <v>0.0802</v>
      </c>
      <c r="E13" s="23">
        <f t="shared" si="40"/>
        <v>0.0772</v>
      </c>
      <c r="F13" s="23">
        <f t="shared" si="40"/>
        <v>0.0763</v>
      </c>
      <c r="G13" s="23">
        <f t="shared" si="40"/>
        <v>0.0789</v>
      </c>
      <c r="H13" s="23">
        <f t="shared" si="40"/>
        <v>0.0817</v>
      </c>
      <c r="I13" s="23">
        <f t="shared" si="40"/>
        <v>0.0763</v>
      </c>
      <c r="J13" s="23">
        <f t="shared" si="40"/>
        <v>0.0763</v>
      </c>
      <c r="K13" s="15"/>
      <c r="L13" s="15"/>
      <c r="M13" s="28">
        <v>5.937</v>
      </c>
      <c r="N13" s="28">
        <v>5.845</v>
      </c>
      <c r="O13" s="28">
        <v>5.575</v>
      </c>
      <c r="P13" s="28">
        <v>5.276</v>
      </c>
      <c r="Q13" s="28">
        <v>5.363</v>
      </c>
      <c r="R13" s="28">
        <v>6.645</v>
      </c>
      <c r="S13" s="28">
        <v>5.654</v>
      </c>
      <c r="T13" s="28"/>
      <c r="U13" s="14"/>
      <c r="V13" s="22" t="s">
        <v>338</v>
      </c>
      <c r="W13" s="25">
        <f t="shared" ref="W13:AC13" si="41">D13/M13</f>
        <v>0.0135085059794509</v>
      </c>
      <c r="X13" s="25">
        <f t="shared" si="41"/>
        <v>0.013207869974337</v>
      </c>
      <c r="Y13" s="25">
        <f t="shared" si="41"/>
        <v>0.0136860986547085</v>
      </c>
      <c r="Z13" s="25">
        <f t="shared" si="41"/>
        <v>0.0149545109931767</v>
      </c>
      <c r="AA13" s="25">
        <f t="shared" si="41"/>
        <v>0.0152340108148424</v>
      </c>
      <c r="AB13" s="26">
        <f t="shared" si="41"/>
        <v>0.0114823175319789</v>
      </c>
      <c r="AC13" s="26">
        <f t="shared" si="41"/>
        <v>0.013494870887867</v>
      </c>
      <c r="AD13" s="15"/>
      <c r="AE13" s="15"/>
      <c r="AF13" s="25">
        <f t="shared" ref="AF13:AJ13" si="42">W13</f>
        <v>0.0135085059794509</v>
      </c>
      <c r="AG13" s="25">
        <f t="shared" si="42"/>
        <v>0.013207869974337</v>
      </c>
      <c r="AH13" s="25">
        <f t="shared" si="42"/>
        <v>0.0136860986547085</v>
      </c>
      <c r="AI13" s="25">
        <f t="shared" si="42"/>
        <v>0.0149545109931767</v>
      </c>
      <c r="AJ13" s="25">
        <f t="shared" si="42"/>
        <v>0.0152340108148424</v>
      </c>
      <c r="AK13" s="27">
        <f t="shared" si="3"/>
        <v>0.0132046651617758</v>
      </c>
      <c r="AL13" s="27">
        <f t="shared" si="4"/>
        <v>0.015519101521047</v>
      </c>
      <c r="AM13" s="15"/>
      <c r="AN13" s="15"/>
      <c r="AO13" s="25">
        <f t="shared" ref="AO13:AS13" si="43">W13</f>
        <v>0.0135085059794509</v>
      </c>
      <c r="AP13" s="25">
        <f t="shared" si="43"/>
        <v>0.013207869974337</v>
      </c>
      <c r="AQ13" s="25">
        <f t="shared" si="43"/>
        <v>0.0136860986547085</v>
      </c>
      <c r="AR13" s="25">
        <f t="shared" si="43"/>
        <v>0.0149545109931767</v>
      </c>
      <c r="AS13" s="25">
        <f t="shared" si="43"/>
        <v>0.0152340108148424</v>
      </c>
      <c r="AT13" s="27">
        <f t="shared" si="6"/>
        <v>0.00975996990218209</v>
      </c>
      <c r="AU13" s="27">
        <f t="shared" si="7"/>
        <v>0.0114706402546869</v>
      </c>
      <c r="AZ13" s="14"/>
      <c r="BA13" s="22" t="s">
        <v>338</v>
      </c>
      <c r="BB13" s="23">
        <v>87.7</v>
      </c>
      <c r="BC13" s="25">
        <v>80.2</v>
      </c>
      <c r="BD13" s="25">
        <v>77.2</v>
      </c>
      <c r="BE13" s="25">
        <v>76.3</v>
      </c>
      <c r="BF13" s="25">
        <v>78.9</v>
      </c>
      <c r="BG13" s="25">
        <v>81.7</v>
      </c>
      <c r="BH13" s="25">
        <v>76.3</v>
      </c>
      <c r="BI13" s="25">
        <v>76.3</v>
      </c>
      <c r="BJ13" s="15"/>
      <c r="BK13" s="15"/>
      <c r="BL13" s="28"/>
      <c r="BM13" s="28"/>
      <c r="BN13" s="28"/>
      <c r="BO13" s="28"/>
    </row>
    <row r="14" ht="15.5" spans="1:67">
      <c r="A14" s="14" t="s">
        <v>11</v>
      </c>
      <c r="B14" s="22" t="s">
        <v>334</v>
      </c>
      <c r="C14" s="23">
        <f t="shared" ref="C14:J14" si="44">BB14/1000</f>
        <v>0.8705</v>
      </c>
      <c r="D14" s="23">
        <f t="shared" si="44"/>
        <v>0.8381</v>
      </c>
      <c r="E14" s="23">
        <f t="shared" si="44"/>
        <v>0.799</v>
      </c>
      <c r="F14" s="23">
        <f t="shared" si="44"/>
        <v>0.7882</v>
      </c>
      <c r="G14" s="23">
        <f t="shared" si="44"/>
        <v>0.7835</v>
      </c>
      <c r="H14" s="23">
        <f t="shared" si="44"/>
        <v>0.8253</v>
      </c>
      <c r="I14" s="23">
        <f t="shared" si="44"/>
        <v>0.7882</v>
      </c>
      <c r="J14" s="23">
        <f t="shared" si="44"/>
        <v>0.7882</v>
      </c>
      <c r="K14" s="15"/>
      <c r="L14" s="15"/>
      <c r="M14" s="28">
        <v>5.937</v>
      </c>
      <c r="N14" s="28">
        <v>5.845</v>
      </c>
      <c r="O14" s="28">
        <v>5.575</v>
      </c>
      <c r="P14" s="28">
        <v>5.276</v>
      </c>
      <c r="Q14" s="28">
        <v>5.363</v>
      </c>
      <c r="R14" s="28">
        <v>6.645</v>
      </c>
      <c r="S14" s="28">
        <v>5.654</v>
      </c>
      <c r="T14" s="28"/>
      <c r="U14" s="14" t="s">
        <v>11</v>
      </c>
      <c r="V14" s="22" t="s">
        <v>334</v>
      </c>
      <c r="W14" s="25">
        <f t="shared" ref="W14:AC14" si="45">D14/M14</f>
        <v>0.141165571837628</v>
      </c>
      <c r="X14" s="25">
        <f t="shared" si="45"/>
        <v>0.136698032506416</v>
      </c>
      <c r="Y14" s="25">
        <f t="shared" si="45"/>
        <v>0.141381165919283</v>
      </c>
      <c r="Z14" s="25">
        <f t="shared" si="45"/>
        <v>0.148502653525398</v>
      </c>
      <c r="AA14" s="25">
        <f t="shared" si="45"/>
        <v>0.153887749393996</v>
      </c>
      <c r="AB14" s="26">
        <f t="shared" si="45"/>
        <v>0.118615500376223</v>
      </c>
      <c r="AC14" s="26">
        <f t="shared" si="45"/>
        <v>0.139405730456314</v>
      </c>
      <c r="AD14" s="15"/>
      <c r="AE14" s="15"/>
      <c r="AF14" s="25">
        <f t="shared" ref="AF14:AJ14" si="46">W14</f>
        <v>0.141165571837628</v>
      </c>
      <c r="AG14" s="25">
        <f t="shared" si="46"/>
        <v>0.136698032506416</v>
      </c>
      <c r="AH14" s="25">
        <f t="shared" si="46"/>
        <v>0.141381165919283</v>
      </c>
      <c r="AI14" s="25">
        <f t="shared" si="46"/>
        <v>0.148502653525398</v>
      </c>
      <c r="AJ14" s="25">
        <f t="shared" si="46"/>
        <v>0.153887749393996</v>
      </c>
      <c r="AK14" s="27">
        <f t="shared" si="3"/>
        <v>0.136407825432656</v>
      </c>
      <c r="AL14" s="27">
        <f t="shared" si="4"/>
        <v>0.160316590024761</v>
      </c>
      <c r="AM14" s="15"/>
      <c r="AN14" s="15"/>
      <c r="AO14" s="25">
        <f t="shared" ref="AO14:AS14" si="47">W14</f>
        <v>0.141165571837628</v>
      </c>
      <c r="AP14" s="25">
        <f t="shared" si="47"/>
        <v>0.136698032506416</v>
      </c>
      <c r="AQ14" s="25">
        <f t="shared" si="47"/>
        <v>0.141381165919283</v>
      </c>
      <c r="AR14" s="25">
        <f t="shared" si="47"/>
        <v>0.148502653525398</v>
      </c>
      <c r="AS14" s="25">
        <f t="shared" si="47"/>
        <v>0.153887749393996</v>
      </c>
      <c r="AT14" s="27">
        <f t="shared" si="6"/>
        <v>0.100823175319789</v>
      </c>
      <c r="AU14" s="27">
        <f t="shared" si="7"/>
        <v>0.118494870887867</v>
      </c>
      <c r="AZ14" s="14" t="s">
        <v>11</v>
      </c>
      <c r="BA14" s="22" t="s">
        <v>334</v>
      </c>
      <c r="BB14" s="23">
        <v>870.5</v>
      </c>
      <c r="BC14" s="25">
        <v>838.1</v>
      </c>
      <c r="BD14" s="25">
        <v>799</v>
      </c>
      <c r="BE14" s="25">
        <v>788.2</v>
      </c>
      <c r="BF14" s="25">
        <v>783.5</v>
      </c>
      <c r="BG14" s="25">
        <v>825.3</v>
      </c>
      <c r="BH14" s="25">
        <v>788.2</v>
      </c>
      <c r="BI14" s="25">
        <v>788.2</v>
      </c>
      <c r="BJ14" s="15"/>
      <c r="BK14" s="15"/>
      <c r="BL14" s="28"/>
      <c r="BM14" s="28"/>
      <c r="BN14" s="28"/>
      <c r="BO14" s="28"/>
    </row>
    <row r="15" ht="15.5" spans="1:67">
      <c r="A15" s="14"/>
      <c r="B15" s="22" t="s">
        <v>335</v>
      </c>
      <c r="C15" s="23">
        <f t="shared" ref="C15:J15" si="48">BB15/1000</f>
        <v>0.8012</v>
      </c>
      <c r="D15" s="23">
        <f t="shared" si="48"/>
        <v>0.7738</v>
      </c>
      <c r="E15" s="23">
        <f t="shared" si="48"/>
        <v>0.7382</v>
      </c>
      <c r="F15" s="23">
        <f t="shared" si="48"/>
        <v>0.7285</v>
      </c>
      <c r="G15" s="23">
        <f t="shared" si="48"/>
        <v>0.7214</v>
      </c>
      <c r="H15" s="23">
        <f t="shared" si="48"/>
        <v>0.7613</v>
      </c>
      <c r="I15" s="23">
        <f t="shared" si="48"/>
        <v>0.7285</v>
      </c>
      <c r="J15" s="23">
        <f t="shared" si="48"/>
        <v>0.7285</v>
      </c>
      <c r="K15" s="15"/>
      <c r="L15" s="15"/>
      <c r="M15" s="28">
        <v>5.937</v>
      </c>
      <c r="N15" s="28">
        <v>5.845</v>
      </c>
      <c r="O15" s="28">
        <v>5.575</v>
      </c>
      <c r="P15" s="28">
        <v>5.276</v>
      </c>
      <c r="Q15" s="28">
        <v>5.363</v>
      </c>
      <c r="R15" s="28">
        <v>6.645</v>
      </c>
      <c r="S15" s="28">
        <v>5.654</v>
      </c>
      <c r="T15" s="28"/>
      <c r="U15" s="14"/>
      <c r="V15" s="22" t="s">
        <v>335</v>
      </c>
      <c r="W15" s="25">
        <f t="shared" ref="W15:AC15" si="49">D15/M15</f>
        <v>0.130335186120936</v>
      </c>
      <c r="X15" s="25">
        <f t="shared" si="49"/>
        <v>0.126295979469632</v>
      </c>
      <c r="Y15" s="25">
        <f t="shared" si="49"/>
        <v>0.13067264573991</v>
      </c>
      <c r="Z15" s="25">
        <f t="shared" si="49"/>
        <v>0.136732373009856</v>
      </c>
      <c r="AA15" s="25">
        <f t="shared" si="49"/>
        <v>0.141954130151035</v>
      </c>
      <c r="AB15" s="26">
        <f t="shared" si="49"/>
        <v>0.109631301730625</v>
      </c>
      <c r="AC15" s="26">
        <f t="shared" si="49"/>
        <v>0.128846834099752</v>
      </c>
      <c r="AD15" s="15"/>
      <c r="AE15" s="15"/>
      <c r="AF15" s="25">
        <f t="shared" ref="AF15:AJ15" si="50">W15</f>
        <v>0.130335186120936</v>
      </c>
      <c r="AG15" s="25">
        <f t="shared" si="50"/>
        <v>0.126295979469632</v>
      </c>
      <c r="AH15" s="25">
        <f t="shared" si="50"/>
        <v>0.13067264573991</v>
      </c>
      <c r="AI15" s="25">
        <f t="shared" si="50"/>
        <v>0.136732373009856</v>
      </c>
      <c r="AJ15" s="25">
        <f t="shared" si="50"/>
        <v>0.141954130151035</v>
      </c>
      <c r="AK15" s="27">
        <f t="shared" si="3"/>
        <v>0.126075996990218</v>
      </c>
      <c r="AL15" s="27">
        <f t="shared" si="4"/>
        <v>0.148173859214715</v>
      </c>
      <c r="AM15" s="15"/>
      <c r="AN15" s="15"/>
      <c r="AO15" s="25">
        <f t="shared" ref="AO15:AS15" si="51">W15</f>
        <v>0.130335186120936</v>
      </c>
      <c r="AP15" s="25">
        <f t="shared" si="51"/>
        <v>0.126295979469632</v>
      </c>
      <c r="AQ15" s="25">
        <f t="shared" si="51"/>
        <v>0.13067264573991</v>
      </c>
      <c r="AR15" s="25">
        <f t="shared" si="51"/>
        <v>0.136732373009856</v>
      </c>
      <c r="AS15" s="25">
        <f t="shared" si="51"/>
        <v>0.141954130151035</v>
      </c>
      <c r="AT15" s="27">
        <f t="shared" si="6"/>
        <v>0.0931866064710309</v>
      </c>
      <c r="AU15" s="27">
        <f t="shared" si="7"/>
        <v>0.10951980898479</v>
      </c>
      <c r="AZ15" s="14"/>
      <c r="BA15" s="22" t="s">
        <v>335</v>
      </c>
      <c r="BB15" s="23">
        <v>801.2</v>
      </c>
      <c r="BC15" s="25">
        <v>773.8</v>
      </c>
      <c r="BD15" s="25">
        <v>738.2</v>
      </c>
      <c r="BE15" s="25">
        <v>728.5</v>
      </c>
      <c r="BF15" s="25">
        <v>721.4</v>
      </c>
      <c r="BG15" s="25">
        <v>761.3</v>
      </c>
      <c r="BH15" s="25">
        <v>728.5</v>
      </c>
      <c r="BI15" s="25">
        <v>728.5</v>
      </c>
      <c r="BJ15" s="15"/>
      <c r="BK15" s="15"/>
      <c r="BL15" s="28"/>
      <c r="BM15" s="28"/>
      <c r="BN15" s="28"/>
      <c r="BO15" s="28"/>
    </row>
    <row r="16" ht="15.5" spans="1:67">
      <c r="A16" s="14"/>
      <c r="B16" s="22" t="s">
        <v>336</v>
      </c>
      <c r="C16" s="23">
        <f t="shared" ref="C16:J16" si="52">BB16/1000</f>
        <v>0.3021</v>
      </c>
      <c r="D16" s="23">
        <f t="shared" si="52"/>
        <v>0.2654</v>
      </c>
      <c r="E16" s="23">
        <f t="shared" si="52"/>
        <v>0.2502</v>
      </c>
      <c r="F16" s="23">
        <f t="shared" si="52"/>
        <v>0.246</v>
      </c>
      <c r="G16" s="23">
        <f t="shared" si="52"/>
        <v>0.2408</v>
      </c>
      <c r="H16" s="23">
        <f t="shared" si="52"/>
        <v>0.2506</v>
      </c>
      <c r="I16" s="23">
        <f t="shared" si="52"/>
        <v>0.246</v>
      </c>
      <c r="J16" s="23">
        <f t="shared" si="52"/>
        <v>0.246</v>
      </c>
      <c r="K16" s="15"/>
      <c r="L16" s="15"/>
      <c r="M16" s="28">
        <v>5.937</v>
      </c>
      <c r="N16" s="28">
        <v>5.845</v>
      </c>
      <c r="O16" s="28">
        <v>5.575</v>
      </c>
      <c r="P16" s="28">
        <v>5.276</v>
      </c>
      <c r="Q16" s="28">
        <v>5.363</v>
      </c>
      <c r="R16" s="28">
        <v>6.645</v>
      </c>
      <c r="S16" s="28">
        <v>5.654</v>
      </c>
      <c r="T16" s="28"/>
      <c r="U16" s="14"/>
      <c r="V16" s="22" t="s">
        <v>336</v>
      </c>
      <c r="W16" s="25">
        <f t="shared" ref="W16:AC16" si="53">D16/M16</f>
        <v>0.0447027118073101</v>
      </c>
      <c r="X16" s="25">
        <f t="shared" si="53"/>
        <v>0.0428058169375535</v>
      </c>
      <c r="Y16" s="25">
        <f t="shared" si="53"/>
        <v>0.0441255605381166</v>
      </c>
      <c r="Z16" s="25">
        <f t="shared" si="53"/>
        <v>0.0456406368460955</v>
      </c>
      <c r="AA16" s="25">
        <f t="shared" si="53"/>
        <v>0.0467275778482193</v>
      </c>
      <c r="AB16" s="26">
        <f t="shared" si="53"/>
        <v>0.037020316027088</v>
      </c>
      <c r="AC16" s="26">
        <f t="shared" si="53"/>
        <v>0.0435090201627167</v>
      </c>
      <c r="AD16" s="15"/>
      <c r="AE16" s="15"/>
      <c r="AF16" s="25">
        <f t="shared" ref="AF16:AJ16" si="54">W16</f>
        <v>0.0447027118073101</v>
      </c>
      <c r="AG16" s="25">
        <f t="shared" si="54"/>
        <v>0.0428058169375535</v>
      </c>
      <c r="AH16" s="25">
        <f t="shared" si="54"/>
        <v>0.0441255605381166</v>
      </c>
      <c r="AI16" s="25">
        <f t="shared" si="54"/>
        <v>0.0456406368460955</v>
      </c>
      <c r="AJ16" s="25">
        <f t="shared" si="54"/>
        <v>0.0467275778482193</v>
      </c>
      <c r="AK16" s="27">
        <f t="shared" si="3"/>
        <v>0.0425733634311512</v>
      </c>
      <c r="AL16" s="27">
        <f t="shared" si="4"/>
        <v>0.0500353731871242</v>
      </c>
      <c r="AM16" s="15"/>
      <c r="AN16" s="15"/>
      <c r="AO16" s="25">
        <f t="shared" ref="AO16:AS16" si="55">W16</f>
        <v>0.0447027118073101</v>
      </c>
      <c r="AP16" s="25">
        <f t="shared" si="55"/>
        <v>0.0428058169375535</v>
      </c>
      <c r="AQ16" s="25">
        <f t="shared" si="55"/>
        <v>0.0441255605381166</v>
      </c>
      <c r="AR16" s="25">
        <f t="shared" si="55"/>
        <v>0.0456406368460955</v>
      </c>
      <c r="AS16" s="25">
        <f t="shared" si="55"/>
        <v>0.0467275778482193</v>
      </c>
      <c r="AT16" s="27">
        <f t="shared" si="6"/>
        <v>0.0314672686230248</v>
      </c>
      <c r="AU16" s="27">
        <f t="shared" si="7"/>
        <v>0.0369826671383092</v>
      </c>
      <c r="AZ16" s="14"/>
      <c r="BA16" s="22" t="s">
        <v>336</v>
      </c>
      <c r="BB16" s="23">
        <v>302.1</v>
      </c>
      <c r="BC16" s="25">
        <v>265.4</v>
      </c>
      <c r="BD16" s="25">
        <v>250.2</v>
      </c>
      <c r="BE16" s="25">
        <v>246</v>
      </c>
      <c r="BF16" s="25">
        <v>240.8</v>
      </c>
      <c r="BG16" s="25">
        <v>250.6</v>
      </c>
      <c r="BH16" s="25">
        <v>246</v>
      </c>
      <c r="BI16" s="25">
        <v>246</v>
      </c>
      <c r="BJ16" s="15"/>
      <c r="BK16" s="15"/>
      <c r="BL16" s="28"/>
      <c r="BM16" s="28"/>
      <c r="BN16" s="28"/>
      <c r="BO16" s="28"/>
    </row>
    <row r="17" ht="15.5" spans="1:67">
      <c r="A17" s="14"/>
      <c r="B17" s="22" t="s">
        <v>337</v>
      </c>
      <c r="C17" s="23">
        <f t="shared" ref="C17:J17" si="56">BB17/1000</f>
        <v>0.4137</v>
      </c>
      <c r="D17" s="23">
        <f t="shared" si="56"/>
        <v>0.4304</v>
      </c>
      <c r="E17" s="23">
        <f t="shared" si="56"/>
        <v>0.4127</v>
      </c>
      <c r="F17" s="23">
        <f t="shared" si="56"/>
        <v>0.4081</v>
      </c>
      <c r="G17" s="23">
        <f t="shared" si="56"/>
        <v>0.4037</v>
      </c>
      <c r="H17" s="23">
        <f t="shared" si="56"/>
        <v>0.4311</v>
      </c>
      <c r="I17" s="23">
        <f t="shared" si="56"/>
        <v>0.4081</v>
      </c>
      <c r="J17" s="23">
        <f t="shared" si="56"/>
        <v>0.4081</v>
      </c>
      <c r="K17" s="15"/>
      <c r="L17" s="15"/>
      <c r="M17" s="28">
        <v>5.937</v>
      </c>
      <c r="N17" s="28">
        <v>5.845</v>
      </c>
      <c r="O17" s="28">
        <v>5.575</v>
      </c>
      <c r="P17" s="28">
        <v>5.276</v>
      </c>
      <c r="Q17" s="28">
        <v>5.363</v>
      </c>
      <c r="R17" s="28">
        <v>6.645</v>
      </c>
      <c r="S17" s="28">
        <v>5.654</v>
      </c>
      <c r="T17" s="28"/>
      <c r="U17" s="14"/>
      <c r="V17" s="22" t="s">
        <v>337</v>
      </c>
      <c r="W17" s="25">
        <f t="shared" ref="W17:AC17" si="57">D17/M17</f>
        <v>0.0724945258548088</v>
      </c>
      <c r="X17" s="25">
        <f t="shared" si="57"/>
        <v>0.0706073567151412</v>
      </c>
      <c r="Y17" s="25">
        <f t="shared" si="57"/>
        <v>0.0732017937219731</v>
      </c>
      <c r="Z17" s="25">
        <f t="shared" si="57"/>
        <v>0.076516300227445</v>
      </c>
      <c r="AA17" s="25">
        <f t="shared" si="57"/>
        <v>0.0803841133693828</v>
      </c>
      <c r="AB17" s="26">
        <f t="shared" si="57"/>
        <v>0.0614145974416855</v>
      </c>
      <c r="AC17" s="26">
        <f t="shared" si="57"/>
        <v>0.0721789883268483</v>
      </c>
      <c r="AD17" s="15"/>
      <c r="AE17" s="15"/>
      <c r="AF17" s="25">
        <f t="shared" ref="AF17:AJ17" si="58">W17</f>
        <v>0.0724945258548088</v>
      </c>
      <c r="AG17" s="25">
        <f t="shared" si="58"/>
        <v>0.0706073567151412</v>
      </c>
      <c r="AH17" s="25">
        <f t="shared" si="58"/>
        <v>0.0732017937219731</v>
      </c>
      <c r="AI17" s="25">
        <f t="shared" si="58"/>
        <v>0.076516300227445</v>
      </c>
      <c r="AJ17" s="25">
        <f t="shared" si="58"/>
        <v>0.0803841133693828</v>
      </c>
      <c r="AK17" s="27">
        <f t="shared" si="3"/>
        <v>0.0706267870579383</v>
      </c>
      <c r="AL17" s="27">
        <f t="shared" si="4"/>
        <v>0.0830058365758755</v>
      </c>
      <c r="AM17" s="15"/>
      <c r="AN17" s="15"/>
      <c r="AO17" s="25">
        <f t="shared" ref="AO17:AS17" si="59">W17</f>
        <v>0.0724945258548088</v>
      </c>
      <c r="AP17" s="25">
        <f t="shared" si="59"/>
        <v>0.0706073567151412</v>
      </c>
      <c r="AQ17" s="25">
        <f t="shared" si="59"/>
        <v>0.0732017937219731</v>
      </c>
      <c r="AR17" s="25">
        <f t="shared" si="59"/>
        <v>0.076516300227445</v>
      </c>
      <c r="AS17" s="25">
        <f t="shared" si="59"/>
        <v>0.0803841133693828</v>
      </c>
      <c r="AT17" s="27">
        <f t="shared" si="6"/>
        <v>0.0522024078254327</v>
      </c>
      <c r="AU17" s="27">
        <f t="shared" si="7"/>
        <v>0.061352140077821</v>
      </c>
      <c r="AZ17" s="14"/>
      <c r="BA17" s="22" t="s">
        <v>337</v>
      </c>
      <c r="BB17" s="23">
        <v>413.7</v>
      </c>
      <c r="BC17" s="25">
        <v>430.4</v>
      </c>
      <c r="BD17" s="25">
        <v>412.7</v>
      </c>
      <c r="BE17" s="25">
        <v>408.1</v>
      </c>
      <c r="BF17" s="25">
        <v>403.7</v>
      </c>
      <c r="BG17" s="25">
        <v>431.1</v>
      </c>
      <c r="BH17" s="25">
        <v>408.1</v>
      </c>
      <c r="BI17" s="25">
        <v>408.1</v>
      </c>
      <c r="BJ17" s="15"/>
      <c r="BK17" s="15"/>
      <c r="BL17" s="28"/>
      <c r="BM17" s="28"/>
      <c r="BN17" s="28"/>
      <c r="BO17" s="28"/>
    </row>
    <row r="18" ht="15.5" spans="1:67">
      <c r="A18" s="14"/>
      <c r="B18" s="22" t="s">
        <v>338</v>
      </c>
      <c r="C18" s="23">
        <f t="shared" ref="C18:J18" si="60">BB18/1000</f>
        <v>0.0853</v>
      </c>
      <c r="D18" s="23">
        <f t="shared" si="60"/>
        <v>0.0781</v>
      </c>
      <c r="E18" s="23">
        <f t="shared" si="60"/>
        <v>0.0752</v>
      </c>
      <c r="F18" s="23">
        <f t="shared" si="60"/>
        <v>0.0743</v>
      </c>
      <c r="G18" s="23">
        <f t="shared" si="60"/>
        <v>0.0768</v>
      </c>
      <c r="H18" s="23">
        <f t="shared" si="60"/>
        <v>0.0797</v>
      </c>
      <c r="I18" s="23">
        <f t="shared" si="60"/>
        <v>0.0743</v>
      </c>
      <c r="J18" s="23">
        <f t="shared" si="60"/>
        <v>0.0743</v>
      </c>
      <c r="K18" s="15"/>
      <c r="L18" s="15"/>
      <c r="M18" s="28">
        <v>5.937</v>
      </c>
      <c r="N18" s="28">
        <v>5.845</v>
      </c>
      <c r="O18" s="28">
        <v>5.575</v>
      </c>
      <c r="P18" s="28">
        <v>5.276</v>
      </c>
      <c r="Q18" s="28">
        <v>5.363</v>
      </c>
      <c r="R18" s="28">
        <v>6.645</v>
      </c>
      <c r="S18" s="28">
        <v>5.654</v>
      </c>
      <c r="T18" s="28"/>
      <c r="U18" s="14"/>
      <c r="V18" s="22" t="s">
        <v>338</v>
      </c>
      <c r="W18" s="25">
        <f t="shared" ref="W18:AC18" si="61">D18/M18</f>
        <v>0.0131547919824827</v>
      </c>
      <c r="X18" s="25">
        <f t="shared" si="61"/>
        <v>0.0128656971770744</v>
      </c>
      <c r="Y18" s="25">
        <f t="shared" si="61"/>
        <v>0.0133273542600897</v>
      </c>
      <c r="Z18" s="25">
        <f t="shared" si="61"/>
        <v>0.0145564821834723</v>
      </c>
      <c r="AA18" s="25">
        <f t="shared" si="61"/>
        <v>0.0148610852134999</v>
      </c>
      <c r="AB18" s="26">
        <f t="shared" si="61"/>
        <v>0.0111813393528969</v>
      </c>
      <c r="AC18" s="26">
        <f t="shared" si="61"/>
        <v>0.0131411390166254</v>
      </c>
      <c r="AD18" s="15"/>
      <c r="AE18" s="15"/>
      <c r="AF18" s="25">
        <f t="shared" ref="AF18:AJ18" si="62">W18</f>
        <v>0.0131547919824827</v>
      </c>
      <c r="AG18" s="25">
        <f t="shared" si="62"/>
        <v>0.0128656971770744</v>
      </c>
      <c r="AH18" s="25">
        <f t="shared" si="62"/>
        <v>0.0133273542600897</v>
      </c>
      <c r="AI18" s="25">
        <f t="shared" si="62"/>
        <v>0.0145564821834723</v>
      </c>
      <c r="AJ18" s="25">
        <f t="shared" si="62"/>
        <v>0.0148610852134999</v>
      </c>
      <c r="AK18" s="27">
        <f t="shared" si="3"/>
        <v>0.0128585402558315</v>
      </c>
      <c r="AL18" s="27">
        <f t="shared" si="4"/>
        <v>0.0151123098691192</v>
      </c>
      <c r="AM18" s="15"/>
      <c r="AN18" s="15"/>
      <c r="AO18" s="25">
        <f t="shared" ref="AO18:AS18" si="63">W18</f>
        <v>0.0131547919824827</v>
      </c>
      <c r="AP18" s="25">
        <f t="shared" si="63"/>
        <v>0.0128656971770744</v>
      </c>
      <c r="AQ18" s="25">
        <f t="shared" si="63"/>
        <v>0.0133273542600897</v>
      </c>
      <c r="AR18" s="25">
        <f t="shared" si="63"/>
        <v>0.0145564821834723</v>
      </c>
      <c r="AS18" s="25">
        <f t="shared" si="63"/>
        <v>0.0148610852134999</v>
      </c>
      <c r="AT18" s="27">
        <f t="shared" si="6"/>
        <v>0.00950413844996238</v>
      </c>
      <c r="AU18" s="27">
        <f t="shared" si="7"/>
        <v>0.0111699681641316</v>
      </c>
      <c r="AZ18" s="14"/>
      <c r="BA18" s="22" t="s">
        <v>338</v>
      </c>
      <c r="BB18" s="23">
        <v>85.3</v>
      </c>
      <c r="BC18" s="25">
        <v>78.1</v>
      </c>
      <c r="BD18" s="25">
        <v>75.2</v>
      </c>
      <c r="BE18" s="25">
        <v>74.3</v>
      </c>
      <c r="BF18" s="25">
        <v>76.8</v>
      </c>
      <c r="BG18" s="25">
        <v>79.7</v>
      </c>
      <c r="BH18" s="25">
        <v>74.3</v>
      </c>
      <c r="BI18" s="25">
        <v>74.3</v>
      </c>
      <c r="BJ18" s="15"/>
      <c r="BK18" s="15"/>
      <c r="BL18" s="28"/>
      <c r="BM18" s="28"/>
      <c r="BN18" s="28"/>
      <c r="BO18" s="28"/>
    </row>
    <row r="19" ht="15.5" spans="1:67">
      <c r="A19" s="15"/>
      <c r="B19" s="15"/>
      <c r="C19" s="18"/>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Z19" s="15"/>
      <c r="BA19" s="15"/>
      <c r="BB19" s="18"/>
      <c r="BC19" s="15"/>
      <c r="BD19" s="15"/>
      <c r="BE19" s="15"/>
      <c r="BF19" s="15"/>
      <c r="BG19" s="15"/>
      <c r="BH19" s="15"/>
      <c r="BI19" s="15"/>
      <c r="BJ19" s="15"/>
      <c r="BK19" s="15"/>
      <c r="BL19" s="15"/>
      <c r="BM19" s="15"/>
      <c r="BN19" s="15"/>
      <c r="BO19" s="15"/>
    </row>
    <row r="20" ht="15.5" spans="1:67">
      <c r="A20" s="15"/>
      <c r="B20" s="15"/>
      <c r="C20" s="18"/>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Z20" s="15"/>
      <c r="BA20" s="15"/>
      <c r="BB20" s="18"/>
      <c r="BC20" s="15"/>
      <c r="BD20" s="15"/>
      <c r="BE20" s="15"/>
      <c r="BF20" s="15"/>
      <c r="BG20" s="15"/>
      <c r="BH20" s="15"/>
      <c r="BI20" s="15"/>
      <c r="BJ20" s="15"/>
      <c r="BK20" s="15"/>
      <c r="BL20" s="15"/>
      <c r="BM20" s="15"/>
      <c r="BN20" s="15"/>
      <c r="BO20" s="15"/>
    </row>
    <row r="21" ht="15.5" spans="1:67">
      <c r="A21" s="14" t="s">
        <v>352</v>
      </c>
      <c r="B21" s="14"/>
      <c r="C21" s="14"/>
      <c r="D21" s="14"/>
      <c r="E21" s="14"/>
      <c r="F21" s="14"/>
      <c r="G21" s="14"/>
      <c r="H21" s="14"/>
      <c r="I21" s="14"/>
      <c r="J21" s="14"/>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Z21" s="14" t="s">
        <v>352</v>
      </c>
      <c r="BA21" s="14"/>
      <c r="BB21" s="14"/>
      <c r="BC21" s="14"/>
      <c r="BD21" s="14"/>
      <c r="BE21" s="14"/>
      <c r="BF21" s="14"/>
      <c r="BG21" s="14"/>
      <c r="BH21" s="14"/>
      <c r="BI21" s="14"/>
      <c r="BJ21" s="15"/>
      <c r="BK21" s="15"/>
      <c r="BL21" s="15"/>
      <c r="BM21" s="15"/>
      <c r="BN21" s="15"/>
      <c r="BO21" s="15"/>
    </row>
    <row r="22" ht="15.5" spans="1:67">
      <c r="A22" s="14" t="s">
        <v>322</v>
      </c>
      <c r="B22" s="14" t="s">
        <v>353</v>
      </c>
      <c r="C22" s="14" t="s">
        <v>324</v>
      </c>
      <c r="D22" s="14"/>
      <c r="E22" s="14"/>
      <c r="F22" s="14"/>
      <c r="G22" s="14"/>
      <c r="H22" s="14"/>
      <c r="I22" s="14"/>
      <c r="J22" s="14"/>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Z22" s="14" t="s">
        <v>322</v>
      </c>
      <c r="BA22" s="14" t="s">
        <v>353</v>
      </c>
      <c r="BB22" s="14" t="s">
        <v>324</v>
      </c>
      <c r="BC22" s="14"/>
      <c r="BD22" s="14"/>
      <c r="BE22" s="14"/>
      <c r="BF22" s="14"/>
      <c r="BG22" s="14"/>
      <c r="BH22" s="14"/>
      <c r="BI22" s="14"/>
      <c r="BJ22" s="15"/>
      <c r="BK22" s="15"/>
      <c r="BL22" s="15"/>
      <c r="BM22" s="15"/>
      <c r="BN22" s="15"/>
      <c r="BO22" s="15"/>
    </row>
    <row r="23" ht="30" spans="1:67">
      <c r="A23" s="14"/>
      <c r="B23" s="14"/>
      <c r="C23" s="18" t="s">
        <v>325</v>
      </c>
      <c r="D23" s="15" t="s">
        <v>326</v>
      </c>
      <c r="E23" s="15" t="s">
        <v>327</v>
      </c>
      <c r="F23" s="19" t="s">
        <v>328</v>
      </c>
      <c r="G23" s="15" t="s">
        <v>329</v>
      </c>
      <c r="H23" s="15" t="s">
        <v>330</v>
      </c>
      <c r="I23" s="15" t="s">
        <v>331</v>
      </c>
      <c r="J23" s="15" t="s">
        <v>332</v>
      </c>
      <c r="K23" s="15"/>
      <c r="L23" s="15"/>
      <c r="M23" s="15" t="s">
        <v>326</v>
      </c>
      <c r="N23" s="15" t="s">
        <v>327</v>
      </c>
      <c r="O23" s="15" t="s">
        <v>328</v>
      </c>
      <c r="P23" s="15" t="s">
        <v>329</v>
      </c>
      <c r="Q23" s="15" t="s">
        <v>330</v>
      </c>
      <c r="R23" s="15" t="s">
        <v>331</v>
      </c>
      <c r="S23" s="15" t="s">
        <v>332</v>
      </c>
      <c r="T23" s="15"/>
      <c r="U23" s="15"/>
      <c r="V23" s="17" t="s">
        <v>351</v>
      </c>
      <c r="W23" s="15" t="s">
        <v>326</v>
      </c>
      <c r="X23" s="15" t="s">
        <v>327</v>
      </c>
      <c r="Y23" s="19" t="s">
        <v>328</v>
      </c>
      <c r="Z23" s="15" t="s">
        <v>329</v>
      </c>
      <c r="AA23" s="15" t="s">
        <v>330</v>
      </c>
      <c r="AB23" s="21" t="s">
        <v>331</v>
      </c>
      <c r="AC23" s="21" t="s">
        <v>332</v>
      </c>
      <c r="AD23" s="15"/>
      <c r="AE23" s="15"/>
      <c r="AF23" s="15" t="s">
        <v>326</v>
      </c>
      <c r="AG23" s="15" t="s">
        <v>327</v>
      </c>
      <c r="AH23" s="19" t="s">
        <v>328</v>
      </c>
      <c r="AI23" s="15" t="s">
        <v>329</v>
      </c>
      <c r="AJ23" s="15" t="s">
        <v>330</v>
      </c>
      <c r="AK23" s="21" t="s">
        <v>331</v>
      </c>
      <c r="AL23" s="21" t="s">
        <v>332</v>
      </c>
      <c r="AM23" s="15"/>
      <c r="AN23" s="15"/>
      <c r="AO23" s="15" t="s">
        <v>326</v>
      </c>
      <c r="AP23" s="15" t="s">
        <v>327</v>
      </c>
      <c r="AQ23" s="19" t="s">
        <v>328</v>
      </c>
      <c r="AR23" s="15" t="s">
        <v>329</v>
      </c>
      <c r="AS23" s="15" t="s">
        <v>330</v>
      </c>
      <c r="AT23" s="21" t="s">
        <v>331</v>
      </c>
      <c r="AU23" s="21" t="s">
        <v>332</v>
      </c>
      <c r="AZ23" s="14"/>
      <c r="BA23" s="14"/>
      <c r="BB23" s="18" t="s">
        <v>325</v>
      </c>
      <c r="BC23" s="15" t="s">
        <v>326</v>
      </c>
      <c r="BD23" s="15" t="s">
        <v>327</v>
      </c>
      <c r="BE23" s="19" t="s">
        <v>328</v>
      </c>
      <c r="BF23" s="15" t="s">
        <v>329</v>
      </c>
      <c r="BG23" s="15" t="s">
        <v>330</v>
      </c>
      <c r="BH23" s="15" t="s">
        <v>331</v>
      </c>
      <c r="BI23" s="15" t="s">
        <v>332</v>
      </c>
      <c r="BJ23" s="15"/>
      <c r="BK23" s="15"/>
      <c r="BL23" s="15"/>
      <c r="BM23" s="15"/>
      <c r="BN23" s="15"/>
      <c r="BO23" s="15"/>
    </row>
    <row r="24" ht="15.5" spans="1:67">
      <c r="A24" s="14" t="s">
        <v>333</v>
      </c>
      <c r="B24" s="22" t="s">
        <v>334</v>
      </c>
      <c r="C24" s="23">
        <f t="shared" ref="C24:J24" si="64">BB24/1000</f>
        <v>0.8898</v>
      </c>
      <c r="D24" s="23">
        <f t="shared" si="64"/>
        <v>0.8432</v>
      </c>
      <c r="E24" s="23">
        <f t="shared" si="64"/>
        <v>0.8038</v>
      </c>
      <c r="F24" s="23">
        <f t="shared" si="64"/>
        <v>0.7946</v>
      </c>
      <c r="G24" s="23">
        <f t="shared" si="64"/>
        <v>0.7665</v>
      </c>
      <c r="H24" s="23">
        <f t="shared" si="64"/>
        <v>0.8066</v>
      </c>
      <c r="I24" s="23">
        <f t="shared" si="64"/>
        <v>0.7946</v>
      </c>
      <c r="J24" s="23">
        <f t="shared" si="64"/>
        <v>0.7946</v>
      </c>
      <c r="K24" s="15"/>
      <c r="L24" s="15"/>
      <c r="M24" s="24">
        <v>5.937</v>
      </c>
      <c r="N24" s="24">
        <v>5.845</v>
      </c>
      <c r="O24" s="24">
        <v>5.575</v>
      </c>
      <c r="P24" s="24">
        <v>5.276</v>
      </c>
      <c r="Q24" s="24">
        <v>5.363</v>
      </c>
      <c r="R24" s="24">
        <v>6.645</v>
      </c>
      <c r="S24" s="24">
        <v>5.654</v>
      </c>
      <c r="T24" s="24"/>
      <c r="U24" s="14" t="s">
        <v>333</v>
      </c>
      <c r="V24" s="22" t="s">
        <v>334</v>
      </c>
      <c r="W24" s="25">
        <f t="shared" ref="W24:AC24" si="65">D24/M24</f>
        <v>0.142024591544551</v>
      </c>
      <c r="X24" s="25">
        <f t="shared" si="65"/>
        <v>0.137519247219846</v>
      </c>
      <c r="Y24" s="25">
        <f t="shared" si="65"/>
        <v>0.142529147982063</v>
      </c>
      <c r="Z24" s="25">
        <f t="shared" si="65"/>
        <v>0.145280515542077</v>
      </c>
      <c r="AA24" s="25">
        <f t="shared" si="65"/>
        <v>0.150400895021443</v>
      </c>
      <c r="AB24" s="26">
        <f t="shared" si="65"/>
        <v>0.119578630549285</v>
      </c>
      <c r="AC24" s="26">
        <f t="shared" si="65"/>
        <v>0.140537672444287</v>
      </c>
      <c r="AD24" s="15"/>
      <c r="AE24" s="15"/>
      <c r="AF24" s="25">
        <f t="shared" ref="AF24:AJ24" si="66">W24</f>
        <v>0.142024591544551</v>
      </c>
      <c r="AG24" s="25">
        <f t="shared" si="66"/>
        <v>0.137519247219846</v>
      </c>
      <c r="AH24" s="25">
        <f t="shared" si="66"/>
        <v>0.142529147982063</v>
      </c>
      <c r="AI24" s="25">
        <f t="shared" si="66"/>
        <v>0.145280515542077</v>
      </c>
      <c r="AJ24" s="25">
        <f t="shared" si="66"/>
        <v>0.150400895021443</v>
      </c>
      <c r="AK24" s="27">
        <f t="shared" ref="AK24:AK38" si="67">AB24*1.15</f>
        <v>0.137515425131678</v>
      </c>
      <c r="AL24" s="27">
        <f t="shared" ref="AL24:AL38" si="68">AC24*1.15</f>
        <v>0.16161832331093</v>
      </c>
      <c r="AM24" s="15"/>
      <c r="AN24" s="15"/>
      <c r="AO24" s="25">
        <f t="shared" ref="AO24:AS24" si="69">W24</f>
        <v>0.142024591544551</v>
      </c>
      <c r="AP24" s="25">
        <f t="shared" si="69"/>
        <v>0.137519247219846</v>
      </c>
      <c r="AQ24" s="25">
        <f t="shared" si="69"/>
        <v>0.142529147982063</v>
      </c>
      <c r="AR24" s="25">
        <f t="shared" si="69"/>
        <v>0.145280515542077</v>
      </c>
      <c r="AS24" s="25">
        <f t="shared" si="69"/>
        <v>0.150400895021443</v>
      </c>
      <c r="AT24" s="27">
        <f t="shared" ref="AT24:AT38" si="70">AB24*0.85</f>
        <v>0.101641835966892</v>
      </c>
      <c r="AU24" s="27">
        <f t="shared" ref="AU24:AU38" si="71">AC24*0.85</f>
        <v>0.119457021577644</v>
      </c>
      <c r="AZ24" s="14" t="s">
        <v>333</v>
      </c>
      <c r="BA24" s="22" t="s">
        <v>334</v>
      </c>
      <c r="BB24" s="23">
        <v>889.8</v>
      </c>
      <c r="BC24" s="25">
        <v>843.2</v>
      </c>
      <c r="BD24" s="25">
        <v>803.8</v>
      </c>
      <c r="BE24" s="25">
        <v>794.6</v>
      </c>
      <c r="BF24" s="25">
        <v>766.5</v>
      </c>
      <c r="BG24" s="25">
        <v>806.6</v>
      </c>
      <c r="BH24" s="25">
        <v>794.6</v>
      </c>
      <c r="BI24" s="25">
        <v>794.6</v>
      </c>
      <c r="BJ24" s="15"/>
      <c r="BK24" s="15"/>
      <c r="BL24" s="24"/>
      <c r="BM24" s="24"/>
      <c r="BN24" s="24"/>
      <c r="BO24" s="24"/>
    </row>
    <row r="25" ht="15.5" spans="1:67">
      <c r="A25" s="14"/>
      <c r="B25" s="22" t="s">
        <v>335</v>
      </c>
      <c r="C25" s="23">
        <f t="shared" ref="C25:J25" si="72">BB25/1000</f>
        <v>0.8124</v>
      </c>
      <c r="D25" s="23">
        <f t="shared" si="72"/>
        <v>0.7746</v>
      </c>
      <c r="E25" s="23">
        <f t="shared" si="72"/>
        <v>0.739</v>
      </c>
      <c r="F25" s="23">
        <f t="shared" si="72"/>
        <v>0.7307</v>
      </c>
      <c r="G25" s="23">
        <f t="shared" si="72"/>
        <v>0.7045</v>
      </c>
      <c r="H25" s="23">
        <f t="shared" si="72"/>
        <v>0.7424</v>
      </c>
      <c r="I25" s="23">
        <f t="shared" si="72"/>
        <v>0.7307</v>
      </c>
      <c r="J25" s="23">
        <f t="shared" si="72"/>
        <v>0.7307</v>
      </c>
      <c r="K25" s="15"/>
      <c r="L25" s="15"/>
      <c r="M25" s="28">
        <v>5.937</v>
      </c>
      <c r="N25" s="28">
        <v>5.845</v>
      </c>
      <c r="O25" s="28">
        <v>5.575</v>
      </c>
      <c r="P25" s="28">
        <v>5.276</v>
      </c>
      <c r="Q25" s="28">
        <v>5.363</v>
      </c>
      <c r="R25" s="28">
        <v>6.645</v>
      </c>
      <c r="S25" s="28">
        <v>5.654</v>
      </c>
      <c r="T25" s="28"/>
      <c r="U25" s="14"/>
      <c r="V25" s="22" t="s">
        <v>335</v>
      </c>
      <c r="W25" s="25">
        <f t="shared" ref="W25:AC25" si="73">D25/M25</f>
        <v>0.130469934310258</v>
      </c>
      <c r="X25" s="25">
        <f t="shared" si="73"/>
        <v>0.126432848588537</v>
      </c>
      <c r="Y25" s="25">
        <f t="shared" si="73"/>
        <v>0.131067264573991</v>
      </c>
      <c r="Z25" s="25">
        <f t="shared" si="73"/>
        <v>0.133529188779378</v>
      </c>
      <c r="AA25" s="25">
        <f t="shared" si="73"/>
        <v>0.138429983218348</v>
      </c>
      <c r="AB25" s="26">
        <f t="shared" si="73"/>
        <v>0.109962377727615</v>
      </c>
      <c r="AC25" s="26">
        <f t="shared" si="73"/>
        <v>0.129235939158118</v>
      </c>
      <c r="AD25" s="15"/>
      <c r="AE25" s="15"/>
      <c r="AF25" s="25">
        <f t="shared" ref="AF25:AJ25" si="74">W25</f>
        <v>0.130469934310258</v>
      </c>
      <c r="AG25" s="25">
        <f t="shared" si="74"/>
        <v>0.126432848588537</v>
      </c>
      <c r="AH25" s="25">
        <f t="shared" si="74"/>
        <v>0.131067264573991</v>
      </c>
      <c r="AI25" s="25">
        <f t="shared" si="74"/>
        <v>0.133529188779378</v>
      </c>
      <c r="AJ25" s="25">
        <f t="shared" si="74"/>
        <v>0.138429983218348</v>
      </c>
      <c r="AK25" s="27">
        <f t="shared" si="67"/>
        <v>0.126456734386757</v>
      </c>
      <c r="AL25" s="27">
        <f t="shared" si="68"/>
        <v>0.148621330031836</v>
      </c>
      <c r="AM25" s="15"/>
      <c r="AN25" s="15"/>
      <c r="AO25" s="25">
        <f t="shared" ref="AO25:AS25" si="75">W25</f>
        <v>0.130469934310258</v>
      </c>
      <c r="AP25" s="25">
        <f t="shared" si="75"/>
        <v>0.126432848588537</v>
      </c>
      <c r="AQ25" s="25">
        <f t="shared" si="75"/>
        <v>0.131067264573991</v>
      </c>
      <c r="AR25" s="25">
        <f t="shared" si="75"/>
        <v>0.133529188779378</v>
      </c>
      <c r="AS25" s="25">
        <f t="shared" si="75"/>
        <v>0.138429983218348</v>
      </c>
      <c r="AT25" s="27">
        <f t="shared" si="70"/>
        <v>0.0934680210684725</v>
      </c>
      <c r="AU25" s="27">
        <f t="shared" si="71"/>
        <v>0.1098505482844</v>
      </c>
      <c r="AZ25" s="14"/>
      <c r="BA25" s="22" t="s">
        <v>335</v>
      </c>
      <c r="BB25" s="23">
        <v>812.4</v>
      </c>
      <c r="BC25" s="25">
        <v>774.6</v>
      </c>
      <c r="BD25" s="25">
        <v>739</v>
      </c>
      <c r="BE25" s="25">
        <v>730.7</v>
      </c>
      <c r="BF25" s="25">
        <v>704.5</v>
      </c>
      <c r="BG25" s="25">
        <v>742.4</v>
      </c>
      <c r="BH25" s="25">
        <v>730.7</v>
      </c>
      <c r="BI25" s="25">
        <v>730.7</v>
      </c>
      <c r="BJ25" s="15"/>
      <c r="BK25" s="15"/>
      <c r="BL25" s="28"/>
      <c r="BM25" s="28"/>
      <c r="BN25" s="28"/>
      <c r="BO25" s="28"/>
    </row>
    <row r="26" ht="15.5" spans="1:67">
      <c r="A26" s="14"/>
      <c r="B26" s="22" t="s">
        <v>336</v>
      </c>
      <c r="C26" s="23">
        <f t="shared" ref="C26:J26" si="76">BB26/1000</f>
        <v>0.1699</v>
      </c>
      <c r="D26" s="23">
        <f t="shared" si="76"/>
        <v>0.1497</v>
      </c>
      <c r="E26" s="23">
        <f t="shared" si="76"/>
        <v>0.1418</v>
      </c>
      <c r="F26" s="23">
        <f t="shared" si="76"/>
        <v>0.1399</v>
      </c>
      <c r="G26" s="23">
        <f t="shared" si="76"/>
        <v>0.1359</v>
      </c>
      <c r="H26" s="23">
        <f t="shared" si="76"/>
        <v>0.1408</v>
      </c>
      <c r="I26" s="23">
        <f t="shared" si="76"/>
        <v>0.1399</v>
      </c>
      <c r="J26" s="23">
        <f t="shared" si="76"/>
        <v>0.1399</v>
      </c>
      <c r="K26" s="15"/>
      <c r="L26" s="15"/>
      <c r="M26" s="28">
        <v>5.937</v>
      </c>
      <c r="N26" s="28">
        <v>5.845</v>
      </c>
      <c r="O26" s="28">
        <v>5.575</v>
      </c>
      <c r="P26" s="28">
        <v>5.276</v>
      </c>
      <c r="Q26" s="28">
        <v>5.363</v>
      </c>
      <c r="R26" s="28">
        <v>6.645</v>
      </c>
      <c r="S26" s="28">
        <v>5.654</v>
      </c>
      <c r="T26" s="28"/>
      <c r="U26" s="14"/>
      <c r="V26" s="22" t="s">
        <v>336</v>
      </c>
      <c r="W26" s="25">
        <f t="shared" ref="W26:AC26" si="77">D26/M26</f>
        <v>0.0252147549267307</v>
      </c>
      <c r="X26" s="25">
        <f t="shared" si="77"/>
        <v>0.0242600513259196</v>
      </c>
      <c r="Y26" s="25">
        <f t="shared" si="77"/>
        <v>0.0250941704035874</v>
      </c>
      <c r="Z26" s="25">
        <f t="shared" si="77"/>
        <v>0.0257581501137225</v>
      </c>
      <c r="AA26" s="25">
        <f t="shared" si="77"/>
        <v>0.0262539623345143</v>
      </c>
      <c r="AB26" s="26">
        <f t="shared" si="77"/>
        <v>0.0210534236267871</v>
      </c>
      <c r="AC26" s="26">
        <f t="shared" si="77"/>
        <v>0.0247435443933498</v>
      </c>
      <c r="AD26" s="15"/>
      <c r="AE26" s="15"/>
      <c r="AF26" s="25">
        <f t="shared" ref="AF26:AJ26" si="78">W26</f>
        <v>0.0252147549267307</v>
      </c>
      <c r="AG26" s="25">
        <f t="shared" si="78"/>
        <v>0.0242600513259196</v>
      </c>
      <c r="AH26" s="25">
        <f t="shared" si="78"/>
        <v>0.0250941704035874</v>
      </c>
      <c r="AI26" s="25">
        <f t="shared" si="78"/>
        <v>0.0257581501137225</v>
      </c>
      <c r="AJ26" s="25">
        <f t="shared" si="78"/>
        <v>0.0262539623345143</v>
      </c>
      <c r="AK26" s="27">
        <f t="shared" si="67"/>
        <v>0.0242114371708051</v>
      </c>
      <c r="AL26" s="27">
        <f t="shared" si="68"/>
        <v>0.0284550760523523</v>
      </c>
      <c r="AM26" s="15"/>
      <c r="AN26" s="15"/>
      <c r="AO26" s="25">
        <f t="shared" ref="AO26:AS26" si="79">W26</f>
        <v>0.0252147549267307</v>
      </c>
      <c r="AP26" s="25">
        <f t="shared" si="79"/>
        <v>0.0242600513259196</v>
      </c>
      <c r="AQ26" s="25">
        <f t="shared" si="79"/>
        <v>0.0250941704035874</v>
      </c>
      <c r="AR26" s="25">
        <f t="shared" si="79"/>
        <v>0.0257581501137225</v>
      </c>
      <c r="AS26" s="25">
        <f t="shared" si="79"/>
        <v>0.0262539623345143</v>
      </c>
      <c r="AT26" s="27">
        <f t="shared" si="70"/>
        <v>0.017895410082769</v>
      </c>
      <c r="AU26" s="27">
        <f t="shared" si="71"/>
        <v>0.0210320127343474</v>
      </c>
      <c r="AZ26" s="14"/>
      <c r="BA26" s="22" t="s">
        <v>336</v>
      </c>
      <c r="BB26" s="23">
        <v>169.9</v>
      </c>
      <c r="BC26" s="25">
        <v>149.7</v>
      </c>
      <c r="BD26" s="25">
        <v>141.8</v>
      </c>
      <c r="BE26" s="25">
        <v>139.9</v>
      </c>
      <c r="BF26" s="25">
        <v>135.9</v>
      </c>
      <c r="BG26" s="25">
        <v>140.8</v>
      </c>
      <c r="BH26" s="25">
        <v>139.9</v>
      </c>
      <c r="BI26" s="25">
        <v>139.9</v>
      </c>
      <c r="BJ26" s="15"/>
      <c r="BK26" s="15"/>
      <c r="BL26" s="28"/>
      <c r="BM26" s="28"/>
      <c r="BN26" s="28"/>
      <c r="BO26" s="28"/>
    </row>
    <row r="27" ht="15.5" spans="1:67">
      <c r="A27" s="14"/>
      <c r="B27" s="22" t="s">
        <v>337</v>
      </c>
      <c r="C27" s="23">
        <f t="shared" ref="C27:J27" si="80">BB27/1000</f>
        <v>0.5978</v>
      </c>
      <c r="D27" s="23">
        <f t="shared" si="80"/>
        <v>0.5807</v>
      </c>
      <c r="E27" s="23">
        <f t="shared" si="80"/>
        <v>0.554</v>
      </c>
      <c r="F27" s="23">
        <f t="shared" si="80"/>
        <v>0.5478</v>
      </c>
      <c r="G27" s="23">
        <f t="shared" si="80"/>
        <v>0.526</v>
      </c>
      <c r="H27" s="23">
        <f t="shared" si="80"/>
        <v>0.5575</v>
      </c>
      <c r="I27" s="23">
        <f t="shared" si="80"/>
        <v>0.5478</v>
      </c>
      <c r="J27" s="23">
        <f t="shared" si="80"/>
        <v>0.5478</v>
      </c>
      <c r="K27" s="15"/>
      <c r="L27" s="15"/>
      <c r="M27" s="28">
        <v>5.937</v>
      </c>
      <c r="N27" s="28">
        <v>5.845</v>
      </c>
      <c r="O27" s="28">
        <v>5.575</v>
      </c>
      <c r="P27" s="28">
        <v>5.276</v>
      </c>
      <c r="Q27" s="28">
        <v>5.363</v>
      </c>
      <c r="R27" s="28">
        <v>6.645</v>
      </c>
      <c r="S27" s="28">
        <v>5.654</v>
      </c>
      <c r="T27" s="28"/>
      <c r="U27" s="14"/>
      <c r="V27" s="22" t="s">
        <v>337</v>
      </c>
      <c r="W27" s="25">
        <f t="shared" ref="W27:AC27" si="81">D27/M27</f>
        <v>0.0978103419235304</v>
      </c>
      <c r="X27" s="25">
        <f t="shared" si="81"/>
        <v>0.0947818648417451</v>
      </c>
      <c r="Y27" s="25">
        <f t="shared" si="81"/>
        <v>0.0982600896860986</v>
      </c>
      <c r="Z27" s="25">
        <f t="shared" si="81"/>
        <v>0.099696739954511</v>
      </c>
      <c r="AA27" s="25">
        <f t="shared" si="81"/>
        <v>0.103953011374231</v>
      </c>
      <c r="AB27" s="26">
        <f t="shared" si="81"/>
        <v>0.0824379232505643</v>
      </c>
      <c r="AC27" s="26">
        <f t="shared" si="81"/>
        <v>0.0968871595330739</v>
      </c>
      <c r="AD27" s="15"/>
      <c r="AE27" s="15"/>
      <c r="AF27" s="25">
        <f t="shared" ref="AF27:AJ27" si="82">W27</f>
        <v>0.0978103419235304</v>
      </c>
      <c r="AG27" s="25">
        <f t="shared" si="82"/>
        <v>0.0947818648417451</v>
      </c>
      <c r="AH27" s="25">
        <f t="shared" si="82"/>
        <v>0.0982600896860986</v>
      </c>
      <c r="AI27" s="25">
        <f t="shared" si="82"/>
        <v>0.099696739954511</v>
      </c>
      <c r="AJ27" s="25">
        <f t="shared" si="82"/>
        <v>0.103953011374231</v>
      </c>
      <c r="AK27" s="27">
        <f t="shared" si="67"/>
        <v>0.094803611738149</v>
      </c>
      <c r="AL27" s="27">
        <f t="shared" si="68"/>
        <v>0.111420233463035</v>
      </c>
      <c r="AM27" s="15"/>
      <c r="AN27" s="15"/>
      <c r="AO27" s="25">
        <f t="shared" ref="AO27:AS27" si="83">W27</f>
        <v>0.0978103419235304</v>
      </c>
      <c r="AP27" s="25">
        <f t="shared" si="83"/>
        <v>0.0947818648417451</v>
      </c>
      <c r="AQ27" s="25">
        <f t="shared" si="83"/>
        <v>0.0982600896860986</v>
      </c>
      <c r="AR27" s="25">
        <f t="shared" si="83"/>
        <v>0.099696739954511</v>
      </c>
      <c r="AS27" s="25">
        <f t="shared" si="83"/>
        <v>0.103953011374231</v>
      </c>
      <c r="AT27" s="27">
        <f t="shared" si="70"/>
        <v>0.0700722347629797</v>
      </c>
      <c r="AU27" s="27">
        <f t="shared" si="71"/>
        <v>0.0823540856031128</v>
      </c>
      <c r="AZ27" s="14"/>
      <c r="BA27" s="22" t="s">
        <v>337</v>
      </c>
      <c r="BB27" s="23">
        <v>597.8</v>
      </c>
      <c r="BC27" s="25">
        <v>580.7</v>
      </c>
      <c r="BD27" s="25">
        <v>554</v>
      </c>
      <c r="BE27" s="25">
        <v>547.8</v>
      </c>
      <c r="BF27" s="25">
        <v>526</v>
      </c>
      <c r="BG27" s="25">
        <v>557.5</v>
      </c>
      <c r="BH27" s="25">
        <v>547.8</v>
      </c>
      <c r="BI27" s="25">
        <v>547.8</v>
      </c>
      <c r="BJ27" s="15"/>
      <c r="BK27" s="15"/>
      <c r="BL27" s="28"/>
      <c r="BM27" s="28"/>
      <c r="BN27" s="28"/>
      <c r="BO27" s="28"/>
    </row>
    <row r="28" ht="15.5" spans="1:67">
      <c r="A28" s="14"/>
      <c r="B28" s="22" t="s">
        <v>338</v>
      </c>
      <c r="C28" s="23">
        <f t="shared" ref="C28:J28" si="84">BB28/1000</f>
        <v>0.085</v>
      </c>
      <c r="D28" s="23">
        <f t="shared" si="84"/>
        <v>0.0786</v>
      </c>
      <c r="E28" s="23">
        <f t="shared" si="84"/>
        <v>0.0763</v>
      </c>
      <c r="F28" s="23">
        <f t="shared" si="84"/>
        <v>0.0759</v>
      </c>
      <c r="G28" s="23">
        <f t="shared" si="84"/>
        <v>0.0737</v>
      </c>
      <c r="H28" s="23">
        <f t="shared" si="84"/>
        <v>0.076</v>
      </c>
      <c r="I28" s="23">
        <f t="shared" si="84"/>
        <v>0.0759</v>
      </c>
      <c r="J28" s="23">
        <f t="shared" si="84"/>
        <v>0.0759</v>
      </c>
      <c r="K28" s="15"/>
      <c r="L28" s="15"/>
      <c r="M28" s="28">
        <v>5.937</v>
      </c>
      <c r="N28" s="28">
        <v>5.845</v>
      </c>
      <c r="O28" s="28">
        <v>5.575</v>
      </c>
      <c r="P28" s="28">
        <v>5.276</v>
      </c>
      <c r="Q28" s="28">
        <v>5.363</v>
      </c>
      <c r="R28" s="28">
        <v>6.645</v>
      </c>
      <c r="S28" s="28">
        <v>5.654</v>
      </c>
      <c r="T28" s="28"/>
      <c r="U28" s="14"/>
      <c r="V28" s="22" t="s">
        <v>338</v>
      </c>
      <c r="W28" s="25">
        <f t="shared" ref="W28:AC28" si="85">D28/M28</f>
        <v>0.0132390096008085</v>
      </c>
      <c r="X28" s="25">
        <f t="shared" si="85"/>
        <v>0.0130538922155689</v>
      </c>
      <c r="Y28" s="25">
        <f t="shared" si="85"/>
        <v>0.0136143497757848</v>
      </c>
      <c r="Z28" s="25">
        <f t="shared" si="85"/>
        <v>0.0139689158453374</v>
      </c>
      <c r="AA28" s="25">
        <f t="shared" si="85"/>
        <v>0.0141711728510162</v>
      </c>
      <c r="AB28" s="26">
        <f t="shared" si="85"/>
        <v>0.0114221218961625</v>
      </c>
      <c r="AC28" s="26">
        <f t="shared" si="85"/>
        <v>0.0134241245136187</v>
      </c>
      <c r="AD28" s="15"/>
      <c r="AE28" s="15"/>
      <c r="AF28" s="25">
        <f t="shared" ref="AF28:AJ28" si="86">W28</f>
        <v>0.0132390096008085</v>
      </c>
      <c r="AG28" s="25">
        <f t="shared" si="86"/>
        <v>0.0130538922155689</v>
      </c>
      <c r="AH28" s="25">
        <f t="shared" si="86"/>
        <v>0.0136143497757848</v>
      </c>
      <c r="AI28" s="25">
        <f t="shared" si="86"/>
        <v>0.0139689158453374</v>
      </c>
      <c r="AJ28" s="25">
        <f t="shared" si="86"/>
        <v>0.0141711728510162</v>
      </c>
      <c r="AK28" s="27">
        <f t="shared" si="67"/>
        <v>0.0131354401805869</v>
      </c>
      <c r="AL28" s="27">
        <f t="shared" si="68"/>
        <v>0.0154377431906615</v>
      </c>
      <c r="AM28" s="15"/>
      <c r="AN28" s="15"/>
      <c r="AO28" s="25">
        <f t="shared" ref="AO28:AS28" si="87">W28</f>
        <v>0.0132390096008085</v>
      </c>
      <c r="AP28" s="25">
        <f t="shared" si="87"/>
        <v>0.0130538922155689</v>
      </c>
      <c r="AQ28" s="25">
        <f t="shared" si="87"/>
        <v>0.0136143497757848</v>
      </c>
      <c r="AR28" s="25">
        <f t="shared" si="87"/>
        <v>0.0139689158453374</v>
      </c>
      <c r="AS28" s="25">
        <f t="shared" si="87"/>
        <v>0.0141711728510162</v>
      </c>
      <c r="AT28" s="27">
        <f t="shared" si="70"/>
        <v>0.00970880361173815</v>
      </c>
      <c r="AU28" s="27">
        <f t="shared" si="71"/>
        <v>0.0114105058365759</v>
      </c>
      <c r="AZ28" s="14"/>
      <c r="BA28" s="22" t="s">
        <v>338</v>
      </c>
      <c r="BB28" s="23">
        <v>85</v>
      </c>
      <c r="BC28" s="25">
        <v>78.6</v>
      </c>
      <c r="BD28" s="25">
        <v>76.3</v>
      </c>
      <c r="BE28" s="25">
        <v>75.9</v>
      </c>
      <c r="BF28" s="25">
        <v>73.7</v>
      </c>
      <c r="BG28" s="25">
        <v>76</v>
      </c>
      <c r="BH28" s="25">
        <v>75.9</v>
      </c>
      <c r="BI28" s="25">
        <v>75.9</v>
      </c>
      <c r="BJ28" s="15"/>
      <c r="BK28" s="15"/>
      <c r="BL28" s="28"/>
      <c r="BM28" s="28"/>
      <c r="BN28" s="28"/>
      <c r="BO28" s="28"/>
    </row>
    <row r="29" ht="15.5" spans="1:67">
      <c r="A29" s="14" t="s">
        <v>339</v>
      </c>
      <c r="B29" s="22" t="s">
        <v>334</v>
      </c>
      <c r="C29" s="23">
        <f t="shared" ref="C29:J29" si="88">BB29/1000</f>
        <v>0.9068</v>
      </c>
      <c r="D29" s="23">
        <f t="shared" si="88"/>
        <v>0.8586</v>
      </c>
      <c r="E29" s="23">
        <f t="shared" si="88"/>
        <v>0.8184</v>
      </c>
      <c r="F29" s="23">
        <f t="shared" si="88"/>
        <v>0.8091</v>
      </c>
      <c r="G29" s="23">
        <f t="shared" si="88"/>
        <v>0.7811</v>
      </c>
      <c r="H29" s="23">
        <f t="shared" si="88"/>
        <v>0.8217</v>
      </c>
      <c r="I29" s="23">
        <f t="shared" si="88"/>
        <v>0.8091</v>
      </c>
      <c r="J29" s="23">
        <f t="shared" si="88"/>
        <v>0.8091</v>
      </c>
      <c r="K29" s="15"/>
      <c r="L29" s="15"/>
      <c r="M29" s="28">
        <v>5.937</v>
      </c>
      <c r="N29" s="28">
        <v>5.845</v>
      </c>
      <c r="O29" s="28">
        <v>5.575</v>
      </c>
      <c r="P29" s="28">
        <v>5.276</v>
      </c>
      <c r="Q29" s="28">
        <v>5.363</v>
      </c>
      <c r="R29" s="28">
        <v>6.645</v>
      </c>
      <c r="S29" s="28">
        <v>5.654</v>
      </c>
      <c r="T29" s="28"/>
      <c r="U29" s="14" t="s">
        <v>339</v>
      </c>
      <c r="V29" s="22" t="s">
        <v>334</v>
      </c>
      <c r="W29" s="25">
        <f t="shared" ref="W29:AC29" si="89">D29/M29</f>
        <v>0.144618494188984</v>
      </c>
      <c r="X29" s="25">
        <f t="shared" si="89"/>
        <v>0.140017108639863</v>
      </c>
      <c r="Y29" s="25">
        <f t="shared" si="89"/>
        <v>0.145130044843049</v>
      </c>
      <c r="Z29" s="25">
        <f t="shared" si="89"/>
        <v>0.148047763457165</v>
      </c>
      <c r="AA29" s="25">
        <f t="shared" si="89"/>
        <v>0.153216483311579</v>
      </c>
      <c r="AB29" s="26">
        <f t="shared" si="89"/>
        <v>0.12176072234763</v>
      </c>
      <c r="AC29" s="26">
        <f t="shared" si="89"/>
        <v>0.143102228510789</v>
      </c>
      <c r="AD29" s="15"/>
      <c r="AE29" s="15"/>
      <c r="AF29" s="25">
        <f t="shared" ref="AF29:AJ29" si="90">W29</f>
        <v>0.144618494188984</v>
      </c>
      <c r="AG29" s="25">
        <f t="shared" si="90"/>
        <v>0.140017108639863</v>
      </c>
      <c r="AH29" s="25">
        <f t="shared" si="90"/>
        <v>0.145130044843049</v>
      </c>
      <c r="AI29" s="25">
        <f t="shared" si="90"/>
        <v>0.148047763457165</v>
      </c>
      <c r="AJ29" s="25">
        <f t="shared" si="90"/>
        <v>0.153216483311579</v>
      </c>
      <c r="AK29" s="27">
        <f t="shared" si="67"/>
        <v>0.140024830699774</v>
      </c>
      <c r="AL29" s="27">
        <f t="shared" si="68"/>
        <v>0.164567562787407</v>
      </c>
      <c r="AM29" s="15"/>
      <c r="AN29" s="15"/>
      <c r="AO29" s="25">
        <f t="shared" ref="AO29:AS29" si="91">W29</f>
        <v>0.144618494188984</v>
      </c>
      <c r="AP29" s="25">
        <f t="shared" si="91"/>
        <v>0.140017108639863</v>
      </c>
      <c r="AQ29" s="25">
        <f t="shared" si="91"/>
        <v>0.145130044843049</v>
      </c>
      <c r="AR29" s="25">
        <f t="shared" si="91"/>
        <v>0.148047763457165</v>
      </c>
      <c r="AS29" s="25">
        <f t="shared" si="91"/>
        <v>0.153216483311579</v>
      </c>
      <c r="AT29" s="27">
        <f t="shared" si="70"/>
        <v>0.103496613995485</v>
      </c>
      <c r="AU29" s="27">
        <f t="shared" si="71"/>
        <v>0.12163689423417</v>
      </c>
      <c r="AZ29" s="14" t="s">
        <v>339</v>
      </c>
      <c r="BA29" s="22" t="s">
        <v>334</v>
      </c>
      <c r="BB29" s="23">
        <v>906.8</v>
      </c>
      <c r="BC29" s="25">
        <v>858.6</v>
      </c>
      <c r="BD29" s="25">
        <v>818.4</v>
      </c>
      <c r="BE29" s="25">
        <v>809.1</v>
      </c>
      <c r="BF29" s="25">
        <v>781.1</v>
      </c>
      <c r="BG29" s="25">
        <v>821.7</v>
      </c>
      <c r="BH29" s="25">
        <v>809.1</v>
      </c>
      <c r="BI29" s="25">
        <v>809.1</v>
      </c>
      <c r="BJ29" s="15"/>
      <c r="BK29" s="15"/>
      <c r="BL29" s="28"/>
      <c r="BM29" s="28"/>
      <c r="BN29" s="28"/>
      <c r="BO29" s="28"/>
    </row>
    <row r="30" ht="15.5" spans="1:67">
      <c r="A30" s="14"/>
      <c r="B30" s="22" t="s">
        <v>335</v>
      </c>
      <c r="C30" s="23">
        <f t="shared" ref="C30:J30" si="92">BB30/1000</f>
        <v>0.8303</v>
      </c>
      <c r="D30" s="23">
        <f t="shared" si="92"/>
        <v>0.7909</v>
      </c>
      <c r="E30" s="23">
        <f t="shared" si="92"/>
        <v>0.7545</v>
      </c>
      <c r="F30" s="23">
        <f t="shared" si="92"/>
        <v>0.746</v>
      </c>
      <c r="G30" s="23">
        <f t="shared" si="92"/>
        <v>0.7199</v>
      </c>
      <c r="H30" s="23">
        <f t="shared" si="92"/>
        <v>0.7584</v>
      </c>
      <c r="I30" s="23">
        <f t="shared" si="92"/>
        <v>0.746</v>
      </c>
      <c r="J30" s="23">
        <f t="shared" si="92"/>
        <v>0.746</v>
      </c>
      <c r="K30" s="15"/>
      <c r="L30" s="15"/>
      <c r="M30" s="28">
        <v>5.937</v>
      </c>
      <c r="N30" s="28">
        <v>5.845</v>
      </c>
      <c r="O30" s="28">
        <v>5.575</v>
      </c>
      <c r="P30" s="28">
        <v>5.276</v>
      </c>
      <c r="Q30" s="28">
        <v>5.363</v>
      </c>
      <c r="R30" s="28">
        <v>6.645</v>
      </c>
      <c r="S30" s="28">
        <v>5.654</v>
      </c>
      <c r="T30" s="28"/>
      <c r="U30" s="14"/>
      <c r="V30" s="22" t="s">
        <v>335</v>
      </c>
      <c r="W30" s="25">
        <f t="shared" ref="W30:AC30" si="93">D30/M30</f>
        <v>0.133215428667677</v>
      </c>
      <c r="X30" s="25">
        <f t="shared" si="93"/>
        <v>0.129084687767322</v>
      </c>
      <c r="Y30" s="25">
        <f t="shared" si="93"/>
        <v>0.133811659192825</v>
      </c>
      <c r="Z30" s="25">
        <f t="shared" si="93"/>
        <v>0.13644806671721</v>
      </c>
      <c r="AA30" s="25">
        <f t="shared" si="93"/>
        <v>0.141413388029088</v>
      </c>
      <c r="AB30" s="26">
        <f t="shared" si="93"/>
        <v>0.112264860797592</v>
      </c>
      <c r="AC30" s="26">
        <f t="shared" si="93"/>
        <v>0.131941987973116</v>
      </c>
      <c r="AD30" s="15"/>
      <c r="AE30" s="15"/>
      <c r="AF30" s="25">
        <f t="shared" ref="AF30:AJ30" si="94">W30</f>
        <v>0.133215428667677</v>
      </c>
      <c r="AG30" s="25">
        <f t="shared" si="94"/>
        <v>0.129084687767322</v>
      </c>
      <c r="AH30" s="25">
        <f t="shared" si="94"/>
        <v>0.133811659192825</v>
      </c>
      <c r="AI30" s="25">
        <f t="shared" si="94"/>
        <v>0.13644806671721</v>
      </c>
      <c r="AJ30" s="25">
        <f t="shared" si="94"/>
        <v>0.141413388029088</v>
      </c>
      <c r="AK30" s="27">
        <f t="shared" si="67"/>
        <v>0.129104589917231</v>
      </c>
      <c r="AL30" s="27">
        <f t="shared" si="68"/>
        <v>0.151733286169084</v>
      </c>
      <c r="AM30" s="15"/>
      <c r="AN30" s="15"/>
      <c r="AO30" s="25">
        <f t="shared" ref="AO30:AS30" si="95">W30</f>
        <v>0.133215428667677</v>
      </c>
      <c r="AP30" s="25">
        <f t="shared" si="95"/>
        <v>0.129084687767322</v>
      </c>
      <c r="AQ30" s="25">
        <f t="shared" si="95"/>
        <v>0.133811659192825</v>
      </c>
      <c r="AR30" s="25">
        <f t="shared" si="95"/>
        <v>0.13644806671721</v>
      </c>
      <c r="AS30" s="25">
        <f t="shared" si="95"/>
        <v>0.141413388029088</v>
      </c>
      <c r="AT30" s="27">
        <f t="shared" si="70"/>
        <v>0.0954251316779534</v>
      </c>
      <c r="AU30" s="27">
        <f t="shared" si="71"/>
        <v>0.112150689777149</v>
      </c>
      <c r="AZ30" s="14"/>
      <c r="BA30" s="22" t="s">
        <v>335</v>
      </c>
      <c r="BB30" s="23">
        <v>830.3</v>
      </c>
      <c r="BC30" s="25">
        <v>790.9</v>
      </c>
      <c r="BD30" s="25">
        <v>754.5</v>
      </c>
      <c r="BE30" s="25">
        <v>746</v>
      </c>
      <c r="BF30" s="25">
        <v>719.9</v>
      </c>
      <c r="BG30" s="25">
        <v>758.4</v>
      </c>
      <c r="BH30" s="25">
        <v>746</v>
      </c>
      <c r="BI30" s="25">
        <v>746</v>
      </c>
      <c r="BJ30" s="15"/>
      <c r="BK30" s="15"/>
      <c r="BL30" s="28"/>
      <c r="BM30" s="28"/>
      <c r="BN30" s="28"/>
      <c r="BO30" s="28"/>
    </row>
    <row r="31" ht="15.5" spans="1:67">
      <c r="A31" s="14"/>
      <c r="B31" s="22" t="s">
        <v>336</v>
      </c>
      <c r="C31" s="23">
        <f t="shared" ref="C31:J31" si="96">BB31/1000</f>
        <v>0.2079</v>
      </c>
      <c r="D31" s="23">
        <f t="shared" si="96"/>
        <v>0.1842</v>
      </c>
      <c r="E31" s="23">
        <f t="shared" si="96"/>
        <v>0.1746</v>
      </c>
      <c r="F31" s="23">
        <f t="shared" si="96"/>
        <v>0.1724</v>
      </c>
      <c r="G31" s="23">
        <f t="shared" si="96"/>
        <v>0.1687</v>
      </c>
      <c r="H31" s="23">
        <f t="shared" si="96"/>
        <v>0.1747</v>
      </c>
      <c r="I31" s="23">
        <f t="shared" si="96"/>
        <v>0.1724</v>
      </c>
      <c r="J31" s="23">
        <f t="shared" si="96"/>
        <v>0.1724</v>
      </c>
      <c r="K31" s="15"/>
      <c r="L31" s="15"/>
      <c r="M31" s="28">
        <v>5.937</v>
      </c>
      <c r="N31" s="28">
        <v>5.845</v>
      </c>
      <c r="O31" s="28">
        <v>5.575</v>
      </c>
      <c r="P31" s="28">
        <v>5.276</v>
      </c>
      <c r="Q31" s="28">
        <v>5.363</v>
      </c>
      <c r="R31" s="28">
        <v>6.645</v>
      </c>
      <c r="S31" s="28">
        <v>5.654</v>
      </c>
      <c r="T31" s="28"/>
      <c r="U31" s="14"/>
      <c r="V31" s="22" t="s">
        <v>336</v>
      </c>
      <c r="W31" s="25">
        <f t="shared" ref="W31:AC31" si="97">D31/M31</f>
        <v>0.0310257705912077</v>
      </c>
      <c r="X31" s="25">
        <f t="shared" si="97"/>
        <v>0.0298716852010265</v>
      </c>
      <c r="Y31" s="25">
        <f t="shared" si="97"/>
        <v>0.0309237668161435</v>
      </c>
      <c r="Z31" s="25">
        <f t="shared" si="97"/>
        <v>0.0319749810462472</v>
      </c>
      <c r="AA31" s="25">
        <f t="shared" si="97"/>
        <v>0.0325750512772702</v>
      </c>
      <c r="AB31" s="26">
        <f t="shared" si="97"/>
        <v>0.0259443190368698</v>
      </c>
      <c r="AC31" s="26">
        <f t="shared" si="97"/>
        <v>0.0304916873010258</v>
      </c>
      <c r="AD31" s="15"/>
      <c r="AE31" s="15"/>
      <c r="AF31" s="25">
        <f t="shared" ref="AF31:AJ31" si="98">W31</f>
        <v>0.0310257705912077</v>
      </c>
      <c r="AG31" s="25">
        <f t="shared" si="98"/>
        <v>0.0298716852010265</v>
      </c>
      <c r="AH31" s="25">
        <f t="shared" si="98"/>
        <v>0.0309237668161435</v>
      </c>
      <c r="AI31" s="25">
        <f t="shared" si="98"/>
        <v>0.0319749810462472</v>
      </c>
      <c r="AJ31" s="25">
        <f t="shared" si="98"/>
        <v>0.0325750512772702</v>
      </c>
      <c r="AK31" s="27">
        <f t="shared" si="67"/>
        <v>0.0298359668924003</v>
      </c>
      <c r="AL31" s="27">
        <f t="shared" si="68"/>
        <v>0.0350654403961797</v>
      </c>
      <c r="AM31" s="15"/>
      <c r="AN31" s="15"/>
      <c r="AO31" s="25">
        <f t="shared" ref="AO31:AS31" si="99">W31</f>
        <v>0.0310257705912077</v>
      </c>
      <c r="AP31" s="25">
        <f t="shared" si="99"/>
        <v>0.0298716852010265</v>
      </c>
      <c r="AQ31" s="25">
        <f t="shared" si="99"/>
        <v>0.0309237668161435</v>
      </c>
      <c r="AR31" s="25">
        <f t="shared" si="99"/>
        <v>0.0319749810462472</v>
      </c>
      <c r="AS31" s="25">
        <f t="shared" si="99"/>
        <v>0.0325750512772702</v>
      </c>
      <c r="AT31" s="27">
        <f t="shared" si="70"/>
        <v>0.0220526711813394</v>
      </c>
      <c r="AU31" s="27">
        <f t="shared" si="71"/>
        <v>0.0259179342058719</v>
      </c>
      <c r="AZ31" s="14"/>
      <c r="BA31" s="22" t="s">
        <v>336</v>
      </c>
      <c r="BB31" s="23">
        <v>207.9</v>
      </c>
      <c r="BC31" s="25">
        <v>184.2</v>
      </c>
      <c r="BD31" s="25">
        <v>174.6</v>
      </c>
      <c r="BE31" s="25">
        <v>172.4</v>
      </c>
      <c r="BF31" s="25">
        <v>168.7</v>
      </c>
      <c r="BG31" s="25">
        <v>174.7</v>
      </c>
      <c r="BH31" s="25">
        <v>172.4</v>
      </c>
      <c r="BI31" s="25">
        <v>172.4</v>
      </c>
      <c r="BJ31" s="15"/>
      <c r="BK31" s="15"/>
      <c r="BL31" s="28"/>
      <c r="BM31" s="28"/>
      <c r="BN31" s="28"/>
      <c r="BO31" s="28"/>
    </row>
    <row r="32" ht="15.5" spans="1:67">
      <c r="A32" s="14"/>
      <c r="B32" s="22" t="s">
        <v>337</v>
      </c>
      <c r="C32" s="23">
        <f t="shared" ref="C32:J32" si="100">BB32/1000</f>
        <v>0.5747</v>
      </c>
      <c r="D32" s="23">
        <f t="shared" si="100"/>
        <v>0.5597</v>
      </c>
      <c r="E32" s="23">
        <f t="shared" si="100"/>
        <v>0.534</v>
      </c>
      <c r="F32" s="23">
        <f t="shared" si="100"/>
        <v>0.528</v>
      </c>
      <c r="G32" s="23">
        <f t="shared" si="100"/>
        <v>0.5061</v>
      </c>
      <c r="H32" s="23">
        <f t="shared" si="100"/>
        <v>0.5369</v>
      </c>
      <c r="I32" s="23">
        <f t="shared" si="100"/>
        <v>0.528</v>
      </c>
      <c r="J32" s="23">
        <f t="shared" si="100"/>
        <v>0.528</v>
      </c>
      <c r="K32" s="15"/>
      <c r="L32" s="15"/>
      <c r="M32" s="28">
        <v>5.937</v>
      </c>
      <c r="N32" s="28">
        <v>5.845</v>
      </c>
      <c r="O32" s="28">
        <v>5.575</v>
      </c>
      <c r="P32" s="28">
        <v>5.276</v>
      </c>
      <c r="Q32" s="28">
        <v>5.363</v>
      </c>
      <c r="R32" s="28">
        <v>6.645</v>
      </c>
      <c r="S32" s="28">
        <v>5.654</v>
      </c>
      <c r="T32" s="28"/>
      <c r="U32" s="14"/>
      <c r="V32" s="22" t="s">
        <v>337</v>
      </c>
      <c r="W32" s="25">
        <f t="shared" ref="W32:AC32" si="101">D32/M32</f>
        <v>0.0942732019538488</v>
      </c>
      <c r="X32" s="25">
        <f t="shared" si="101"/>
        <v>0.0913601368691189</v>
      </c>
      <c r="Y32" s="25">
        <f t="shared" si="101"/>
        <v>0.0947085201793722</v>
      </c>
      <c r="Z32" s="25">
        <f t="shared" si="101"/>
        <v>0.0959249431387415</v>
      </c>
      <c r="AA32" s="25">
        <f t="shared" si="101"/>
        <v>0.100111877680403</v>
      </c>
      <c r="AB32" s="26">
        <f t="shared" si="101"/>
        <v>0.0794582392776524</v>
      </c>
      <c r="AC32" s="26">
        <f t="shared" si="101"/>
        <v>0.0933852140077821</v>
      </c>
      <c r="AD32" s="15"/>
      <c r="AE32" s="15"/>
      <c r="AF32" s="25">
        <f t="shared" ref="AF32:AJ32" si="102">W32</f>
        <v>0.0942732019538488</v>
      </c>
      <c r="AG32" s="25">
        <f t="shared" si="102"/>
        <v>0.0913601368691189</v>
      </c>
      <c r="AH32" s="25">
        <f t="shared" si="102"/>
        <v>0.0947085201793722</v>
      </c>
      <c r="AI32" s="25">
        <f t="shared" si="102"/>
        <v>0.0959249431387415</v>
      </c>
      <c r="AJ32" s="25">
        <f t="shared" si="102"/>
        <v>0.100111877680403</v>
      </c>
      <c r="AK32" s="27">
        <f t="shared" si="67"/>
        <v>0.0913769751693002</v>
      </c>
      <c r="AL32" s="27">
        <f t="shared" si="68"/>
        <v>0.107392996108949</v>
      </c>
      <c r="AM32" s="15"/>
      <c r="AN32" s="15"/>
      <c r="AO32" s="25">
        <f t="shared" ref="AO32:AS32" si="103">W32</f>
        <v>0.0942732019538488</v>
      </c>
      <c r="AP32" s="25">
        <f t="shared" si="103"/>
        <v>0.0913601368691189</v>
      </c>
      <c r="AQ32" s="25">
        <f t="shared" si="103"/>
        <v>0.0947085201793722</v>
      </c>
      <c r="AR32" s="25">
        <f t="shared" si="103"/>
        <v>0.0959249431387415</v>
      </c>
      <c r="AS32" s="25">
        <f t="shared" si="103"/>
        <v>0.100111877680403</v>
      </c>
      <c r="AT32" s="27">
        <f t="shared" si="70"/>
        <v>0.0675395033860045</v>
      </c>
      <c r="AU32" s="27">
        <f t="shared" si="71"/>
        <v>0.0793774319066148</v>
      </c>
      <c r="AZ32" s="14"/>
      <c r="BA32" s="22" t="s">
        <v>337</v>
      </c>
      <c r="BB32" s="23">
        <v>574.7</v>
      </c>
      <c r="BC32" s="25">
        <v>559.7</v>
      </c>
      <c r="BD32" s="25">
        <v>534</v>
      </c>
      <c r="BE32" s="25">
        <v>528</v>
      </c>
      <c r="BF32" s="25">
        <v>506.1</v>
      </c>
      <c r="BG32" s="25">
        <v>536.9</v>
      </c>
      <c r="BH32" s="25">
        <v>528</v>
      </c>
      <c r="BI32" s="25">
        <v>528</v>
      </c>
      <c r="BJ32" s="15"/>
      <c r="BK32" s="15"/>
      <c r="BL32" s="28"/>
      <c r="BM32" s="28"/>
      <c r="BN32" s="28"/>
      <c r="BO32" s="28"/>
    </row>
    <row r="33" ht="15.5" spans="1:67">
      <c r="A33" s="14"/>
      <c r="B33" s="22" t="s">
        <v>338</v>
      </c>
      <c r="C33" s="23">
        <f t="shared" ref="C33:J33" si="104">BB33/1000</f>
        <v>0.088</v>
      </c>
      <c r="D33" s="23">
        <f t="shared" si="104"/>
        <v>0.0814</v>
      </c>
      <c r="E33" s="23">
        <f t="shared" si="104"/>
        <v>0.079</v>
      </c>
      <c r="F33" s="23">
        <f t="shared" si="104"/>
        <v>0.0785</v>
      </c>
      <c r="G33" s="23">
        <f t="shared" si="104"/>
        <v>0.0764</v>
      </c>
      <c r="H33" s="23">
        <f t="shared" si="104"/>
        <v>0.0787</v>
      </c>
      <c r="I33" s="23">
        <f t="shared" si="104"/>
        <v>0.0785</v>
      </c>
      <c r="J33" s="23">
        <f t="shared" si="104"/>
        <v>0.0785</v>
      </c>
      <c r="K33" s="15"/>
      <c r="L33" s="15"/>
      <c r="M33" s="28">
        <v>5.937</v>
      </c>
      <c r="N33" s="28">
        <v>5.845</v>
      </c>
      <c r="O33" s="28">
        <v>5.575</v>
      </c>
      <c r="P33" s="28">
        <v>5.276</v>
      </c>
      <c r="Q33" s="28">
        <v>5.363</v>
      </c>
      <c r="R33" s="28">
        <v>6.645</v>
      </c>
      <c r="S33" s="28">
        <v>5.654</v>
      </c>
      <c r="T33" s="28"/>
      <c r="U33" s="14"/>
      <c r="V33" s="22" t="s">
        <v>338</v>
      </c>
      <c r="W33" s="25">
        <f t="shared" ref="W33:AC33" si="105">D33/M33</f>
        <v>0.0137106282634327</v>
      </c>
      <c r="X33" s="25">
        <f t="shared" si="105"/>
        <v>0.0135158254918734</v>
      </c>
      <c r="Y33" s="25">
        <f t="shared" si="105"/>
        <v>0.0140807174887892</v>
      </c>
      <c r="Z33" s="25">
        <f t="shared" si="105"/>
        <v>0.0144806671721001</v>
      </c>
      <c r="AA33" s="25">
        <f t="shared" si="105"/>
        <v>0.0146746224128286</v>
      </c>
      <c r="AB33" s="26">
        <f t="shared" si="105"/>
        <v>0.0118133935289691</v>
      </c>
      <c r="AC33" s="26">
        <f t="shared" si="105"/>
        <v>0.0138839759462328</v>
      </c>
      <c r="AD33" s="15"/>
      <c r="AE33" s="15"/>
      <c r="AF33" s="25">
        <f t="shared" ref="AF33:AJ33" si="106">W33</f>
        <v>0.0137106282634327</v>
      </c>
      <c r="AG33" s="25">
        <f t="shared" si="106"/>
        <v>0.0135158254918734</v>
      </c>
      <c r="AH33" s="25">
        <f t="shared" si="106"/>
        <v>0.0140807174887892</v>
      </c>
      <c r="AI33" s="25">
        <f t="shared" si="106"/>
        <v>0.0144806671721001</v>
      </c>
      <c r="AJ33" s="25">
        <f t="shared" si="106"/>
        <v>0.0146746224128286</v>
      </c>
      <c r="AK33" s="27">
        <f t="shared" si="67"/>
        <v>0.0135854025583145</v>
      </c>
      <c r="AL33" s="27">
        <f t="shared" si="68"/>
        <v>0.0159665723381677</v>
      </c>
      <c r="AM33" s="15"/>
      <c r="AN33" s="15"/>
      <c r="AO33" s="25">
        <f t="shared" ref="AO33:AS33" si="107">W33</f>
        <v>0.0137106282634327</v>
      </c>
      <c r="AP33" s="25">
        <f t="shared" si="107"/>
        <v>0.0135158254918734</v>
      </c>
      <c r="AQ33" s="25">
        <f t="shared" si="107"/>
        <v>0.0140807174887892</v>
      </c>
      <c r="AR33" s="25">
        <f t="shared" si="107"/>
        <v>0.0144806671721001</v>
      </c>
      <c r="AS33" s="25">
        <f t="shared" si="107"/>
        <v>0.0146746224128286</v>
      </c>
      <c r="AT33" s="27">
        <f t="shared" si="70"/>
        <v>0.0100413844996238</v>
      </c>
      <c r="AU33" s="27">
        <f t="shared" si="71"/>
        <v>0.0118013795542978</v>
      </c>
      <c r="AZ33" s="14"/>
      <c r="BA33" s="22" t="s">
        <v>338</v>
      </c>
      <c r="BB33" s="23">
        <v>88</v>
      </c>
      <c r="BC33" s="25">
        <v>81.4</v>
      </c>
      <c r="BD33" s="25">
        <v>79</v>
      </c>
      <c r="BE33" s="25">
        <v>78.5</v>
      </c>
      <c r="BF33" s="25">
        <v>76.4</v>
      </c>
      <c r="BG33" s="25">
        <v>78.7</v>
      </c>
      <c r="BH33" s="25">
        <v>78.5</v>
      </c>
      <c r="BI33" s="25">
        <v>78.5</v>
      </c>
      <c r="BJ33" s="15"/>
      <c r="BK33" s="15"/>
      <c r="BL33" s="28"/>
      <c r="BM33" s="28"/>
      <c r="BN33" s="28"/>
      <c r="BO33" s="28"/>
    </row>
    <row r="34" ht="15.5" spans="1:67">
      <c r="A34" s="14" t="s">
        <v>11</v>
      </c>
      <c r="B34" s="22" t="s">
        <v>334</v>
      </c>
      <c r="C34" s="23">
        <f t="shared" ref="C34:J34" si="108">BB34/1000</f>
        <v>0.9217</v>
      </c>
      <c r="D34" s="23">
        <f t="shared" si="108"/>
        <v>0.8721</v>
      </c>
      <c r="E34" s="23">
        <f t="shared" si="108"/>
        <v>0.8313</v>
      </c>
      <c r="F34" s="23">
        <f t="shared" si="108"/>
        <v>0.8218</v>
      </c>
      <c r="G34" s="23">
        <f t="shared" si="108"/>
        <v>0.794</v>
      </c>
      <c r="H34" s="23">
        <f t="shared" si="108"/>
        <v>0.835</v>
      </c>
      <c r="I34" s="23">
        <f t="shared" si="108"/>
        <v>0.8218</v>
      </c>
      <c r="J34" s="23">
        <f t="shared" si="108"/>
        <v>0.8218</v>
      </c>
      <c r="K34" s="15"/>
      <c r="L34" s="15"/>
      <c r="M34" s="28">
        <v>5.937</v>
      </c>
      <c r="N34" s="28">
        <v>5.845</v>
      </c>
      <c r="O34" s="28">
        <v>5.575</v>
      </c>
      <c r="P34" s="28">
        <v>5.276</v>
      </c>
      <c r="Q34" s="28">
        <v>5.363</v>
      </c>
      <c r="R34" s="28">
        <v>6.645</v>
      </c>
      <c r="S34" s="28">
        <v>5.654</v>
      </c>
      <c r="T34" s="28"/>
      <c r="U34" s="14" t="s">
        <v>11</v>
      </c>
      <c r="V34" s="22" t="s">
        <v>334</v>
      </c>
      <c r="W34" s="25">
        <f t="shared" ref="W34:AC34" si="109">D34/M34</f>
        <v>0.14689236988378</v>
      </c>
      <c r="X34" s="25">
        <f t="shared" si="109"/>
        <v>0.142224123182207</v>
      </c>
      <c r="Y34" s="25">
        <f t="shared" si="109"/>
        <v>0.147408071748879</v>
      </c>
      <c r="Z34" s="25">
        <f t="shared" si="109"/>
        <v>0.15049279757392</v>
      </c>
      <c r="AA34" s="25">
        <f t="shared" si="109"/>
        <v>0.155696438560507</v>
      </c>
      <c r="AB34" s="26">
        <f t="shared" si="109"/>
        <v>0.123671933784801</v>
      </c>
      <c r="AC34" s="26">
        <f t="shared" si="109"/>
        <v>0.145348425893173</v>
      </c>
      <c r="AD34" s="15"/>
      <c r="AE34" s="15"/>
      <c r="AF34" s="25">
        <f t="shared" ref="AF34:AJ34" si="110">W34</f>
        <v>0.14689236988378</v>
      </c>
      <c r="AG34" s="25">
        <f t="shared" si="110"/>
        <v>0.142224123182207</v>
      </c>
      <c r="AH34" s="25">
        <f t="shared" si="110"/>
        <v>0.147408071748879</v>
      </c>
      <c r="AI34" s="25">
        <f t="shared" si="110"/>
        <v>0.15049279757392</v>
      </c>
      <c r="AJ34" s="25">
        <f t="shared" si="110"/>
        <v>0.155696438560507</v>
      </c>
      <c r="AK34" s="27">
        <f t="shared" si="67"/>
        <v>0.142222723852521</v>
      </c>
      <c r="AL34" s="27">
        <f t="shared" si="68"/>
        <v>0.167150689777149</v>
      </c>
      <c r="AM34" s="15"/>
      <c r="AN34" s="15"/>
      <c r="AO34" s="25">
        <f t="shared" ref="AO34:AS34" si="111">W34</f>
        <v>0.14689236988378</v>
      </c>
      <c r="AP34" s="25">
        <f t="shared" si="111"/>
        <v>0.142224123182207</v>
      </c>
      <c r="AQ34" s="25">
        <f t="shared" si="111"/>
        <v>0.147408071748879</v>
      </c>
      <c r="AR34" s="25">
        <f t="shared" si="111"/>
        <v>0.15049279757392</v>
      </c>
      <c r="AS34" s="25">
        <f t="shared" si="111"/>
        <v>0.155696438560507</v>
      </c>
      <c r="AT34" s="27">
        <f t="shared" si="70"/>
        <v>0.105121143717081</v>
      </c>
      <c r="AU34" s="27">
        <f t="shared" si="71"/>
        <v>0.123546162009197</v>
      </c>
      <c r="AZ34" s="14" t="s">
        <v>11</v>
      </c>
      <c r="BA34" s="22" t="s">
        <v>334</v>
      </c>
      <c r="BB34" s="23">
        <v>921.7</v>
      </c>
      <c r="BC34" s="25">
        <v>872.1</v>
      </c>
      <c r="BD34" s="25">
        <v>831.3</v>
      </c>
      <c r="BE34" s="25">
        <v>821.8</v>
      </c>
      <c r="BF34" s="25">
        <v>794</v>
      </c>
      <c r="BG34" s="25">
        <v>835</v>
      </c>
      <c r="BH34" s="25">
        <v>821.8</v>
      </c>
      <c r="BI34" s="25">
        <v>821.8</v>
      </c>
      <c r="BJ34" s="15"/>
      <c r="BK34" s="15"/>
      <c r="BL34" s="28"/>
      <c r="BM34" s="28"/>
      <c r="BN34" s="28"/>
      <c r="BO34" s="28"/>
    </row>
    <row r="35" ht="15.5" spans="1:67">
      <c r="A35" s="14"/>
      <c r="B35" s="22" t="s">
        <v>335</v>
      </c>
      <c r="C35" s="23">
        <f t="shared" ref="C35:J35" si="112">BB35/1000</f>
        <v>0.8422</v>
      </c>
      <c r="D35" s="23">
        <f t="shared" si="112"/>
        <v>0.8018</v>
      </c>
      <c r="E35" s="23">
        <f t="shared" si="112"/>
        <v>0.7648</v>
      </c>
      <c r="F35" s="23">
        <f t="shared" si="112"/>
        <v>0.7562</v>
      </c>
      <c r="G35" s="23">
        <f t="shared" si="112"/>
        <v>0.7302</v>
      </c>
      <c r="H35" s="23">
        <f t="shared" si="112"/>
        <v>0.7691</v>
      </c>
      <c r="I35" s="23">
        <f t="shared" si="112"/>
        <v>0.7562</v>
      </c>
      <c r="J35" s="23">
        <f t="shared" si="112"/>
        <v>0.7562</v>
      </c>
      <c r="K35" s="15"/>
      <c r="L35" s="15"/>
      <c r="M35" s="28">
        <v>5.937</v>
      </c>
      <c r="N35" s="28">
        <v>5.845</v>
      </c>
      <c r="O35" s="28">
        <v>5.575</v>
      </c>
      <c r="P35" s="28">
        <v>5.276</v>
      </c>
      <c r="Q35" s="28">
        <v>5.363</v>
      </c>
      <c r="R35" s="28">
        <v>6.645</v>
      </c>
      <c r="S35" s="28">
        <v>5.654</v>
      </c>
      <c r="T35" s="28"/>
      <c r="U35" s="14"/>
      <c r="V35" s="22" t="s">
        <v>335</v>
      </c>
      <c r="W35" s="25">
        <f t="shared" ref="W35:AC35" si="113">D35/M35</f>
        <v>0.135051372747179</v>
      </c>
      <c r="X35" s="25">
        <f t="shared" si="113"/>
        <v>0.130846877673225</v>
      </c>
      <c r="Y35" s="25">
        <f t="shared" si="113"/>
        <v>0.135641255605381</v>
      </c>
      <c r="Z35" s="25">
        <f t="shared" si="113"/>
        <v>0.138400303260046</v>
      </c>
      <c r="AA35" s="25">
        <f t="shared" si="113"/>
        <v>0.143408539996271</v>
      </c>
      <c r="AB35" s="26">
        <f t="shared" si="113"/>
        <v>0.11379984951091</v>
      </c>
      <c r="AC35" s="26">
        <f t="shared" si="113"/>
        <v>0.133746020516449</v>
      </c>
      <c r="AD35" s="15"/>
      <c r="AE35" s="15"/>
      <c r="AF35" s="25">
        <f t="shared" ref="AF35:AJ35" si="114">W35</f>
        <v>0.135051372747179</v>
      </c>
      <c r="AG35" s="25">
        <f t="shared" si="114"/>
        <v>0.130846877673225</v>
      </c>
      <c r="AH35" s="25">
        <f t="shared" si="114"/>
        <v>0.135641255605381</v>
      </c>
      <c r="AI35" s="25">
        <f t="shared" si="114"/>
        <v>0.138400303260046</v>
      </c>
      <c r="AJ35" s="25">
        <f t="shared" si="114"/>
        <v>0.143408539996271</v>
      </c>
      <c r="AK35" s="27">
        <f t="shared" si="67"/>
        <v>0.130869826937547</v>
      </c>
      <c r="AL35" s="27">
        <f t="shared" si="68"/>
        <v>0.153807923593916</v>
      </c>
      <c r="AM35" s="15"/>
      <c r="AN35" s="15"/>
      <c r="AO35" s="25">
        <f t="shared" ref="AO35:AS35" si="115">W35</f>
        <v>0.135051372747179</v>
      </c>
      <c r="AP35" s="25">
        <f t="shared" si="115"/>
        <v>0.130846877673225</v>
      </c>
      <c r="AQ35" s="25">
        <f t="shared" si="115"/>
        <v>0.135641255605381</v>
      </c>
      <c r="AR35" s="25">
        <f t="shared" si="115"/>
        <v>0.138400303260046</v>
      </c>
      <c r="AS35" s="25">
        <f t="shared" si="115"/>
        <v>0.143408539996271</v>
      </c>
      <c r="AT35" s="27">
        <f t="shared" si="70"/>
        <v>0.0967298720842739</v>
      </c>
      <c r="AU35" s="27">
        <f t="shared" si="71"/>
        <v>0.113684117438981</v>
      </c>
      <c r="AZ35" s="14"/>
      <c r="BA35" s="22" t="s">
        <v>335</v>
      </c>
      <c r="BB35" s="23">
        <v>842.2</v>
      </c>
      <c r="BC35" s="25">
        <v>801.8</v>
      </c>
      <c r="BD35" s="25">
        <v>764.8</v>
      </c>
      <c r="BE35" s="25">
        <v>756.2</v>
      </c>
      <c r="BF35" s="25">
        <v>730.2</v>
      </c>
      <c r="BG35" s="25">
        <v>769.1</v>
      </c>
      <c r="BH35" s="25">
        <v>756.2</v>
      </c>
      <c r="BI35" s="25">
        <v>756.2</v>
      </c>
      <c r="BJ35" s="15"/>
      <c r="BK35" s="15"/>
      <c r="BL35" s="28"/>
      <c r="BM35" s="28"/>
      <c r="BN35" s="28"/>
      <c r="BO35" s="28"/>
    </row>
    <row r="36" ht="15.5" spans="1:67">
      <c r="A36" s="14"/>
      <c r="B36" s="22" t="s">
        <v>336</v>
      </c>
      <c r="C36" s="23">
        <f t="shared" ref="C36:J36" si="116">BB36/1000</f>
        <v>0.2694</v>
      </c>
      <c r="D36" s="23">
        <f t="shared" si="116"/>
        <v>0.2401</v>
      </c>
      <c r="E36" s="23">
        <f t="shared" si="116"/>
        <v>0.2278</v>
      </c>
      <c r="F36" s="23">
        <f t="shared" si="116"/>
        <v>0.2249</v>
      </c>
      <c r="G36" s="23">
        <f t="shared" si="116"/>
        <v>0.2217</v>
      </c>
      <c r="H36" s="23">
        <f t="shared" si="116"/>
        <v>0.2296</v>
      </c>
      <c r="I36" s="23">
        <f t="shared" si="116"/>
        <v>0.2249</v>
      </c>
      <c r="J36" s="23">
        <f t="shared" si="116"/>
        <v>0.2249</v>
      </c>
      <c r="K36" s="15"/>
      <c r="L36" s="15"/>
      <c r="M36" s="28">
        <v>5.937</v>
      </c>
      <c r="N36" s="28">
        <v>5.845</v>
      </c>
      <c r="O36" s="28">
        <v>5.575</v>
      </c>
      <c r="P36" s="28">
        <v>5.276</v>
      </c>
      <c r="Q36" s="28">
        <v>5.363</v>
      </c>
      <c r="R36" s="28">
        <v>6.645</v>
      </c>
      <c r="S36" s="28">
        <v>5.654</v>
      </c>
      <c r="T36" s="28"/>
      <c r="U36" s="14"/>
      <c r="V36" s="22" t="s">
        <v>336</v>
      </c>
      <c r="W36" s="25">
        <f t="shared" ref="W36:AC36" si="117">D36/M36</f>
        <v>0.0404413003200269</v>
      </c>
      <c r="X36" s="25">
        <f t="shared" si="117"/>
        <v>0.0389734816082122</v>
      </c>
      <c r="Y36" s="25">
        <f t="shared" si="117"/>
        <v>0.0403408071748879</v>
      </c>
      <c r="Z36" s="25">
        <f t="shared" si="117"/>
        <v>0.0420204700530705</v>
      </c>
      <c r="AA36" s="25">
        <f t="shared" si="117"/>
        <v>0.0428118590341227</v>
      </c>
      <c r="AB36" s="26">
        <f t="shared" si="117"/>
        <v>0.0338449962377728</v>
      </c>
      <c r="AC36" s="26">
        <f t="shared" si="117"/>
        <v>0.0397771489211178</v>
      </c>
      <c r="AD36" s="15"/>
      <c r="AE36" s="15"/>
      <c r="AF36" s="25">
        <f t="shared" ref="AF36:AJ36" si="118">W36</f>
        <v>0.0404413003200269</v>
      </c>
      <c r="AG36" s="25">
        <f t="shared" si="118"/>
        <v>0.0389734816082122</v>
      </c>
      <c r="AH36" s="25">
        <f t="shared" si="118"/>
        <v>0.0403408071748879</v>
      </c>
      <c r="AI36" s="25">
        <f t="shared" si="118"/>
        <v>0.0420204700530705</v>
      </c>
      <c r="AJ36" s="25">
        <f t="shared" si="118"/>
        <v>0.0428118590341227</v>
      </c>
      <c r="AK36" s="27">
        <f t="shared" si="67"/>
        <v>0.0389217456734387</v>
      </c>
      <c r="AL36" s="27">
        <f t="shared" si="68"/>
        <v>0.0457437212592855</v>
      </c>
      <c r="AM36" s="15"/>
      <c r="AN36" s="15"/>
      <c r="AO36" s="25">
        <f t="shared" ref="AO36:AS36" si="119">W36</f>
        <v>0.0404413003200269</v>
      </c>
      <c r="AP36" s="25">
        <f t="shared" si="119"/>
        <v>0.0389734816082122</v>
      </c>
      <c r="AQ36" s="25">
        <f t="shared" si="119"/>
        <v>0.0403408071748879</v>
      </c>
      <c r="AR36" s="25">
        <f t="shared" si="119"/>
        <v>0.0420204700530705</v>
      </c>
      <c r="AS36" s="25">
        <f t="shared" si="119"/>
        <v>0.0428118590341227</v>
      </c>
      <c r="AT36" s="27">
        <f t="shared" si="70"/>
        <v>0.0287682468021069</v>
      </c>
      <c r="AU36" s="27">
        <f t="shared" si="71"/>
        <v>0.0338105765829501</v>
      </c>
      <c r="AZ36" s="14"/>
      <c r="BA36" s="22" t="s">
        <v>336</v>
      </c>
      <c r="BB36" s="23">
        <v>269.4</v>
      </c>
      <c r="BC36" s="25">
        <v>240.1</v>
      </c>
      <c r="BD36" s="25">
        <v>227.8</v>
      </c>
      <c r="BE36" s="25">
        <v>224.9</v>
      </c>
      <c r="BF36" s="25">
        <v>221.7</v>
      </c>
      <c r="BG36" s="25">
        <v>229.6</v>
      </c>
      <c r="BH36" s="25">
        <v>224.9</v>
      </c>
      <c r="BI36" s="25">
        <v>224.9</v>
      </c>
      <c r="BJ36" s="15"/>
      <c r="BK36" s="15"/>
      <c r="BL36" s="28"/>
      <c r="BM36" s="28"/>
      <c r="BN36" s="28"/>
      <c r="BO36" s="28"/>
    </row>
    <row r="37" ht="15.5" spans="1:67">
      <c r="A37" s="14"/>
      <c r="B37" s="22" t="s">
        <v>337</v>
      </c>
      <c r="C37" s="23">
        <f t="shared" ref="C37:J37" si="120">BB37/1000</f>
        <v>0.5273</v>
      </c>
      <c r="D37" s="23">
        <f t="shared" si="120"/>
        <v>0.5167</v>
      </c>
      <c r="E37" s="23">
        <f t="shared" si="120"/>
        <v>0.4931</v>
      </c>
      <c r="F37" s="23">
        <f t="shared" si="120"/>
        <v>0.4875</v>
      </c>
      <c r="G37" s="23">
        <f t="shared" si="120"/>
        <v>0.4653</v>
      </c>
      <c r="H37" s="23">
        <f t="shared" si="120"/>
        <v>0.4946</v>
      </c>
      <c r="I37" s="23">
        <f t="shared" si="120"/>
        <v>0.4875</v>
      </c>
      <c r="J37" s="23">
        <f t="shared" si="120"/>
        <v>0.4875</v>
      </c>
      <c r="K37" s="15"/>
      <c r="L37" s="15"/>
      <c r="M37" s="28">
        <v>5.937</v>
      </c>
      <c r="N37" s="28">
        <v>5.845</v>
      </c>
      <c r="O37" s="28">
        <v>5.575</v>
      </c>
      <c r="P37" s="28">
        <v>5.276</v>
      </c>
      <c r="Q37" s="28">
        <v>5.363</v>
      </c>
      <c r="R37" s="28">
        <v>6.645</v>
      </c>
      <c r="S37" s="28">
        <v>5.654</v>
      </c>
      <c r="T37" s="28"/>
      <c r="U37" s="14"/>
      <c r="V37" s="22" t="s">
        <v>337</v>
      </c>
      <c r="W37" s="25">
        <f t="shared" ref="W37:AC37" si="121">D37/M37</f>
        <v>0.0870304867778339</v>
      </c>
      <c r="X37" s="25">
        <f t="shared" si="121"/>
        <v>0.0843627031650984</v>
      </c>
      <c r="Y37" s="25">
        <f t="shared" si="121"/>
        <v>0.0874439461883408</v>
      </c>
      <c r="Z37" s="25">
        <f t="shared" si="121"/>
        <v>0.0881918119787718</v>
      </c>
      <c r="AA37" s="25">
        <f t="shared" si="121"/>
        <v>0.0922245012120082</v>
      </c>
      <c r="AB37" s="26">
        <f t="shared" si="121"/>
        <v>0.0733634311512415</v>
      </c>
      <c r="AC37" s="26">
        <f t="shared" si="121"/>
        <v>0.0862221436151397</v>
      </c>
      <c r="AD37" s="15"/>
      <c r="AE37" s="15"/>
      <c r="AF37" s="25">
        <f t="shared" ref="AF37:AJ37" si="122">W37</f>
        <v>0.0870304867778339</v>
      </c>
      <c r="AG37" s="25">
        <f t="shared" si="122"/>
        <v>0.0843627031650984</v>
      </c>
      <c r="AH37" s="25">
        <f t="shared" si="122"/>
        <v>0.0874439461883408</v>
      </c>
      <c r="AI37" s="25">
        <f t="shared" si="122"/>
        <v>0.0881918119787718</v>
      </c>
      <c r="AJ37" s="25">
        <f t="shared" si="122"/>
        <v>0.0922245012120082</v>
      </c>
      <c r="AK37" s="27">
        <f t="shared" si="67"/>
        <v>0.0843679458239278</v>
      </c>
      <c r="AL37" s="27">
        <f t="shared" si="68"/>
        <v>0.0991554651574107</v>
      </c>
      <c r="AM37" s="15"/>
      <c r="AN37" s="15"/>
      <c r="AO37" s="25">
        <f t="shared" ref="AO37:AS37" si="123">W37</f>
        <v>0.0870304867778339</v>
      </c>
      <c r="AP37" s="25">
        <f t="shared" si="123"/>
        <v>0.0843627031650984</v>
      </c>
      <c r="AQ37" s="25">
        <f t="shared" si="123"/>
        <v>0.0874439461883408</v>
      </c>
      <c r="AR37" s="25">
        <f t="shared" si="123"/>
        <v>0.0881918119787718</v>
      </c>
      <c r="AS37" s="25">
        <f t="shared" si="123"/>
        <v>0.0922245012120082</v>
      </c>
      <c r="AT37" s="27">
        <f t="shared" si="70"/>
        <v>0.0623589164785553</v>
      </c>
      <c r="AU37" s="27">
        <f t="shared" si="71"/>
        <v>0.0732888220728688</v>
      </c>
      <c r="AZ37" s="14"/>
      <c r="BA37" s="22" t="s">
        <v>337</v>
      </c>
      <c r="BB37" s="23">
        <v>527.3</v>
      </c>
      <c r="BC37" s="25">
        <v>516.7</v>
      </c>
      <c r="BD37" s="25">
        <v>493.1</v>
      </c>
      <c r="BE37" s="25">
        <v>487.5</v>
      </c>
      <c r="BF37" s="25">
        <v>465.3</v>
      </c>
      <c r="BG37" s="25">
        <v>494.6</v>
      </c>
      <c r="BH37" s="25">
        <v>487.5</v>
      </c>
      <c r="BI37" s="25">
        <v>487.5</v>
      </c>
      <c r="BJ37" s="15"/>
      <c r="BK37" s="15"/>
      <c r="BL37" s="28"/>
      <c r="BM37" s="28"/>
      <c r="BN37" s="28"/>
      <c r="BO37" s="28"/>
    </row>
    <row r="38" ht="15.5" spans="1:67">
      <c r="A38" s="14"/>
      <c r="B38" s="22" t="s">
        <v>338</v>
      </c>
      <c r="C38" s="23">
        <f t="shared" ref="C38:J38" si="124">BB38/1000</f>
        <v>0.0858</v>
      </c>
      <c r="D38" s="23">
        <f t="shared" si="124"/>
        <v>0.0793</v>
      </c>
      <c r="E38" s="23">
        <f t="shared" si="124"/>
        <v>0.0771</v>
      </c>
      <c r="F38" s="23">
        <f t="shared" si="124"/>
        <v>0.0766</v>
      </c>
      <c r="G38" s="23">
        <f t="shared" si="124"/>
        <v>0.0744</v>
      </c>
      <c r="H38" s="23">
        <f t="shared" si="124"/>
        <v>0.0767</v>
      </c>
      <c r="I38" s="23">
        <f t="shared" si="124"/>
        <v>0.0766</v>
      </c>
      <c r="J38" s="23">
        <f t="shared" si="124"/>
        <v>0.0766</v>
      </c>
      <c r="K38" s="15"/>
      <c r="L38" s="15"/>
      <c r="M38" s="28">
        <v>5.937</v>
      </c>
      <c r="N38" s="28">
        <v>5.845</v>
      </c>
      <c r="O38" s="28">
        <v>5.575</v>
      </c>
      <c r="P38" s="28">
        <v>5.276</v>
      </c>
      <c r="Q38" s="28">
        <v>5.363</v>
      </c>
      <c r="R38" s="28">
        <v>6.645</v>
      </c>
      <c r="S38" s="28">
        <v>5.654</v>
      </c>
      <c r="T38" s="28"/>
      <c r="U38" s="14"/>
      <c r="V38" s="22" t="s">
        <v>338</v>
      </c>
      <c r="W38" s="25">
        <f t="shared" ref="W38:AC38" si="125">D38/M38</f>
        <v>0.0133569142664645</v>
      </c>
      <c r="X38" s="25">
        <f t="shared" si="125"/>
        <v>0.0131907613344739</v>
      </c>
      <c r="Y38" s="25">
        <f t="shared" si="125"/>
        <v>0.0137399103139013</v>
      </c>
      <c r="Z38" s="25">
        <f t="shared" si="125"/>
        <v>0.0141015921152388</v>
      </c>
      <c r="AA38" s="25">
        <f t="shared" si="125"/>
        <v>0.0143016968114861</v>
      </c>
      <c r="AB38" s="26">
        <f t="shared" si="125"/>
        <v>0.0115274642588412</v>
      </c>
      <c r="AC38" s="26">
        <f t="shared" si="125"/>
        <v>0.0135479306685532</v>
      </c>
      <c r="AD38" s="15"/>
      <c r="AE38" s="15"/>
      <c r="AF38" s="25">
        <f t="shared" ref="AF38:AJ38" si="126">W38</f>
        <v>0.0133569142664645</v>
      </c>
      <c r="AG38" s="25">
        <f t="shared" si="126"/>
        <v>0.0131907613344739</v>
      </c>
      <c r="AH38" s="25">
        <f t="shared" si="126"/>
        <v>0.0137399103139013</v>
      </c>
      <c r="AI38" s="25">
        <f t="shared" si="126"/>
        <v>0.0141015921152388</v>
      </c>
      <c r="AJ38" s="25">
        <f t="shared" si="126"/>
        <v>0.0143016968114861</v>
      </c>
      <c r="AK38" s="27">
        <f t="shared" si="67"/>
        <v>0.0132565838976674</v>
      </c>
      <c r="AL38" s="27">
        <f t="shared" si="68"/>
        <v>0.0155801202688362</v>
      </c>
      <c r="AM38" s="15"/>
      <c r="AN38" s="15"/>
      <c r="AO38" s="25">
        <f t="shared" ref="AO38:AS38" si="127">W38</f>
        <v>0.0133569142664645</v>
      </c>
      <c r="AP38" s="25">
        <f t="shared" si="127"/>
        <v>0.0131907613344739</v>
      </c>
      <c r="AQ38" s="25">
        <f t="shared" si="127"/>
        <v>0.0137399103139013</v>
      </c>
      <c r="AR38" s="25">
        <f t="shared" si="127"/>
        <v>0.0141015921152388</v>
      </c>
      <c r="AS38" s="25">
        <f t="shared" si="127"/>
        <v>0.0143016968114861</v>
      </c>
      <c r="AT38" s="27">
        <f t="shared" si="70"/>
        <v>0.00979834462001505</v>
      </c>
      <c r="AU38" s="27">
        <f t="shared" si="71"/>
        <v>0.0115157410682703</v>
      </c>
      <c r="AZ38" s="14"/>
      <c r="BA38" s="22" t="s">
        <v>338</v>
      </c>
      <c r="BB38" s="23">
        <v>85.8</v>
      </c>
      <c r="BC38" s="25">
        <v>79.3</v>
      </c>
      <c r="BD38" s="25">
        <v>77.1</v>
      </c>
      <c r="BE38" s="25">
        <v>76.6</v>
      </c>
      <c r="BF38" s="25">
        <v>74.4</v>
      </c>
      <c r="BG38" s="25">
        <v>76.7</v>
      </c>
      <c r="BH38" s="25">
        <v>76.6</v>
      </c>
      <c r="BI38" s="25">
        <v>76.6</v>
      </c>
      <c r="BJ38" s="15"/>
      <c r="BK38" s="15"/>
      <c r="BL38" s="28"/>
      <c r="BM38" s="28"/>
      <c r="BN38" s="28"/>
      <c r="BO38" s="28"/>
    </row>
    <row r="39" ht="15.5" spans="1:67">
      <c r="A39" s="15"/>
      <c r="B39" s="15"/>
      <c r="C39" s="18"/>
      <c r="D39" s="15"/>
      <c r="E39" s="15"/>
      <c r="F39" s="15"/>
      <c r="G39" s="15"/>
      <c r="H39" s="15"/>
      <c r="I39" s="15"/>
      <c r="J39" s="15"/>
      <c r="K39" s="15"/>
      <c r="L39" s="15"/>
      <c r="M39" s="15"/>
      <c r="N39" s="15"/>
      <c r="O39" s="15"/>
      <c r="P39" s="15"/>
      <c r="Q39" s="15"/>
      <c r="R39" s="15"/>
      <c r="S39" s="15"/>
      <c r="T39" s="15"/>
      <c r="AZ39" s="15"/>
      <c r="BA39" s="15"/>
      <c r="BB39" s="18"/>
      <c r="BC39" s="15"/>
      <c r="BD39" s="15"/>
      <c r="BE39" s="15"/>
      <c r="BF39" s="15"/>
      <c r="BG39" s="15"/>
      <c r="BH39" s="15"/>
      <c r="BI39" s="15"/>
      <c r="BJ39" s="15"/>
      <c r="BK39" s="15"/>
      <c r="BL39" s="15"/>
      <c r="BM39" s="15"/>
      <c r="BN39" s="15"/>
      <c r="BO39" s="15"/>
    </row>
    <row r="40" ht="15.5" spans="1:67">
      <c r="A40" s="15"/>
      <c r="B40" s="15"/>
      <c r="C40" s="18"/>
      <c r="D40" s="15"/>
      <c r="E40" s="15"/>
      <c r="F40" s="15"/>
      <c r="G40" s="15"/>
      <c r="H40" s="15"/>
      <c r="I40" s="15"/>
      <c r="J40" s="15"/>
      <c r="K40" s="15"/>
      <c r="L40" s="15"/>
      <c r="M40" s="15"/>
      <c r="N40" s="15"/>
      <c r="O40" s="15"/>
      <c r="P40" s="15"/>
      <c r="Q40" s="15"/>
      <c r="R40" s="15"/>
      <c r="S40" s="15"/>
      <c r="T40" s="15"/>
      <c r="AZ40" s="15"/>
      <c r="BA40" s="15"/>
      <c r="BB40" s="18"/>
      <c r="BC40" s="15"/>
      <c r="BD40" s="15"/>
      <c r="BE40" s="15"/>
      <c r="BF40" s="15"/>
      <c r="BG40" s="15"/>
      <c r="BH40" s="15"/>
      <c r="BI40" s="15"/>
      <c r="BJ40" s="15"/>
      <c r="BK40" s="15"/>
      <c r="BL40" s="15"/>
      <c r="BM40" s="15"/>
      <c r="BN40" s="15"/>
      <c r="BO40" s="15"/>
    </row>
    <row r="41" ht="15.5" spans="1:67">
      <c r="A41" s="14" t="s">
        <v>354</v>
      </c>
      <c r="B41" s="14"/>
      <c r="C41" s="14"/>
      <c r="D41" s="14"/>
      <c r="E41" s="14"/>
      <c r="F41" s="14"/>
      <c r="G41" s="14"/>
      <c r="H41" s="14"/>
      <c r="I41" s="14"/>
      <c r="J41" s="14"/>
      <c r="K41" s="15"/>
      <c r="L41" s="15"/>
      <c r="M41" s="15"/>
      <c r="N41" s="15"/>
      <c r="O41" s="15"/>
      <c r="P41" s="15"/>
      <c r="Q41" s="15"/>
      <c r="R41" s="15"/>
      <c r="S41" s="15"/>
      <c r="T41" s="15"/>
      <c r="AZ41" s="14" t="s">
        <v>354</v>
      </c>
      <c r="BA41" s="14"/>
      <c r="BB41" s="14"/>
      <c r="BC41" s="14"/>
      <c r="BD41" s="14"/>
      <c r="BE41" s="14"/>
      <c r="BF41" s="14"/>
      <c r="BG41" s="14"/>
      <c r="BH41" s="14"/>
      <c r="BI41" s="14"/>
      <c r="BJ41" s="15"/>
      <c r="BK41" s="15"/>
      <c r="BL41" s="15"/>
      <c r="BM41" s="15"/>
      <c r="BN41" s="15"/>
      <c r="BO41" s="15"/>
    </row>
    <row r="42" ht="15.5" spans="1:67">
      <c r="A42" s="14" t="s">
        <v>322</v>
      </c>
      <c r="B42" s="14" t="s">
        <v>353</v>
      </c>
      <c r="C42" s="14" t="s">
        <v>324</v>
      </c>
      <c r="D42" s="14"/>
      <c r="E42" s="14"/>
      <c r="F42" s="14"/>
      <c r="G42" s="14"/>
      <c r="H42" s="14"/>
      <c r="I42" s="14"/>
      <c r="J42" s="14"/>
      <c r="K42" s="15"/>
      <c r="L42" s="15"/>
      <c r="M42" s="15"/>
      <c r="N42" s="15"/>
      <c r="O42" s="15"/>
      <c r="P42" s="15"/>
      <c r="Q42" s="15"/>
      <c r="R42" s="15"/>
      <c r="S42" s="15"/>
      <c r="T42" s="15"/>
      <c r="AZ42" s="14" t="s">
        <v>322</v>
      </c>
      <c r="BA42" s="14" t="s">
        <v>353</v>
      </c>
      <c r="BB42" s="14" t="s">
        <v>324</v>
      </c>
      <c r="BC42" s="14"/>
      <c r="BD42" s="14"/>
      <c r="BE42" s="14"/>
      <c r="BF42" s="14"/>
      <c r="BG42" s="14"/>
      <c r="BH42" s="14"/>
      <c r="BI42" s="14"/>
      <c r="BJ42" s="15"/>
      <c r="BK42" s="15"/>
      <c r="BL42" s="15"/>
      <c r="BM42" s="15"/>
      <c r="BN42" s="15"/>
      <c r="BO42" s="15"/>
    </row>
    <row r="43" ht="30" spans="1:67">
      <c r="A43" s="14"/>
      <c r="B43" s="14"/>
      <c r="C43" s="18" t="s">
        <v>325</v>
      </c>
      <c r="D43" s="15" t="s">
        <v>326</v>
      </c>
      <c r="E43" s="15" t="s">
        <v>327</v>
      </c>
      <c r="F43" s="19" t="s">
        <v>328</v>
      </c>
      <c r="G43" s="15" t="s">
        <v>329</v>
      </c>
      <c r="H43" s="15" t="s">
        <v>330</v>
      </c>
      <c r="I43" s="15" t="s">
        <v>331</v>
      </c>
      <c r="J43" s="15" t="s">
        <v>332</v>
      </c>
      <c r="K43" s="15"/>
      <c r="L43" s="15"/>
      <c r="M43" s="15" t="s">
        <v>326</v>
      </c>
      <c r="N43" s="15" t="s">
        <v>327</v>
      </c>
      <c r="O43" s="15" t="s">
        <v>328</v>
      </c>
      <c r="P43" s="15" t="s">
        <v>329</v>
      </c>
      <c r="Q43" s="15" t="s">
        <v>330</v>
      </c>
      <c r="R43" s="15" t="s">
        <v>331</v>
      </c>
      <c r="S43" s="15" t="s">
        <v>332</v>
      </c>
      <c r="T43" s="15"/>
      <c r="U43" s="15"/>
      <c r="V43" s="17" t="s">
        <v>351</v>
      </c>
      <c r="W43" s="15" t="s">
        <v>326</v>
      </c>
      <c r="X43" s="15" t="s">
        <v>327</v>
      </c>
      <c r="Y43" s="19" t="s">
        <v>328</v>
      </c>
      <c r="Z43" s="15" t="s">
        <v>329</v>
      </c>
      <c r="AA43" s="15" t="s">
        <v>330</v>
      </c>
      <c r="AB43" s="21" t="s">
        <v>331</v>
      </c>
      <c r="AC43" s="21" t="s">
        <v>332</v>
      </c>
      <c r="AD43" s="15"/>
      <c r="AE43" s="15"/>
      <c r="AF43" s="15" t="s">
        <v>326</v>
      </c>
      <c r="AG43" s="15" t="s">
        <v>327</v>
      </c>
      <c r="AH43" s="19" t="s">
        <v>328</v>
      </c>
      <c r="AI43" s="15" t="s">
        <v>329</v>
      </c>
      <c r="AJ43" s="15" t="s">
        <v>330</v>
      </c>
      <c r="AK43" s="21" t="s">
        <v>331</v>
      </c>
      <c r="AL43" s="21" t="s">
        <v>332</v>
      </c>
      <c r="AO43" s="15" t="s">
        <v>326</v>
      </c>
      <c r="AP43" s="15" t="s">
        <v>327</v>
      </c>
      <c r="AQ43" s="19" t="s">
        <v>328</v>
      </c>
      <c r="AR43" s="15" t="s">
        <v>329</v>
      </c>
      <c r="AS43" s="15" t="s">
        <v>330</v>
      </c>
      <c r="AT43" s="21" t="s">
        <v>331</v>
      </c>
      <c r="AU43" s="21" t="s">
        <v>332</v>
      </c>
      <c r="AZ43" s="14"/>
      <c r="BA43" s="14"/>
      <c r="BB43" s="18" t="s">
        <v>325</v>
      </c>
      <c r="BC43" s="15" t="s">
        <v>326</v>
      </c>
      <c r="BD43" s="15" t="s">
        <v>327</v>
      </c>
      <c r="BE43" s="19" t="s">
        <v>328</v>
      </c>
      <c r="BF43" s="15" t="s">
        <v>329</v>
      </c>
      <c r="BG43" s="15" t="s">
        <v>330</v>
      </c>
      <c r="BH43" s="15" t="s">
        <v>331</v>
      </c>
      <c r="BI43" s="15" t="s">
        <v>332</v>
      </c>
      <c r="BJ43" s="15"/>
      <c r="BK43" s="15"/>
      <c r="BL43" s="15"/>
      <c r="BM43" s="15"/>
      <c r="BN43" s="15"/>
      <c r="BO43" s="15"/>
    </row>
    <row r="44" ht="15.5" spans="1:67">
      <c r="A44" s="14" t="s">
        <v>333</v>
      </c>
      <c r="B44" s="22" t="s">
        <v>334</v>
      </c>
      <c r="C44" s="23">
        <f t="shared" ref="C44:J44" si="128">BB44/1000</f>
        <v>0.6652</v>
      </c>
      <c r="D44" s="23">
        <f t="shared" si="128"/>
        <v>0.5864</v>
      </c>
      <c r="E44" s="23">
        <f t="shared" si="128"/>
        <v>0.5679</v>
      </c>
      <c r="F44" s="23">
        <f t="shared" si="128"/>
        <v>0.5636</v>
      </c>
      <c r="G44" s="23">
        <f t="shared" si="128"/>
        <v>0.5409</v>
      </c>
      <c r="H44" s="23">
        <f t="shared" si="128"/>
        <v>0.5521</v>
      </c>
      <c r="I44" s="23">
        <f t="shared" si="128"/>
        <v>0.5636</v>
      </c>
      <c r="J44" s="23">
        <f t="shared" si="128"/>
        <v>0.5636</v>
      </c>
      <c r="K44" s="15"/>
      <c r="L44" s="15"/>
      <c r="M44" s="24">
        <v>5.937</v>
      </c>
      <c r="N44" s="24">
        <v>5.845</v>
      </c>
      <c r="O44" s="24">
        <v>5.575</v>
      </c>
      <c r="P44" s="24">
        <v>5.276</v>
      </c>
      <c r="Q44" s="24">
        <v>5.363</v>
      </c>
      <c r="R44" s="24">
        <v>6.645</v>
      </c>
      <c r="S44" s="24">
        <v>5.654</v>
      </c>
      <c r="T44" s="24"/>
      <c r="U44" s="14" t="s">
        <v>333</v>
      </c>
      <c r="V44" s="22" t="s">
        <v>334</v>
      </c>
      <c r="W44" s="25">
        <f t="shared" ref="W44:AC44" si="129">D44/M44</f>
        <v>0.098770422772444</v>
      </c>
      <c r="X44" s="25">
        <f t="shared" si="129"/>
        <v>0.0971599657827203</v>
      </c>
      <c r="Y44" s="25">
        <f t="shared" si="129"/>
        <v>0.101094170403587</v>
      </c>
      <c r="Z44" s="25">
        <f t="shared" si="129"/>
        <v>0.102520849128127</v>
      </c>
      <c r="AA44" s="25">
        <f t="shared" si="129"/>
        <v>0.102946112250606</v>
      </c>
      <c r="AB44" s="26">
        <f t="shared" si="129"/>
        <v>0.0848156508653123</v>
      </c>
      <c r="AC44" s="26">
        <f t="shared" si="129"/>
        <v>0.0996816413158826</v>
      </c>
      <c r="AD44" s="15"/>
      <c r="AE44" s="15"/>
      <c r="AF44" s="25">
        <f t="shared" ref="AF44:AJ44" si="130">W44</f>
        <v>0.098770422772444</v>
      </c>
      <c r="AG44" s="25">
        <f t="shared" si="130"/>
        <v>0.0971599657827203</v>
      </c>
      <c r="AH44" s="25">
        <f t="shared" si="130"/>
        <v>0.101094170403587</v>
      </c>
      <c r="AI44" s="25">
        <f t="shared" si="130"/>
        <v>0.102520849128127</v>
      </c>
      <c r="AJ44" s="25">
        <f t="shared" si="130"/>
        <v>0.102946112250606</v>
      </c>
      <c r="AK44" s="27">
        <f t="shared" ref="AK44:AK58" si="131">AB44*1.15</f>
        <v>0.0975379984951091</v>
      </c>
      <c r="AL44" s="27">
        <f t="shared" ref="AL44:AL58" si="132">AC44*1.15</f>
        <v>0.114633887513265</v>
      </c>
      <c r="AO44" s="25">
        <f t="shared" ref="AO44:AS44" si="133">W44</f>
        <v>0.098770422772444</v>
      </c>
      <c r="AP44" s="25">
        <f t="shared" si="133"/>
        <v>0.0971599657827203</v>
      </c>
      <c r="AQ44" s="25">
        <f t="shared" si="133"/>
        <v>0.101094170403587</v>
      </c>
      <c r="AR44" s="25">
        <f t="shared" si="133"/>
        <v>0.102520849128127</v>
      </c>
      <c r="AS44" s="25">
        <f t="shared" si="133"/>
        <v>0.102946112250606</v>
      </c>
      <c r="AT44" s="27">
        <f t="shared" ref="AT44:AT58" si="134">AB44*0.85</f>
        <v>0.0720933032355154</v>
      </c>
      <c r="AU44" s="27">
        <f t="shared" ref="AU44:AU58" si="135">AC44*0.85</f>
        <v>0.0847293951185002</v>
      </c>
      <c r="AZ44" s="14" t="s">
        <v>333</v>
      </c>
      <c r="BA44" s="22" t="s">
        <v>334</v>
      </c>
      <c r="BB44" s="23">
        <v>665.2</v>
      </c>
      <c r="BC44" s="25">
        <v>586.4</v>
      </c>
      <c r="BD44" s="25">
        <v>567.9</v>
      </c>
      <c r="BE44" s="25">
        <v>563.6</v>
      </c>
      <c r="BF44" s="25">
        <v>540.9</v>
      </c>
      <c r="BG44" s="25">
        <v>552.1</v>
      </c>
      <c r="BH44" s="25">
        <v>563.6</v>
      </c>
      <c r="BI44" s="25">
        <v>563.6</v>
      </c>
      <c r="BJ44" s="15"/>
      <c r="BK44" s="15"/>
      <c r="BL44" s="24"/>
      <c r="BM44" s="24"/>
      <c r="BN44" s="24"/>
      <c r="BO44" s="24"/>
    </row>
    <row r="45" ht="15.5" spans="1:67">
      <c r="A45" s="14"/>
      <c r="B45" s="22" t="s">
        <v>335</v>
      </c>
      <c r="C45" s="23">
        <f t="shared" ref="C45:J45" si="136">BB45/1000</f>
        <v>0.6092</v>
      </c>
      <c r="D45" s="23">
        <f t="shared" si="136"/>
        <v>0.5396</v>
      </c>
      <c r="E45" s="23">
        <f t="shared" si="136"/>
        <v>0.5232</v>
      </c>
      <c r="F45" s="23">
        <f t="shared" si="136"/>
        <v>0.5193</v>
      </c>
      <c r="G45" s="23">
        <f t="shared" si="136"/>
        <v>0.499</v>
      </c>
      <c r="H45" s="23">
        <f t="shared" si="136"/>
        <v>0.5091</v>
      </c>
      <c r="I45" s="23">
        <f t="shared" si="136"/>
        <v>0.5193</v>
      </c>
      <c r="J45" s="23">
        <f t="shared" si="136"/>
        <v>0.5193</v>
      </c>
      <c r="K45" s="15"/>
      <c r="L45" s="15"/>
      <c r="M45" s="28">
        <v>5.937</v>
      </c>
      <c r="N45" s="28">
        <v>5.845</v>
      </c>
      <c r="O45" s="28">
        <v>5.575</v>
      </c>
      <c r="P45" s="28">
        <v>5.276</v>
      </c>
      <c r="Q45" s="28">
        <v>5.363</v>
      </c>
      <c r="R45" s="28">
        <v>6.645</v>
      </c>
      <c r="S45" s="28">
        <v>5.654</v>
      </c>
      <c r="T45" s="28"/>
      <c r="U45" s="14"/>
      <c r="V45" s="22" t="s">
        <v>335</v>
      </c>
      <c r="W45" s="25">
        <f t="shared" ref="W45:AC45" si="137">D45/M45</f>
        <v>0.0908876536971534</v>
      </c>
      <c r="X45" s="25">
        <f t="shared" si="137"/>
        <v>0.0895124037639008</v>
      </c>
      <c r="Y45" s="25">
        <f t="shared" si="137"/>
        <v>0.0931479820627803</v>
      </c>
      <c r="Z45" s="25">
        <f t="shared" si="137"/>
        <v>0.094579226686884</v>
      </c>
      <c r="AA45" s="25">
        <f t="shared" si="137"/>
        <v>0.0949282118217415</v>
      </c>
      <c r="AB45" s="26">
        <f t="shared" si="137"/>
        <v>0.0781489841986456</v>
      </c>
      <c r="AC45" s="26">
        <f t="shared" si="137"/>
        <v>0.0918464803678811</v>
      </c>
      <c r="AD45" s="15"/>
      <c r="AE45" s="15"/>
      <c r="AF45" s="25">
        <f t="shared" ref="AF45:AJ45" si="138">W45</f>
        <v>0.0908876536971534</v>
      </c>
      <c r="AG45" s="25">
        <f t="shared" si="138"/>
        <v>0.0895124037639008</v>
      </c>
      <c r="AH45" s="25">
        <f t="shared" si="138"/>
        <v>0.0931479820627803</v>
      </c>
      <c r="AI45" s="25">
        <f t="shared" si="138"/>
        <v>0.094579226686884</v>
      </c>
      <c r="AJ45" s="25">
        <f t="shared" si="138"/>
        <v>0.0949282118217415</v>
      </c>
      <c r="AK45" s="27">
        <f t="shared" si="131"/>
        <v>0.0898713318284424</v>
      </c>
      <c r="AL45" s="27">
        <f t="shared" si="132"/>
        <v>0.105623452423063</v>
      </c>
      <c r="AO45" s="25">
        <f t="shared" ref="AO45:AS45" si="139">W45</f>
        <v>0.0908876536971534</v>
      </c>
      <c r="AP45" s="25">
        <f t="shared" si="139"/>
        <v>0.0895124037639008</v>
      </c>
      <c r="AQ45" s="25">
        <f t="shared" si="139"/>
        <v>0.0931479820627803</v>
      </c>
      <c r="AR45" s="25">
        <f t="shared" si="139"/>
        <v>0.094579226686884</v>
      </c>
      <c r="AS45" s="25">
        <f t="shared" si="139"/>
        <v>0.0949282118217415</v>
      </c>
      <c r="AT45" s="27">
        <f t="shared" si="134"/>
        <v>0.0664266365688488</v>
      </c>
      <c r="AU45" s="27">
        <f t="shared" si="135"/>
        <v>0.078069508312699</v>
      </c>
      <c r="AZ45" s="14"/>
      <c r="BA45" s="22" t="s">
        <v>335</v>
      </c>
      <c r="BB45" s="23">
        <v>609.2</v>
      </c>
      <c r="BC45" s="25">
        <v>539.6</v>
      </c>
      <c r="BD45" s="25">
        <v>523.2</v>
      </c>
      <c r="BE45" s="25">
        <v>519.3</v>
      </c>
      <c r="BF45" s="25">
        <v>499</v>
      </c>
      <c r="BG45" s="25">
        <v>509.1</v>
      </c>
      <c r="BH45" s="25">
        <v>519.3</v>
      </c>
      <c r="BI45" s="25">
        <v>519.3</v>
      </c>
      <c r="BJ45" s="15"/>
      <c r="BK45" s="15"/>
      <c r="BL45" s="28"/>
      <c r="BM45" s="28"/>
      <c r="BN45" s="28"/>
      <c r="BO45" s="28"/>
    </row>
    <row r="46" ht="15.5" spans="1:67">
      <c r="A46" s="14"/>
      <c r="B46" s="22" t="s">
        <v>336</v>
      </c>
      <c r="C46" s="23">
        <f t="shared" ref="C46:J46" si="140">BB46/1000</f>
        <v>0.1429</v>
      </c>
      <c r="D46" s="23">
        <f t="shared" si="140"/>
        <v>0.1194</v>
      </c>
      <c r="E46" s="23">
        <f t="shared" si="140"/>
        <v>0.114</v>
      </c>
      <c r="F46" s="23">
        <f t="shared" si="140"/>
        <v>0.1127</v>
      </c>
      <c r="G46" s="23">
        <f t="shared" si="140"/>
        <v>0.1061</v>
      </c>
      <c r="H46" s="23">
        <f t="shared" si="140"/>
        <v>0.1094</v>
      </c>
      <c r="I46" s="23">
        <f t="shared" si="140"/>
        <v>0.1127</v>
      </c>
      <c r="J46" s="23">
        <f t="shared" si="140"/>
        <v>0.1127</v>
      </c>
      <c r="K46" s="15"/>
      <c r="L46" s="15"/>
      <c r="M46" s="28">
        <v>5.937</v>
      </c>
      <c r="N46" s="28">
        <v>5.845</v>
      </c>
      <c r="O46" s="28">
        <v>5.575</v>
      </c>
      <c r="P46" s="28">
        <v>5.276</v>
      </c>
      <c r="Q46" s="28">
        <v>5.363</v>
      </c>
      <c r="R46" s="28">
        <v>6.645</v>
      </c>
      <c r="S46" s="28">
        <v>5.654</v>
      </c>
      <c r="T46" s="28"/>
      <c r="U46" s="14"/>
      <c r="V46" s="22" t="s">
        <v>336</v>
      </c>
      <c r="W46" s="25">
        <f t="shared" ref="W46:AC46" si="141">D46/M46</f>
        <v>0.02011116725619</v>
      </c>
      <c r="X46" s="25">
        <f t="shared" si="141"/>
        <v>0.0195038494439692</v>
      </c>
      <c r="Y46" s="25">
        <f t="shared" si="141"/>
        <v>0.0202152466367713</v>
      </c>
      <c r="Z46" s="25">
        <f t="shared" si="141"/>
        <v>0.0201099317664898</v>
      </c>
      <c r="AA46" s="25">
        <f t="shared" si="141"/>
        <v>0.0203990303934365</v>
      </c>
      <c r="AB46" s="26">
        <f t="shared" si="141"/>
        <v>0.0169601203912716</v>
      </c>
      <c r="AC46" s="26">
        <f t="shared" si="141"/>
        <v>0.0199327909444641</v>
      </c>
      <c r="AD46" s="15"/>
      <c r="AE46" s="15"/>
      <c r="AF46" s="25">
        <f t="shared" ref="AF46:AJ46" si="142">W46</f>
        <v>0.02011116725619</v>
      </c>
      <c r="AG46" s="25">
        <f t="shared" si="142"/>
        <v>0.0195038494439692</v>
      </c>
      <c r="AH46" s="25">
        <f t="shared" si="142"/>
        <v>0.0202152466367713</v>
      </c>
      <c r="AI46" s="25">
        <f t="shared" si="142"/>
        <v>0.0201099317664898</v>
      </c>
      <c r="AJ46" s="25">
        <f t="shared" si="142"/>
        <v>0.0203990303934365</v>
      </c>
      <c r="AK46" s="27">
        <f t="shared" si="131"/>
        <v>0.0195041384499624</v>
      </c>
      <c r="AL46" s="27">
        <f t="shared" si="132"/>
        <v>0.0229227095861337</v>
      </c>
      <c r="AO46" s="25">
        <f t="shared" ref="AO46:AS46" si="143">W46</f>
        <v>0.02011116725619</v>
      </c>
      <c r="AP46" s="25">
        <f t="shared" si="143"/>
        <v>0.0195038494439692</v>
      </c>
      <c r="AQ46" s="25">
        <f t="shared" si="143"/>
        <v>0.0202152466367713</v>
      </c>
      <c r="AR46" s="25">
        <f t="shared" si="143"/>
        <v>0.0201099317664898</v>
      </c>
      <c r="AS46" s="25">
        <f t="shared" si="143"/>
        <v>0.0203990303934365</v>
      </c>
      <c r="AT46" s="27">
        <f t="shared" si="134"/>
        <v>0.0144161023325809</v>
      </c>
      <c r="AU46" s="27">
        <f t="shared" si="135"/>
        <v>0.0169428723027945</v>
      </c>
      <c r="AZ46" s="14"/>
      <c r="BA46" s="22" t="s">
        <v>336</v>
      </c>
      <c r="BB46" s="23">
        <v>142.9</v>
      </c>
      <c r="BC46" s="25">
        <v>119.4</v>
      </c>
      <c r="BD46" s="25">
        <v>114</v>
      </c>
      <c r="BE46" s="25">
        <v>112.7</v>
      </c>
      <c r="BF46" s="25">
        <v>106.1</v>
      </c>
      <c r="BG46" s="25">
        <v>109.4</v>
      </c>
      <c r="BH46" s="25">
        <v>112.7</v>
      </c>
      <c r="BI46" s="25">
        <v>112.7</v>
      </c>
      <c r="BJ46" s="15"/>
      <c r="BK46" s="15"/>
      <c r="BL46" s="28"/>
      <c r="BM46" s="28"/>
      <c r="BN46" s="28"/>
      <c r="BO46" s="28"/>
    </row>
    <row r="47" ht="15.5" spans="1:67">
      <c r="A47" s="14"/>
      <c r="B47" s="22" t="s">
        <v>337</v>
      </c>
      <c r="C47" s="23">
        <f t="shared" ref="C47:J47" si="144">BB47/1000</f>
        <v>0.4256</v>
      </c>
      <c r="D47" s="23">
        <f t="shared" si="144"/>
        <v>0.3807</v>
      </c>
      <c r="E47" s="23">
        <f t="shared" si="144"/>
        <v>0.3703</v>
      </c>
      <c r="F47" s="23">
        <f t="shared" si="144"/>
        <v>0.3679</v>
      </c>
      <c r="G47" s="23">
        <f t="shared" si="144"/>
        <v>0.3552</v>
      </c>
      <c r="H47" s="23">
        <f t="shared" si="144"/>
        <v>0.3613</v>
      </c>
      <c r="I47" s="23">
        <f t="shared" si="144"/>
        <v>0.3679</v>
      </c>
      <c r="J47" s="23">
        <f t="shared" si="144"/>
        <v>0.3679</v>
      </c>
      <c r="K47" s="15"/>
      <c r="L47" s="15"/>
      <c r="M47" s="28">
        <v>5.937</v>
      </c>
      <c r="N47" s="28">
        <v>5.845</v>
      </c>
      <c r="O47" s="28">
        <v>5.575</v>
      </c>
      <c r="P47" s="28">
        <v>5.276</v>
      </c>
      <c r="Q47" s="28">
        <v>5.363</v>
      </c>
      <c r="R47" s="28">
        <v>6.645</v>
      </c>
      <c r="S47" s="28">
        <v>5.654</v>
      </c>
      <c r="T47" s="28"/>
      <c r="U47" s="14"/>
      <c r="V47" s="22" t="s">
        <v>337</v>
      </c>
      <c r="W47" s="25">
        <f t="shared" ref="W47:AC47" si="145">D47/M47</f>
        <v>0.0641232945932289</v>
      </c>
      <c r="X47" s="25">
        <f t="shared" si="145"/>
        <v>0.0633532934131737</v>
      </c>
      <c r="Y47" s="25">
        <f t="shared" si="145"/>
        <v>0.0659910313901345</v>
      </c>
      <c r="Z47" s="25">
        <f t="shared" si="145"/>
        <v>0.0673237300985595</v>
      </c>
      <c r="AA47" s="25">
        <f t="shared" si="145"/>
        <v>0.0673690098825284</v>
      </c>
      <c r="AB47" s="26">
        <f t="shared" si="145"/>
        <v>0.055364936042137</v>
      </c>
      <c r="AC47" s="26">
        <f t="shared" si="145"/>
        <v>0.0650689777148921</v>
      </c>
      <c r="AD47" s="15"/>
      <c r="AE47" s="15"/>
      <c r="AF47" s="25">
        <f t="shared" ref="AF47:AJ47" si="146">W47</f>
        <v>0.0641232945932289</v>
      </c>
      <c r="AG47" s="25">
        <f t="shared" si="146"/>
        <v>0.0633532934131737</v>
      </c>
      <c r="AH47" s="25">
        <f t="shared" si="146"/>
        <v>0.0659910313901345</v>
      </c>
      <c r="AI47" s="25">
        <f t="shared" si="146"/>
        <v>0.0673237300985595</v>
      </c>
      <c r="AJ47" s="25">
        <f t="shared" si="146"/>
        <v>0.0673690098825284</v>
      </c>
      <c r="AK47" s="27">
        <f t="shared" si="131"/>
        <v>0.0636696764484575</v>
      </c>
      <c r="AL47" s="27">
        <f t="shared" si="132"/>
        <v>0.0748293243721259</v>
      </c>
      <c r="AO47" s="25">
        <f t="shared" ref="AO47:AS47" si="147">W47</f>
        <v>0.0641232945932289</v>
      </c>
      <c r="AP47" s="25">
        <f t="shared" si="147"/>
        <v>0.0633532934131737</v>
      </c>
      <c r="AQ47" s="25">
        <f t="shared" si="147"/>
        <v>0.0659910313901345</v>
      </c>
      <c r="AR47" s="25">
        <f t="shared" si="147"/>
        <v>0.0673237300985595</v>
      </c>
      <c r="AS47" s="25">
        <f t="shared" si="147"/>
        <v>0.0673690098825284</v>
      </c>
      <c r="AT47" s="27">
        <f t="shared" si="134"/>
        <v>0.0470601956358164</v>
      </c>
      <c r="AU47" s="27">
        <f t="shared" si="135"/>
        <v>0.0553086310576583</v>
      </c>
      <c r="AZ47" s="14"/>
      <c r="BA47" s="22" t="s">
        <v>337</v>
      </c>
      <c r="BB47" s="23">
        <v>425.6</v>
      </c>
      <c r="BC47" s="25">
        <v>380.7</v>
      </c>
      <c r="BD47" s="25">
        <v>370.3</v>
      </c>
      <c r="BE47" s="25">
        <v>367.9</v>
      </c>
      <c r="BF47" s="25">
        <v>355.2</v>
      </c>
      <c r="BG47" s="25">
        <v>361.3</v>
      </c>
      <c r="BH47" s="25">
        <v>367.9</v>
      </c>
      <c r="BI47" s="25">
        <v>367.9</v>
      </c>
      <c r="BJ47" s="15"/>
      <c r="BK47" s="15"/>
      <c r="BL47" s="28"/>
      <c r="BM47" s="28"/>
      <c r="BN47" s="28"/>
      <c r="BO47" s="28"/>
    </row>
    <row r="48" ht="15.5" spans="1:67">
      <c r="A48" s="14"/>
      <c r="B48" s="22" t="s">
        <v>338</v>
      </c>
      <c r="C48" s="23">
        <f t="shared" ref="C48:J48" si="148">BB48/1000</f>
        <v>0.0846</v>
      </c>
      <c r="D48" s="23">
        <f t="shared" si="148"/>
        <v>0.077</v>
      </c>
      <c r="E48" s="23">
        <f t="shared" si="148"/>
        <v>0.0749</v>
      </c>
      <c r="F48" s="23">
        <f t="shared" si="148"/>
        <v>0.0744</v>
      </c>
      <c r="G48" s="23">
        <f t="shared" si="148"/>
        <v>0.0717</v>
      </c>
      <c r="H48" s="23">
        <f t="shared" si="148"/>
        <v>0.0731</v>
      </c>
      <c r="I48" s="23">
        <f t="shared" si="148"/>
        <v>0.0744</v>
      </c>
      <c r="J48" s="23">
        <f t="shared" si="148"/>
        <v>0.0744</v>
      </c>
      <c r="K48" s="15"/>
      <c r="L48" s="15"/>
      <c r="M48" s="28">
        <v>5.937</v>
      </c>
      <c r="N48" s="28">
        <v>5.845</v>
      </c>
      <c r="O48" s="28">
        <v>5.575</v>
      </c>
      <c r="P48" s="28">
        <v>5.276</v>
      </c>
      <c r="Q48" s="28">
        <v>5.363</v>
      </c>
      <c r="R48" s="28">
        <v>6.645</v>
      </c>
      <c r="S48" s="28">
        <v>5.654</v>
      </c>
      <c r="T48" s="28"/>
      <c r="U48" s="14"/>
      <c r="V48" s="22" t="s">
        <v>338</v>
      </c>
      <c r="W48" s="25">
        <f t="shared" ref="W48:AC48" si="149">D48/M48</f>
        <v>0.0129695132221661</v>
      </c>
      <c r="X48" s="25">
        <f t="shared" si="149"/>
        <v>0.012814371257485</v>
      </c>
      <c r="Y48" s="25">
        <f t="shared" si="149"/>
        <v>0.0133452914798206</v>
      </c>
      <c r="Z48" s="25">
        <f t="shared" si="149"/>
        <v>0.0135898407884761</v>
      </c>
      <c r="AA48" s="25">
        <f t="shared" si="149"/>
        <v>0.0136304307290695</v>
      </c>
      <c r="AB48" s="26">
        <f t="shared" si="149"/>
        <v>0.011196388261851</v>
      </c>
      <c r="AC48" s="26">
        <f t="shared" si="149"/>
        <v>0.0131588256101875</v>
      </c>
      <c r="AD48" s="15"/>
      <c r="AE48" s="15"/>
      <c r="AF48" s="25">
        <f t="shared" ref="AF48:AJ48" si="150">W48</f>
        <v>0.0129695132221661</v>
      </c>
      <c r="AG48" s="25">
        <f t="shared" si="150"/>
        <v>0.012814371257485</v>
      </c>
      <c r="AH48" s="25">
        <f t="shared" si="150"/>
        <v>0.0133452914798206</v>
      </c>
      <c r="AI48" s="25">
        <f t="shared" si="150"/>
        <v>0.0135898407884761</v>
      </c>
      <c r="AJ48" s="25">
        <f t="shared" si="150"/>
        <v>0.0136304307290695</v>
      </c>
      <c r="AK48" s="27">
        <f t="shared" si="131"/>
        <v>0.0128758465011287</v>
      </c>
      <c r="AL48" s="27">
        <f t="shared" si="132"/>
        <v>0.0151326494517156</v>
      </c>
      <c r="AO48" s="25">
        <f t="shared" ref="AO48:AS48" si="151">W48</f>
        <v>0.0129695132221661</v>
      </c>
      <c r="AP48" s="25">
        <f t="shared" si="151"/>
        <v>0.012814371257485</v>
      </c>
      <c r="AQ48" s="25">
        <f t="shared" si="151"/>
        <v>0.0133452914798206</v>
      </c>
      <c r="AR48" s="25">
        <f t="shared" si="151"/>
        <v>0.0135898407884761</v>
      </c>
      <c r="AS48" s="25">
        <f t="shared" si="151"/>
        <v>0.0136304307290695</v>
      </c>
      <c r="AT48" s="27">
        <f t="shared" si="134"/>
        <v>0.00951693002257336</v>
      </c>
      <c r="AU48" s="27">
        <f t="shared" si="135"/>
        <v>0.0111850017686594</v>
      </c>
      <c r="AZ48" s="14"/>
      <c r="BA48" s="22" t="s">
        <v>338</v>
      </c>
      <c r="BB48" s="23">
        <v>84.6</v>
      </c>
      <c r="BC48" s="25">
        <v>77</v>
      </c>
      <c r="BD48" s="25">
        <v>74.9</v>
      </c>
      <c r="BE48" s="25">
        <v>74.4</v>
      </c>
      <c r="BF48" s="25">
        <v>71.7</v>
      </c>
      <c r="BG48" s="25">
        <v>73.1</v>
      </c>
      <c r="BH48" s="25">
        <v>74.4</v>
      </c>
      <c r="BI48" s="25">
        <v>74.4</v>
      </c>
      <c r="BJ48" s="15"/>
      <c r="BK48" s="15"/>
      <c r="BL48" s="28"/>
      <c r="BM48" s="28"/>
      <c r="BN48" s="28"/>
      <c r="BO48" s="28"/>
    </row>
    <row r="49" ht="15.5" spans="1:67">
      <c r="A49" s="14" t="s">
        <v>339</v>
      </c>
      <c r="B49" s="22" t="s">
        <v>334</v>
      </c>
      <c r="C49" s="23">
        <f t="shared" ref="C49:J49" si="152">BB49/1000</f>
        <v>0.6792</v>
      </c>
      <c r="D49" s="23">
        <f t="shared" si="152"/>
        <v>0.5984</v>
      </c>
      <c r="E49" s="23">
        <f t="shared" si="152"/>
        <v>0.5794</v>
      </c>
      <c r="F49" s="23">
        <f t="shared" si="152"/>
        <v>0.575</v>
      </c>
      <c r="G49" s="23">
        <f t="shared" si="152"/>
        <v>0.5517</v>
      </c>
      <c r="H49" s="23">
        <f t="shared" si="152"/>
        <v>0.5632</v>
      </c>
      <c r="I49" s="23">
        <f t="shared" si="152"/>
        <v>0.575</v>
      </c>
      <c r="J49" s="23">
        <f t="shared" si="152"/>
        <v>0.575</v>
      </c>
      <c r="K49" s="15"/>
      <c r="L49" s="15"/>
      <c r="M49" s="28">
        <v>5.937</v>
      </c>
      <c r="N49" s="28">
        <v>5.845</v>
      </c>
      <c r="O49" s="28">
        <v>5.575</v>
      </c>
      <c r="P49" s="28">
        <v>5.276</v>
      </c>
      <c r="Q49" s="28">
        <v>5.363</v>
      </c>
      <c r="R49" s="28">
        <v>6.645</v>
      </c>
      <c r="S49" s="28">
        <v>5.654</v>
      </c>
      <c r="T49" s="28"/>
      <c r="U49" s="14" t="s">
        <v>339</v>
      </c>
      <c r="V49" s="22" t="s">
        <v>334</v>
      </c>
      <c r="W49" s="25">
        <f t="shared" ref="W49:AC49" si="153">D49/M49</f>
        <v>0.100791645612262</v>
      </c>
      <c r="X49" s="25">
        <f t="shared" si="153"/>
        <v>0.0991274593669803</v>
      </c>
      <c r="Y49" s="25">
        <f t="shared" si="153"/>
        <v>0.103139013452915</v>
      </c>
      <c r="Z49" s="25">
        <f t="shared" si="153"/>
        <v>0.104567854435178</v>
      </c>
      <c r="AA49" s="25">
        <f t="shared" si="153"/>
        <v>0.105015849338057</v>
      </c>
      <c r="AB49" s="26">
        <f t="shared" si="153"/>
        <v>0.0865312264860798</v>
      </c>
      <c r="AC49" s="26">
        <f t="shared" si="153"/>
        <v>0.10169791298196</v>
      </c>
      <c r="AD49" s="15"/>
      <c r="AE49" s="15"/>
      <c r="AF49" s="25">
        <f t="shared" ref="AF49:AJ49" si="154">W49</f>
        <v>0.100791645612262</v>
      </c>
      <c r="AG49" s="25">
        <f t="shared" si="154"/>
        <v>0.0991274593669803</v>
      </c>
      <c r="AH49" s="25">
        <f t="shared" si="154"/>
        <v>0.103139013452915</v>
      </c>
      <c r="AI49" s="25">
        <f t="shared" si="154"/>
        <v>0.104567854435178</v>
      </c>
      <c r="AJ49" s="25">
        <f t="shared" si="154"/>
        <v>0.105015849338057</v>
      </c>
      <c r="AK49" s="27">
        <f t="shared" si="131"/>
        <v>0.0995109104589917</v>
      </c>
      <c r="AL49" s="27">
        <f t="shared" si="132"/>
        <v>0.116952599929254</v>
      </c>
      <c r="AO49" s="25">
        <f t="shared" ref="AO49:AS49" si="155">W49</f>
        <v>0.100791645612262</v>
      </c>
      <c r="AP49" s="25">
        <f t="shared" si="155"/>
        <v>0.0991274593669803</v>
      </c>
      <c r="AQ49" s="25">
        <f t="shared" si="155"/>
        <v>0.103139013452915</v>
      </c>
      <c r="AR49" s="25">
        <f t="shared" si="155"/>
        <v>0.104567854435178</v>
      </c>
      <c r="AS49" s="25">
        <f t="shared" si="155"/>
        <v>0.105015849338057</v>
      </c>
      <c r="AT49" s="27">
        <f t="shared" si="134"/>
        <v>0.0735515425131678</v>
      </c>
      <c r="AU49" s="27">
        <f t="shared" si="135"/>
        <v>0.0864432260346657</v>
      </c>
      <c r="AZ49" s="14" t="s">
        <v>339</v>
      </c>
      <c r="BA49" s="22" t="s">
        <v>334</v>
      </c>
      <c r="BB49" s="23">
        <v>679.2</v>
      </c>
      <c r="BC49" s="25">
        <v>598.4</v>
      </c>
      <c r="BD49" s="25">
        <v>579.4</v>
      </c>
      <c r="BE49" s="25">
        <v>575</v>
      </c>
      <c r="BF49" s="25">
        <v>551.7</v>
      </c>
      <c r="BG49" s="25">
        <v>563.2</v>
      </c>
      <c r="BH49" s="25">
        <v>575</v>
      </c>
      <c r="BI49" s="25">
        <v>575</v>
      </c>
      <c r="BJ49" s="15"/>
      <c r="BK49" s="15"/>
      <c r="BL49" s="28"/>
      <c r="BM49" s="28"/>
      <c r="BN49" s="28"/>
      <c r="BO49" s="28"/>
    </row>
    <row r="50" ht="15.5" spans="1:67">
      <c r="A50" s="14"/>
      <c r="B50" s="22" t="s">
        <v>335</v>
      </c>
      <c r="C50" s="23">
        <f t="shared" ref="C50:J50" si="156">BB50/1000</f>
        <v>0.6241</v>
      </c>
      <c r="D50" s="23">
        <f t="shared" si="156"/>
        <v>0.5523</v>
      </c>
      <c r="E50" s="23">
        <f t="shared" si="156"/>
        <v>0.5353</v>
      </c>
      <c r="F50" s="23">
        <f t="shared" si="156"/>
        <v>0.5314</v>
      </c>
      <c r="G50" s="23">
        <f t="shared" si="156"/>
        <v>0.5105</v>
      </c>
      <c r="H50" s="23">
        <f t="shared" si="156"/>
        <v>0.5209</v>
      </c>
      <c r="I50" s="23">
        <f t="shared" si="156"/>
        <v>0.5314</v>
      </c>
      <c r="J50" s="23">
        <f t="shared" si="156"/>
        <v>0.5314</v>
      </c>
      <c r="K50" s="15"/>
      <c r="L50" s="15"/>
      <c r="M50" s="28">
        <v>5.937</v>
      </c>
      <c r="N50" s="28">
        <v>5.845</v>
      </c>
      <c r="O50" s="28">
        <v>5.575</v>
      </c>
      <c r="P50" s="28">
        <v>5.276</v>
      </c>
      <c r="Q50" s="28">
        <v>5.363</v>
      </c>
      <c r="R50" s="28">
        <v>6.645</v>
      </c>
      <c r="S50" s="28">
        <v>5.654</v>
      </c>
      <c r="T50" s="28"/>
      <c r="U50" s="14"/>
      <c r="V50" s="22" t="s">
        <v>335</v>
      </c>
      <c r="W50" s="25">
        <f t="shared" ref="W50:AC50" si="157">D50/M50</f>
        <v>0.0930267812026276</v>
      </c>
      <c r="X50" s="25">
        <f t="shared" si="157"/>
        <v>0.0915825491873396</v>
      </c>
      <c r="Y50" s="25">
        <f t="shared" si="157"/>
        <v>0.0953183856502242</v>
      </c>
      <c r="Z50" s="25">
        <f t="shared" si="157"/>
        <v>0.0967589082638362</v>
      </c>
      <c r="AA50" s="25">
        <f t="shared" si="157"/>
        <v>0.0971284728696625</v>
      </c>
      <c r="AB50" s="26">
        <f t="shared" si="157"/>
        <v>0.0799699021820918</v>
      </c>
      <c r="AC50" s="26">
        <f t="shared" si="157"/>
        <v>0.0939865581888928</v>
      </c>
      <c r="AD50" s="15"/>
      <c r="AE50" s="15"/>
      <c r="AF50" s="25">
        <f t="shared" ref="AF50:AJ50" si="158">W50</f>
        <v>0.0930267812026276</v>
      </c>
      <c r="AG50" s="25">
        <f t="shared" si="158"/>
        <v>0.0915825491873396</v>
      </c>
      <c r="AH50" s="25">
        <f t="shared" si="158"/>
        <v>0.0953183856502242</v>
      </c>
      <c r="AI50" s="25">
        <f t="shared" si="158"/>
        <v>0.0967589082638362</v>
      </c>
      <c r="AJ50" s="25">
        <f t="shared" si="158"/>
        <v>0.0971284728696625</v>
      </c>
      <c r="AK50" s="27">
        <f t="shared" si="131"/>
        <v>0.0919653875094056</v>
      </c>
      <c r="AL50" s="27">
        <f t="shared" si="132"/>
        <v>0.108084541917227</v>
      </c>
      <c r="AO50" s="25">
        <f t="shared" ref="AO50:AS50" si="159">W50</f>
        <v>0.0930267812026276</v>
      </c>
      <c r="AP50" s="25">
        <f t="shared" si="159"/>
        <v>0.0915825491873396</v>
      </c>
      <c r="AQ50" s="25">
        <f t="shared" si="159"/>
        <v>0.0953183856502242</v>
      </c>
      <c r="AR50" s="25">
        <f t="shared" si="159"/>
        <v>0.0967589082638362</v>
      </c>
      <c r="AS50" s="25">
        <f t="shared" si="159"/>
        <v>0.0971284728696625</v>
      </c>
      <c r="AT50" s="27">
        <f t="shared" si="134"/>
        <v>0.067974416854778</v>
      </c>
      <c r="AU50" s="27">
        <f t="shared" si="135"/>
        <v>0.0798885744605589</v>
      </c>
      <c r="AZ50" s="14"/>
      <c r="BA50" s="22" t="s">
        <v>335</v>
      </c>
      <c r="BB50" s="23">
        <v>624.1</v>
      </c>
      <c r="BC50" s="25">
        <v>552.3</v>
      </c>
      <c r="BD50" s="25">
        <v>535.3</v>
      </c>
      <c r="BE50" s="25">
        <v>531.4</v>
      </c>
      <c r="BF50" s="25">
        <v>510.5</v>
      </c>
      <c r="BG50" s="25">
        <v>520.9</v>
      </c>
      <c r="BH50" s="25">
        <v>531.4</v>
      </c>
      <c r="BI50" s="25">
        <v>531.4</v>
      </c>
      <c r="BJ50" s="15"/>
      <c r="BK50" s="15"/>
      <c r="BL50" s="28"/>
      <c r="BM50" s="28"/>
      <c r="BN50" s="28"/>
      <c r="BO50" s="28"/>
    </row>
    <row r="51" ht="15.5" spans="1:67">
      <c r="A51" s="14"/>
      <c r="B51" s="22" t="s">
        <v>336</v>
      </c>
      <c r="C51" s="23">
        <f t="shared" ref="C51:J51" si="160">BB51/1000</f>
        <v>0.1745</v>
      </c>
      <c r="D51" s="23">
        <f t="shared" si="160"/>
        <v>0.1463</v>
      </c>
      <c r="E51" s="23">
        <f t="shared" si="160"/>
        <v>0.1398</v>
      </c>
      <c r="F51" s="23">
        <f t="shared" si="160"/>
        <v>0.1383</v>
      </c>
      <c r="G51" s="23">
        <f t="shared" si="160"/>
        <v>0.1304</v>
      </c>
      <c r="H51" s="23">
        <f t="shared" si="160"/>
        <v>0.1343</v>
      </c>
      <c r="I51" s="23">
        <f t="shared" si="160"/>
        <v>0.1383</v>
      </c>
      <c r="J51" s="23">
        <f t="shared" si="160"/>
        <v>0.1383</v>
      </c>
      <c r="K51" s="15"/>
      <c r="L51" s="15"/>
      <c r="M51" s="28">
        <v>5.937</v>
      </c>
      <c r="N51" s="28">
        <v>5.845</v>
      </c>
      <c r="O51" s="28">
        <v>5.575</v>
      </c>
      <c r="P51" s="28">
        <v>5.276</v>
      </c>
      <c r="Q51" s="28">
        <v>5.363</v>
      </c>
      <c r="R51" s="28">
        <v>6.645</v>
      </c>
      <c r="S51" s="28">
        <v>5.654</v>
      </c>
      <c r="T51" s="28"/>
      <c r="U51" s="14"/>
      <c r="V51" s="22" t="s">
        <v>336</v>
      </c>
      <c r="W51" s="25">
        <f t="shared" ref="W51:AC51" si="161">D51/M51</f>
        <v>0.0246420751221155</v>
      </c>
      <c r="X51" s="25">
        <f t="shared" si="161"/>
        <v>0.023917878528657</v>
      </c>
      <c r="Y51" s="25">
        <f t="shared" si="161"/>
        <v>0.0248071748878924</v>
      </c>
      <c r="Z51" s="25">
        <f t="shared" si="161"/>
        <v>0.0247156937073541</v>
      </c>
      <c r="AA51" s="25">
        <f t="shared" si="161"/>
        <v>0.025041954130151</v>
      </c>
      <c r="AB51" s="26">
        <f t="shared" si="161"/>
        <v>0.0208126410835214</v>
      </c>
      <c r="AC51" s="26">
        <f t="shared" si="161"/>
        <v>0.0244605588963566</v>
      </c>
      <c r="AD51" s="15"/>
      <c r="AE51" s="15"/>
      <c r="AF51" s="25">
        <f t="shared" ref="AF51:AJ51" si="162">W51</f>
        <v>0.0246420751221155</v>
      </c>
      <c r="AG51" s="25">
        <f t="shared" si="162"/>
        <v>0.023917878528657</v>
      </c>
      <c r="AH51" s="25">
        <f t="shared" si="162"/>
        <v>0.0248071748878924</v>
      </c>
      <c r="AI51" s="25">
        <f t="shared" si="162"/>
        <v>0.0247156937073541</v>
      </c>
      <c r="AJ51" s="25">
        <f t="shared" si="162"/>
        <v>0.025041954130151</v>
      </c>
      <c r="AK51" s="27">
        <f t="shared" si="131"/>
        <v>0.0239345372460497</v>
      </c>
      <c r="AL51" s="27">
        <f t="shared" si="132"/>
        <v>0.02812964273081</v>
      </c>
      <c r="AO51" s="25">
        <f t="shared" ref="AO51:AS51" si="163">W51</f>
        <v>0.0246420751221155</v>
      </c>
      <c r="AP51" s="25">
        <f t="shared" si="163"/>
        <v>0.023917878528657</v>
      </c>
      <c r="AQ51" s="25">
        <f t="shared" si="163"/>
        <v>0.0248071748878924</v>
      </c>
      <c r="AR51" s="25">
        <f t="shared" si="163"/>
        <v>0.0247156937073541</v>
      </c>
      <c r="AS51" s="25">
        <f t="shared" si="163"/>
        <v>0.025041954130151</v>
      </c>
      <c r="AT51" s="27">
        <f t="shared" si="134"/>
        <v>0.0176907449209932</v>
      </c>
      <c r="AU51" s="27">
        <f t="shared" si="135"/>
        <v>0.0207914750619031</v>
      </c>
      <c r="AZ51" s="14"/>
      <c r="BA51" s="22" t="s">
        <v>336</v>
      </c>
      <c r="BB51" s="23">
        <v>174.5</v>
      </c>
      <c r="BC51" s="25">
        <v>146.3</v>
      </c>
      <c r="BD51" s="25">
        <v>139.8</v>
      </c>
      <c r="BE51" s="25">
        <v>138.3</v>
      </c>
      <c r="BF51" s="25">
        <v>130.4</v>
      </c>
      <c r="BG51" s="25">
        <v>134.3</v>
      </c>
      <c r="BH51" s="25">
        <v>138.3</v>
      </c>
      <c r="BI51" s="25">
        <v>138.3</v>
      </c>
      <c r="BJ51" s="15"/>
      <c r="BK51" s="15"/>
      <c r="BL51" s="28"/>
      <c r="BM51" s="28"/>
      <c r="BN51" s="28"/>
      <c r="BO51" s="28"/>
    </row>
    <row r="52" ht="15.5" spans="1:67">
      <c r="A52" s="14"/>
      <c r="B52" s="22" t="s">
        <v>337</v>
      </c>
      <c r="C52" s="23">
        <f t="shared" ref="C52:J52" si="164">BB52/1000</f>
        <v>0.4064</v>
      </c>
      <c r="D52" s="23">
        <f t="shared" si="164"/>
        <v>0.3643</v>
      </c>
      <c r="E52" s="23">
        <f t="shared" si="164"/>
        <v>0.3546</v>
      </c>
      <c r="F52" s="23">
        <f t="shared" si="164"/>
        <v>0.3523</v>
      </c>
      <c r="G52" s="23">
        <f t="shared" si="164"/>
        <v>0.3404</v>
      </c>
      <c r="H52" s="23">
        <f t="shared" si="164"/>
        <v>0.3462</v>
      </c>
      <c r="I52" s="23">
        <f t="shared" si="164"/>
        <v>0.3523</v>
      </c>
      <c r="J52" s="23">
        <f t="shared" si="164"/>
        <v>0.3523</v>
      </c>
      <c r="K52" s="15"/>
      <c r="L52" s="15"/>
      <c r="M52" s="28">
        <v>5.937</v>
      </c>
      <c r="N52" s="28">
        <v>5.845</v>
      </c>
      <c r="O52" s="28">
        <v>5.575</v>
      </c>
      <c r="P52" s="28">
        <v>5.276</v>
      </c>
      <c r="Q52" s="28">
        <v>5.363</v>
      </c>
      <c r="R52" s="28">
        <v>6.645</v>
      </c>
      <c r="S52" s="28">
        <v>5.654</v>
      </c>
      <c r="T52" s="28"/>
      <c r="U52" s="14"/>
      <c r="V52" s="22" t="s">
        <v>337</v>
      </c>
      <c r="W52" s="25">
        <f t="shared" ref="W52:AC52" si="165">D52/M52</f>
        <v>0.0613609567121442</v>
      </c>
      <c r="X52" s="25">
        <f t="shared" si="165"/>
        <v>0.0606672369546621</v>
      </c>
      <c r="Y52" s="25">
        <f t="shared" si="165"/>
        <v>0.0631928251121076</v>
      </c>
      <c r="Z52" s="25">
        <f t="shared" si="165"/>
        <v>0.0645185746777862</v>
      </c>
      <c r="AA52" s="25">
        <f t="shared" si="165"/>
        <v>0.0645534215923923</v>
      </c>
      <c r="AB52" s="26">
        <f t="shared" si="165"/>
        <v>0.0530173062452972</v>
      </c>
      <c r="AC52" s="26">
        <f t="shared" si="165"/>
        <v>0.0623098691192076</v>
      </c>
      <c r="AD52" s="15"/>
      <c r="AE52" s="15"/>
      <c r="AF52" s="25">
        <f t="shared" ref="AF52:AJ52" si="166">W52</f>
        <v>0.0613609567121442</v>
      </c>
      <c r="AG52" s="25">
        <f t="shared" si="166"/>
        <v>0.0606672369546621</v>
      </c>
      <c r="AH52" s="25">
        <f t="shared" si="166"/>
        <v>0.0631928251121076</v>
      </c>
      <c r="AI52" s="25">
        <f t="shared" si="166"/>
        <v>0.0645185746777862</v>
      </c>
      <c r="AJ52" s="25">
        <f t="shared" si="166"/>
        <v>0.0645534215923923</v>
      </c>
      <c r="AK52" s="27">
        <f t="shared" si="131"/>
        <v>0.0609699021820918</v>
      </c>
      <c r="AL52" s="27">
        <f t="shared" si="132"/>
        <v>0.0716563494870888</v>
      </c>
      <c r="AO52" s="25">
        <f t="shared" ref="AO52:AS52" si="167">W52</f>
        <v>0.0613609567121442</v>
      </c>
      <c r="AP52" s="25">
        <f t="shared" si="167"/>
        <v>0.0606672369546621</v>
      </c>
      <c r="AQ52" s="25">
        <f t="shared" si="167"/>
        <v>0.0631928251121076</v>
      </c>
      <c r="AR52" s="25">
        <f t="shared" si="167"/>
        <v>0.0645185746777862</v>
      </c>
      <c r="AS52" s="25">
        <f t="shared" si="167"/>
        <v>0.0645534215923923</v>
      </c>
      <c r="AT52" s="27">
        <f t="shared" si="134"/>
        <v>0.0450647103085026</v>
      </c>
      <c r="AU52" s="27">
        <f t="shared" si="135"/>
        <v>0.0529633887513265</v>
      </c>
      <c r="AZ52" s="14"/>
      <c r="BA52" s="22" t="s">
        <v>337</v>
      </c>
      <c r="BB52" s="23">
        <v>406.4</v>
      </c>
      <c r="BC52" s="25">
        <v>364.3</v>
      </c>
      <c r="BD52" s="25">
        <v>354.6</v>
      </c>
      <c r="BE52" s="25">
        <v>352.3</v>
      </c>
      <c r="BF52" s="25">
        <v>340.4</v>
      </c>
      <c r="BG52" s="25">
        <v>346.2</v>
      </c>
      <c r="BH52" s="25">
        <v>352.3</v>
      </c>
      <c r="BI52" s="25">
        <v>352.3</v>
      </c>
      <c r="BJ52" s="15"/>
      <c r="BK52" s="15"/>
      <c r="BL52" s="28"/>
      <c r="BM52" s="28"/>
      <c r="BN52" s="28"/>
      <c r="BO52" s="28"/>
    </row>
    <row r="53" ht="15.5" spans="1:67">
      <c r="A53" s="14"/>
      <c r="B53" s="22" t="s">
        <v>338</v>
      </c>
      <c r="C53" s="23">
        <f t="shared" ref="C53:J53" si="168">BB53/1000</f>
        <v>0.0872</v>
      </c>
      <c r="D53" s="23">
        <f t="shared" si="168"/>
        <v>0.0791</v>
      </c>
      <c r="E53" s="23">
        <f t="shared" si="168"/>
        <v>0.077</v>
      </c>
      <c r="F53" s="23">
        <f t="shared" si="168"/>
        <v>0.0765</v>
      </c>
      <c r="G53" s="23">
        <f t="shared" si="168"/>
        <v>0.0737</v>
      </c>
      <c r="H53" s="23">
        <f t="shared" si="168"/>
        <v>0.0751</v>
      </c>
      <c r="I53" s="23">
        <f t="shared" si="168"/>
        <v>0.0765</v>
      </c>
      <c r="J53" s="23">
        <f t="shared" si="168"/>
        <v>0.0765</v>
      </c>
      <c r="K53" s="15"/>
      <c r="L53" s="15"/>
      <c r="M53" s="28">
        <v>5.937</v>
      </c>
      <c r="N53" s="28">
        <v>5.845</v>
      </c>
      <c r="O53" s="28">
        <v>5.575</v>
      </c>
      <c r="P53" s="28">
        <v>5.276</v>
      </c>
      <c r="Q53" s="28">
        <v>5.363</v>
      </c>
      <c r="R53" s="28">
        <v>6.645</v>
      </c>
      <c r="S53" s="28">
        <v>5.654</v>
      </c>
      <c r="T53" s="28"/>
      <c r="U53" s="14"/>
      <c r="V53" s="22" t="s">
        <v>338</v>
      </c>
      <c r="W53" s="25">
        <f t="shared" ref="W53:AC53" si="169">D53/M53</f>
        <v>0.0133232272191342</v>
      </c>
      <c r="X53" s="25">
        <f t="shared" si="169"/>
        <v>0.0131736526946108</v>
      </c>
      <c r="Y53" s="25">
        <f t="shared" si="169"/>
        <v>0.0137219730941704</v>
      </c>
      <c r="Z53" s="25">
        <f t="shared" si="169"/>
        <v>0.0139689158453374</v>
      </c>
      <c r="AA53" s="25">
        <f t="shared" si="169"/>
        <v>0.0140033563304121</v>
      </c>
      <c r="AB53" s="26">
        <f t="shared" si="169"/>
        <v>0.0115124153498871</v>
      </c>
      <c r="AC53" s="26">
        <f t="shared" si="169"/>
        <v>0.0135302440749912</v>
      </c>
      <c r="AD53" s="15"/>
      <c r="AE53" s="15"/>
      <c r="AF53" s="25">
        <f t="shared" ref="AF53:AJ53" si="170">W53</f>
        <v>0.0133232272191342</v>
      </c>
      <c r="AG53" s="25">
        <f t="shared" si="170"/>
        <v>0.0131736526946108</v>
      </c>
      <c r="AH53" s="25">
        <f t="shared" si="170"/>
        <v>0.0137219730941704</v>
      </c>
      <c r="AI53" s="25">
        <f t="shared" si="170"/>
        <v>0.0139689158453374</v>
      </c>
      <c r="AJ53" s="25">
        <f t="shared" si="170"/>
        <v>0.0140033563304121</v>
      </c>
      <c r="AK53" s="27">
        <f t="shared" si="131"/>
        <v>0.0132392776523702</v>
      </c>
      <c r="AL53" s="27">
        <f t="shared" si="132"/>
        <v>0.0155597806862398</v>
      </c>
      <c r="AO53" s="25">
        <f t="shared" ref="AO53:AS53" si="171">W53</f>
        <v>0.0133232272191342</v>
      </c>
      <c r="AP53" s="25">
        <f t="shared" si="171"/>
        <v>0.0131736526946108</v>
      </c>
      <c r="AQ53" s="25">
        <f t="shared" si="171"/>
        <v>0.0137219730941704</v>
      </c>
      <c r="AR53" s="25">
        <f t="shared" si="171"/>
        <v>0.0139689158453374</v>
      </c>
      <c r="AS53" s="25">
        <f t="shared" si="171"/>
        <v>0.0140033563304121</v>
      </c>
      <c r="AT53" s="27">
        <f t="shared" si="134"/>
        <v>0.00978555304740406</v>
      </c>
      <c r="AU53" s="27">
        <f t="shared" si="135"/>
        <v>0.0115007074637425</v>
      </c>
      <c r="AZ53" s="14"/>
      <c r="BA53" s="22" t="s">
        <v>338</v>
      </c>
      <c r="BB53" s="23">
        <v>87.2</v>
      </c>
      <c r="BC53" s="25">
        <v>79.1</v>
      </c>
      <c r="BD53" s="25">
        <v>77</v>
      </c>
      <c r="BE53" s="25">
        <v>76.5</v>
      </c>
      <c r="BF53" s="25">
        <v>73.7</v>
      </c>
      <c r="BG53" s="25">
        <v>75.1</v>
      </c>
      <c r="BH53" s="25">
        <v>76.5</v>
      </c>
      <c r="BI53" s="25">
        <v>76.5</v>
      </c>
      <c r="BJ53" s="15"/>
      <c r="BK53" s="15"/>
      <c r="BL53" s="28"/>
      <c r="BM53" s="28"/>
      <c r="BN53" s="28"/>
      <c r="BO53" s="28"/>
    </row>
    <row r="54" ht="15.5" spans="1:67">
      <c r="A54" s="14" t="s">
        <v>11</v>
      </c>
      <c r="B54" s="22" t="s">
        <v>334</v>
      </c>
      <c r="C54" s="23">
        <f t="shared" ref="C54:J54" si="172">BB54/1000</f>
        <v>0.6916</v>
      </c>
      <c r="D54" s="23">
        <f t="shared" si="172"/>
        <v>0.6089</v>
      </c>
      <c r="E54" s="23">
        <f t="shared" si="172"/>
        <v>0.5895</v>
      </c>
      <c r="F54" s="23">
        <f t="shared" si="172"/>
        <v>0.585</v>
      </c>
      <c r="G54" s="23">
        <f t="shared" si="172"/>
        <v>0.5612</v>
      </c>
      <c r="H54" s="23">
        <f t="shared" si="172"/>
        <v>0.573</v>
      </c>
      <c r="I54" s="23">
        <f t="shared" si="172"/>
        <v>0.585</v>
      </c>
      <c r="J54" s="23">
        <f t="shared" si="172"/>
        <v>0.585</v>
      </c>
      <c r="K54" s="15"/>
      <c r="L54" s="15"/>
      <c r="M54" s="28">
        <v>5.937</v>
      </c>
      <c r="N54" s="28">
        <v>5.845</v>
      </c>
      <c r="O54" s="28">
        <v>5.575</v>
      </c>
      <c r="P54" s="28">
        <v>5.276</v>
      </c>
      <c r="Q54" s="28">
        <v>5.363</v>
      </c>
      <c r="R54" s="28">
        <v>6.645</v>
      </c>
      <c r="S54" s="28">
        <v>5.654</v>
      </c>
      <c r="T54" s="28"/>
      <c r="U54" s="14" t="s">
        <v>11</v>
      </c>
      <c r="V54" s="22" t="s">
        <v>334</v>
      </c>
      <c r="W54" s="25">
        <f t="shared" ref="W54:AC54" si="173">D54/M54</f>
        <v>0.102560215597103</v>
      </c>
      <c r="X54" s="25">
        <f t="shared" si="173"/>
        <v>0.100855431993157</v>
      </c>
      <c r="Y54" s="25">
        <f t="shared" si="173"/>
        <v>0.104932735426009</v>
      </c>
      <c r="Z54" s="25">
        <f t="shared" si="173"/>
        <v>0.106368460955269</v>
      </c>
      <c r="AA54" s="25">
        <f t="shared" si="173"/>
        <v>0.106843184784635</v>
      </c>
      <c r="AB54" s="26">
        <f t="shared" si="173"/>
        <v>0.0880361173814898</v>
      </c>
      <c r="AC54" s="26">
        <f t="shared" si="173"/>
        <v>0.103466572338168</v>
      </c>
      <c r="AD54" s="15"/>
      <c r="AE54" s="15"/>
      <c r="AF54" s="25">
        <f t="shared" ref="AF54:AJ54" si="174">W54</f>
        <v>0.102560215597103</v>
      </c>
      <c r="AG54" s="25">
        <f t="shared" si="174"/>
        <v>0.100855431993157</v>
      </c>
      <c r="AH54" s="25">
        <f t="shared" si="174"/>
        <v>0.104932735426009</v>
      </c>
      <c r="AI54" s="25">
        <f t="shared" si="174"/>
        <v>0.106368460955269</v>
      </c>
      <c r="AJ54" s="25">
        <f t="shared" si="174"/>
        <v>0.106843184784635</v>
      </c>
      <c r="AK54" s="27">
        <f t="shared" si="131"/>
        <v>0.101241534988713</v>
      </c>
      <c r="AL54" s="27">
        <f t="shared" si="132"/>
        <v>0.118986558188893</v>
      </c>
      <c r="AO54" s="25">
        <f t="shared" ref="AO54:AS54" si="175">W54</f>
        <v>0.102560215597103</v>
      </c>
      <c r="AP54" s="25">
        <f t="shared" si="175"/>
        <v>0.100855431993157</v>
      </c>
      <c r="AQ54" s="25">
        <f t="shared" si="175"/>
        <v>0.104932735426009</v>
      </c>
      <c r="AR54" s="25">
        <f t="shared" si="175"/>
        <v>0.106368460955269</v>
      </c>
      <c r="AS54" s="25">
        <f t="shared" si="175"/>
        <v>0.106843184784635</v>
      </c>
      <c r="AT54" s="27">
        <f t="shared" si="134"/>
        <v>0.0748306997742664</v>
      </c>
      <c r="AU54" s="27">
        <f t="shared" si="135"/>
        <v>0.0879465864874425</v>
      </c>
      <c r="AZ54" s="14" t="s">
        <v>11</v>
      </c>
      <c r="BA54" s="22" t="s">
        <v>334</v>
      </c>
      <c r="BB54" s="23">
        <v>691.6</v>
      </c>
      <c r="BC54" s="25">
        <v>608.9</v>
      </c>
      <c r="BD54" s="25">
        <v>589.5</v>
      </c>
      <c r="BE54" s="25">
        <v>585</v>
      </c>
      <c r="BF54" s="25">
        <v>561.2</v>
      </c>
      <c r="BG54" s="25">
        <v>573</v>
      </c>
      <c r="BH54" s="25">
        <v>585</v>
      </c>
      <c r="BI54" s="25">
        <v>585</v>
      </c>
      <c r="BJ54" s="15"/>
      <c r="BK54" s="15"/>
      <c r="BL54" s="28"/>
      <c r="BM54" s="28"/>
      <c r="BN54" s="28"/>
      <c r="BO54" s="28"/>
    </row>
    <row r="55" ht="15.5" spans="1:67">
      <c r="A55" s="14"/>
      <c r="B55" s="22" t="s">
        <v>335</v>
      </c>
      <c r="C55" s="23">
        <f t="shared" ref="C55:J55" si="176">BB55/1000</f>
        <v>0.634</v>
      </c>
      <c r="D55" s="23">
        <f t="shared" si="176"/>
        <v>0.5608</v>
      </c>
      <c r="E55" s="23">
        <f t="shared" si="176"/>
        <v>0.5435</v>
      </c>
      <c r="F55" s="23">
        <f t="shared" si="176"/>
        <v>0.5394</v>
      </c>
      <c r="G55" s="23">
        <f t="shared" si="176"/>
        <v>0.5181</v>
      </c>
      <c r="H55" s="23">
        <f t="shared" si="176"/>
        <v>0.5287</v>
      </c>
      <c r="I55" s="23">
        <f t="shared" si="176"/>
        <v>0.5394</v>
      </c>
      <c r="J55" s="23">
        <f t="shared" si="176"/>
        <v>0.5394</v>
      </c>
      <c r="K55" s="15"/>
      <c r="L55" s="15"/>
      <c r="M55" s="28">
        <v>5.937</v>
      </c>
      <c r="N55" s="28">
        <v>5.845</v>
      </c>
      <c r="O55" s="28">
        <v>5.575</v>
      </c>
      <c r="P55" s="28">
        <v>5.276</v>
      </c>
      <c r="Q55" s="28">
        <v>5.363</v>
      </c>
      <c r="R55" s="28">
        <v>6.645</v>
      </c>
      <c r="S55" s="28">
        <v>5.654</v>
      </c>
      <c r="T55" s="28"/>
      <c r="U55" s="14"/>
      <c r="V55" s="22" t="s">
        <v>335</v>
      </c>
      <c r="W55" s="25">
        <f t="shared" ref="W55:AC55" si="177">D55/M55</f>
        <v>0.0944584807141654</v>
      </c>
      <c r="X55" s="25">
        <f t="shared" si="177"/>
        <v>0.0929854576561163</v>
      </c>
      <c r="Y55" s="25">
        <f t="shared" si="177"/>
        <v>0.0967533632286995</v>
      </c>
      <c r="Z55" s="25">
        <f t="shared" si="177"/>
        <v>0.098199393479909</v>
      </c>
      <c r="AA55" s="25">
        <f t="shared" si="177"/>
        <v>0.0985828827148984</v>
      </c>
      <c r="AB55" s="26">
        <f t="shared" si="177"/>
        <v>0.0811738148984199</v>
      </c>
      <c r="AC55" s="26">
        <f t="shared" si="177"/>
        <v>0.0954014856738592</v>
      </c>
      <c r="AD55" s="15"/>
      <c r="AE55" s="15"/>
      <c r="AF55" s="25">
        <f t="shared" ref="AF55:AJ55" si="178">W55</f>
        <v>0.0944584807141654</v>
      </c>
      <c r="AG55" s="25">
        <f t="shared" si="178"/>
        <v>0.0929854576561163</v>
      </c>
      <c r="AH55" s="25">
        <f t="shared" si="178"/>
        <v>0.0967533632286995</v>
      </c>
      <c r="AI55" s="25">
        <f t="shared" si="178"/>
        <v>0.098199393479909</v>
      </c>
      <c r="AJ55" s="25">
        <f t="shared" si="178"/>
        <v>0.0985828827148984</v>
      </c>
      <c r="AK55" s="27">
        <f t="shared" si="131"/>
        <v>0.0933498871331828</v>
      </c>
      <c r="AL55" s="27">
        <f t="shared" si="132"/>
        <v>0.109711708524938</v>
      </c>
      <c r="AO55" s="25">
        <f t="shared" ref="AO55:AS55" si="179">W55</f>
        <v>0.0944584807141654</v>
      </c>
      <c r="AP55" s="25">
        <f t="shared" si="179"/>
        <v>0.0929854576561163</v>
      </c>
      <c r="AQ55" s="25">
        <f t="shared" si="179"/>
        <v>0.0967533632286995</v>
      </c>
      <c r="AR55" s="25">
        <f t="shared" si="179"/>
        <v>0.098199393479909</v>
      </c>
      <c r="AS55" s="25">
        <f t="shared" si="179"/>
        <v>0.0985828827148984</v>
      </c>
      <c r="AT55" s="27">
        <f t="shared" si="134"/>
        <v>0.0689977426636569</v>
      </c>
      <c r="AU55" s="27">
        <f t="shared" si="135"/>
        <v>0.0810912628227803</v>
      </c>
      <c r="AZ55" s="14"/>
      <c r="BA55" s="22" t="s">
        <v>335</v>
      </c>
      <c r="BB55" s="23">
        <v>634</v>
      </c>
      <c r="BC55" s="25">
        <v>560.8</v>
      </c>
      <c r="BD55" s="25">
        <v>543.5</v>
      </c>
      <c r="BE55" s="25">
        <v>539.4</v>
      </c>
      <c r="BF55" s="25">
        <v>518.1</v>
      </c>
      <c r="BG55" s="25">
        <v>528.7</v>
      </c>
      <c r="BH55" s="25">
        <v>539.4</v>
      </c>
      <c r="BI55" s="25">
        <v>539.4</v>
      </c>
      <c r="BJ55" s="15"/>
      <c r="BK55" s="15"/>
      <c r="BL55" s="28"/>
      <c r="BM55" s="28"/>
      <c r="BN55" s="28"/>
      <c r="BO55" s="28"/>
    </row>
    <row r="56" ht="15.5" spans="1:67">
      <c r="A56" s="14"/>
      <c r="B56" s="22" t="s">
        <v>336</v>
      </c>
      <c r="C56" s="23">
        <f t="shared" ref="C56:J56" si="180">BB56/1000</f>
        <v>0.2256</v>
      </c>
      <c r="D56" s="23">
        <f t="shared" si="180"/>
        <v>0.1898</v>
      </c>
      <c r="E56" s="23">
        <f t="shared" si="180"/>
        <v>0.1816</v>
      </c>
      <c r="F56" s="23">
        <f t="shared" si="180"/>
        <v>0.1797</v>
      </c>
      <c r="G56" s="23">
        <f t="shared" si="180"/>
        <v>0.1697</v>
      </c>
      <c r="H56" s="23">
        <f t="shared" si="180"/>
        <v>0.1747</v>
      </c>
      <c r="I56" s="23">
        <f t="shared" si="180"/>
        <v>0.1797</v>
      </c>
      <c r="J56" s="23">
        <f t="shared" si="180"/>
        <v>0.1797</v>
      </c>
      <c r="K56" s="15"/>
      <c r="L56" s="15"/>
      <c r="M56" s="28">
        <v>5.937</v>
      </c>
      <c r="N56" s="28">
        <v>5.845</v>
      </c>
      <c r="O56" s="28">
        <v>5.575</v>
      </c>
      <c r="P56" s="28">
        <v>5.276</v>
      </c>
      <c r="Q56" s="28">
        <v>5.363</v>
      </c>
      <c r="R56" s="28">
        <v>6.645</v>
      </c>
      <c r="S56" s="28">
        <v>5.654</v>
      </c>
      <c r="T56" s="28"/>
      <c r="U56" s="14"/>
      <c r="V56" s="22" t="s">
        <v>336</v>
      </c>
      <c r="W56" s="25">
        <f t="shared" ref="W56:AC56" si="181">D56/M56</f>
        <v>0.0319690079164561</v>
      </c>
      <c r="X56" s="25">
        <f t="shared" si="181"/>
        <v>0.0310692899914457</v>
      </c>
      <c r="Y56" s="25">
        <f t="shared" si="181"/>
        <v>0.0322331838565022</v>
      </c>
      <c r="Z56" s="25">
        <f t="shared" si="181"/>
        <v>0.0321645185746778</v>
      </c>
      <c r="AA56" s="25">
        <f t="shared" si="181"/>
        <v>0.0325750512772702</v>
      </c>
      <c r="AB56" s="26">
        <f t="shared" si="181"/>
        <v>0.0270428893905192</v>
      </c>
      <c r="AC56" s="26">
        <f t="shared" si="181"/>
        <v>0.0317828086310577</v>
      </c>
      <c r="AD56" s="15"/>
      <c r="AE56" s="15"/>
      <c r="AF56" s="25">
        <f t="shared" ref="AF56:AJ56" si="182">W56</f>
        <v>0.0319690079164561</v>
      </c>
      <c r="AG56" s="25">
        <f t="shared" si="182"/>
        <v>0.0310692899914457</v>
      </c>
      <c r="AH56" s="25">
        <f t="shared" si="182"/>
        <v>0.0322331838565022</v>
      </c>
      <c r="AI56" s="25">
        <f t="shared" si="182"/>
        <v>0.0321645185746778</v>
      </c>
      <c r="AJ56" s="25">
        <f t="shared" si="182"/>
        <v>0.0325750512772702</v>
      </c>
      <c r="AK56" s="27">
        <f t="shared" si="131"/>
        <v>0.0310993227990971</v>
      </c>
      <c r="AL56" s="27">
        <f t="shared" si="132"/>
        <v>0.0365502299257163</v>
      </c>
      <c r="AO56" s="25">
        <f t="shared" ref="AO56:AS56" si="183">W56</f>
        <v>0.0319690079164561</v>
      </c>
      <c r="AP56" s="25">
        <f t="shared" si="183"/>
        <v>0.0310692899914457</v>
      </c>
      <c r="AQ56" s="25">
        <f t="shared" si="183"/>
        <v>0.0322331838565022</v>
      </c>
      <c r="AR56" s="25">
        <f t="shared" si="183"/>
        <v>0.0321645185746778</v>
      </c>
      <c r="AS56" s="25">
        <f t="shared" si="183"/>
        <v>0.0325750512772702</v>
      </c>
      <c r="AT56" s="27">
        <f t="shared" si="134"/>
        <v>0.0229864559819413</v>
      </c>
      <c r="AU56" s="27">
        <f t="shared" si="135"/>
        <v>0.027015387336399</v>
      </c>
      <c r="AZ56" s="14"/>
      <c r="BA56" s="22" t="s">
        <v>336</v>
      </c>
      <c r="BB56" s="23">
        <v>225.6</v>
      </c>
      <c r="BC56" s="25">
        <v>189.8</v>
      </c>
      <c r="BD56" s="25">
        <v>181.6</v>
      </c>
      <c r="BE56" s="25">
        <v>179.7</v>
      </c>
      <c r="BF56" s="25">
        <v>169.7</v>
      </c>
      <c r="BG56" s="25">
        <v>174.7</v>
      </c>
      <c r="BH56" s="25">
        <v>179.7</v>
      </c>
      <c r="BI56" s="25">
        <v>179.7</v>
      </c>
      <c r="BJ56" s="15"/>
      <c r="BK56" s="15"/>
      <c r="BL56" s="28"/>
      <c r="BM56" s="28"/>
      <c r="BN56" s="28"/>
      <c r="BO56" s="28"/>
    </row>
    <row r="57" ht="15.5" spans="1:67">
      <c r="A57" s="14"/>
      <c r="B57" s="22" t="s">
        <v>337</v>
      </c>
      <c r="C57" s="23">
        <f t="shared" ref="C57:J57" si="184">BB57/1000</f>
        <v>0.3671</v>
      </c>
      <c r="D57" s="23">
        <f t="shared" si="184"/>
        <v>0.3308</v>
      </c>
      <c r="E57" s="23">
        <f t="shared" si="184"/>
        <v>0.3224</v>
      </c>
      <c r="F57" s="23">
        <f t="shared" si="184"/>
        <v>0.3205</v>
      </c>
      <c r="G57" s="23">
        <f t="shared" si="184"/>
        <v>0.3101</v>
      </c>
      <c r="H57" s="23">
        <f t="shared" si="184"/>
        <v>0.3151</v>
      </c>
      <c r="I57" s="23">
        <f t="shared" si="184"/>
        <v>0.3205</v>
      </c>
      <c r="J57" s="23">
        <f t="shared" si="184"/>
        <v>0.3205</v>
      </c>
      <c r="K57" s="15"/>
      <c r="L57" s="15"/>
      <c r="M57" s="28">
        <v>5.937</v>
      </c>
      <c r="N57" s="28">
        <v>5.845</v>
      </c>
      <c r="O57" s="28">
        <v>5.575</v>
      </c>
      <c r="P57" s="28">
        <v>5.276</v>
      </c>
      <c r="Q57" s="28">
        <v>5.363</v>
      </c>
      <c r="R57" s="28">
        <v>6.645</v>
      </c>
      <c r="S57" s="28">
        <v>5.654</v>
      </c>
      <c r="T57" s="28"/>
      <c r="U57" s="14"/>
      <c r="V57" s="22" t="s">
        <v>337</v>
      </c>
      <c r="W57" s="25">
        <f t="shared" ref="W57:AC57" si="185">D57/M57</f>
        <v>0.0557183762843187</v>
      </c>
      <c r="X57" s="25">
        <f t="shared" si="185"/>
        <v>0.055158254918734</v>
      </c>
      <c r="Y57" s="25">
        <f t="shared" si="185"/>
        <v>0.0574887892376682</v>
      </c>
      <c r="Z57" s="25">
        <f t="shared" si="185"/>
        <v>0.0587755875663381</v>
      </c>
      <c r="AA57" s="25">
        <f t="shared" si="185"/>
        <v>0.0587544284915159</v>
      </c>
      <c r="AB57" s="26">
        <f t="shared" si="185"/>
        <v>0.0482317531978932</v>
      </c>
      <c r="AC57" s="26">
        <f t="shared" si="185"/>
        <v>0.0566855323664662</v>
      </c>
      <c r="AD57" s="15"/>
      <c r="AE57" s="15"/>
      <c r="AF57" s="25">
        <f t="shared" ref="AF57:AJ57" si="186">W57</f>
        <v>0.0557183762843187</v>
      </c>
      <c r="AG57" s="25">
        <f t="shared" si="186"/>
        <v>0.055158254918734</v>
      </c>
      <c r="AH57" s="25">
        <f t="shared" si="186"/>
        <v>0.0574887892376682</v>
      </c>
      <c r="AI57" s="25">
        <f t="shared" si="186"/>
        <v>0.0587755875663381</v>
      </c>
      <c r="AJ57" s="25">
        <f t="shared" si="186"/>
        <v>0.0587544284915159</v>
      </c>
      <c r="AK57" s="27">
        <f t="shared" si="131"/>
        <v>0.0554665161775771</v>
      </c>
      <c r="AL57" s="27">
        <f t="shared" si="132"/>
        <v>0.0651883622214361</v>
      </c>
      <c r="AO57" s="25">
        <f t="shared" ref="AO57:AS57" si="187">W57</f>
        <v>0.0557183762843187</v>
      </c>
      <c r="AP57" s="25">
        <f t="shared" si="187"/>
        <v>0.055158254918734</v>
      </c>
      <c r="AQ57" s="25">
        <f t="shared" si="187"/>
        <v>0.0574887892376682</v>
      </c>
      <c r="AR57" s="25">
        <f t="shared" si="187"/>
        <v>0.0587755875663381</v>
      </c>
      <c r="AS57" s="25">
        <f t="shared" si="187"/>
        <v>0.0587544284915159</v>
      </c>
      <c r="AT57" s="27">
        <f t="shared" si="134"/>
        <v>0.0409969902182092</v>
      </c>
      <c r="AU57" s="27">
        <f t="shared" si="135"/>
        <v>0.0481827025114963</v>
      </c>
      <c r="AZ57" s="14"/>
      <c r="BA57" s="22" t="s">
        <v>337</v>
      </c>
      <c r="BB57" s="23">
        <v>367.1</v>
      </c>
      <c r="BC57" s="25">
        <v>330.8</v>
      </c>
      <c r="BD57" s="25">
        <v>322.4</v>
      </c>
      <c r="BE57" s="25">
        <v>320.5</v>
      </c>
      <c r="BF57" s="25">
        <v>310.1</v>
      </c>
      <c r="BG57" s="25">
        <v>315.1</v>
      </c>
      <c r="BH57" s="25">
        <v>320.5</v>
      </c>
      <c r="BI57" s="25">
        <v>320.5</v>
      </c>
      <c r="BJ57" s="15"/>
      <c r="BK57" s="15"/>
      <c r="BL57" s="28"/>
      <c r="BM57" s="28"/>
      <c r="BN57" s="28"/>
      <c r="BO57" s="28"/>
    </row>
    <row r="58" ht="15.5" spans="1:67">
      <c r="A58" s="14"/>
      <c r="B58" s="22" t="s">
        <v>338</v>
      </c>
      <c r="C58" s="23">
        <f t="shared" ref="C58:J58" si="188">BB58/1000</f>
        <v>0.0853</v>
      </c>
      <c r="D58" s="23">
        <f t="shared" si="188"/>
        <v>0.0775</v>
      </c>
      <c r="E58" s="23">
        <f t="shared" si="188"/>
        <v>0.0755</v>
      </c>
      <c r="F58" s="23">
        <f t="shared" si="188"/>
        <v>0.075</v>
      </c>
      <c r="G58" s="23">
        <f t="shared" si="188"/>
        <v>0.0722</v>
      </c>
      <c r="H58" s="23">
        <f t="shared" si="188"/>
        <v>0.0736</v>
      </c>
      <c r="I58" s="23">
        <f t="shared" si="188"/>
        <v>0.075</v>
      </c>
      <c r="J58" s="23">
        <f t="shared" si="188"/>
        <v>0.075</v>
      </c>
      <c r="K58" s="15"/>
      <c r="L58" s="15"/>
      <c r="M58" s="28">
        <v>5.937</v>
      </c>
      <c r="N58" s="28">
        <v>5.845</v>
      </c>
      <c r="O58" s="28">
        <v>5.575</v>
      </c>
      <c r="P58" s="28">
        <v>5.276</v>
      </c>
      <c r="Q58" s="28">
        <v>5.363</v>
      </c>
      <c r="R58" s="28">
        <v>6.645</v>
      </c>
      <c r="S58" s="28">
        <v>5.654</v>
      </c>
      <c r="T58" s="28"/>
      <c r="U58" s="14"/>
      <c r="V58" s="22" t="s">
        <v>338</v>
      </c>
      <c r="W58" s="25">
        <f t="shared" ref="W58:AC58" si="189">D58/M58</f>
        <v>0.0130537308404918</v>
      </c>
      <c r="X58" s="25">
        <f t="shared" si="189"/>
        <v>0.0129170230966638</v>
      </c>
      <c r="Y58" s="25">
        <f t="shared" si="189"/>
        <v>0.0134529147982063</v>
      </c>
      <c r="Z58" s="25">
        <f t="shared" si="189"/>
        <v>0.0136846095526914</v>
      </c>
      <c r="AA58" s="25">
        <f t="shared" si="189"/>
        <v>0.0137236621294052</v>
      </c>
      <c r="AB58" s="26">
        <f t="shared" si="189"/>
        <v>0.0112866817155756</v>
      </c>
      <c r="AC58" s="26">
        <f t="shared" si="189"/>
        <v>0.01326494517156</v>
      </c>
      <c r="AD58" s="15"/>
      <c r="AE58" s="15"/>
      <c r="AF58" s="25">
        <f t="shared" ref="AF58:AJ58" si="190">W58</f>
        <v>0.0130537308404918</v>
      </c>
      <c r="AG58" s="25">
        <f t="shared" si="190"/>
        <v>0.0129170230966638</v>
      </c>
      <c r="AH58" s="25">
        <f t="shared" si="190"/>
        <v>0.0134529147982063</v>
      </c>
      <c r="AI58" s="25">
        <f t="shared" si="190"/>
        <v>0.0136846095526914</v>
      </c>
      <c r="AJ58" s="25">
        <f t="shared" si="190"/>
        <v>0.0137236621294052</v>
      </c>
      <c r="AK58" s="27">
        <f t="shared" si="131"/>
        <v>0.012979683972912</v>
      </c>
      <c r="AL58" s="27">
        <f t="shared" si="132"/>
        <v>0.0152546869472939</v>
      </c>
      <c r="AO58" s="25">
        <f t="shared" ref="AO58:AS58" si="191">W58</f>
        <v>0.0130537308404918</v>
      </c>
      <c r="AP58" s="25">
        <f t="shared" si="191"/>
        <v>0.0129170230966638</v>
      </c>
      <c r="AQ58" s="25">
        <f t="shared" si="191"/>
        <v>0.0134529147982063</v>
      </c>
      <c r="AR58" s="25">
        <f t="shared" si="191"/>
        <v>0.0136846095526914</v>
      </c>
      <c r="AS58" s="25">
        <f t="shared" si="191"/>
        <v>0.0137236621294052</v>
      </c>
      <c r="AT58" s="27">
        <f t="shared" si="134"/>
        <v>0.00959367945823928</v>
      </c>
      <c r="AU58" s="27">
        <f t="shared" si="135"/>
        <v>0.011275203395826</v>
      </c>
      <c r="AZ58" s="14"/>
      <c r="BA58" s="22" t="s">
        <v>338</v>
      </c>
      <c r="BB58" s="23">
        <v>85.3</v>
      </c>
      <c r="BC58" s="25">
        <v>77.5</v>
      </c>
      <c r="BD58" s="25">
        <v>75.5</v>
      </c>
      <c r="BE58" s="25">
        <v>75</v>
      </c>
      <c r="BF58" s="25">
        <v>72.2</v>
      </c>
      <c r="BG58" s="25">
        <v>73.6</v>
      </c>
      <c r="BH58" s="25">
        <v>75</v>
      </c>
      <c r="BI58" s="25">
        <v>75</v>
      </c>
      <c r="BJ58" s="15"/>
      <c r="BK58" s="15"/>
      <c r="BL58" s="28"/>
      <c r="BM58" s="28"/>
      <c r="BN58" s="28"/>
      <c r="BO58" s="28"/>
    </row>
    <row r="59" ht="15.5" spans="1:67">
      <c r="A59" s="15"/>
      <c r="B59" s="15"/>
      <c r="C59" s="18"/>
      <c r="D59" s="15"/>
      <c r="E59" s="15"/>
      <c r="F59" s="15"/>
      <c r="G59" s="15"/>
      <c r="H59" s="15"/>
      <c r="I59" s="15"/>
      <c r="J59" s="15"/>
      <c r="K59" s="15"/>
      <c r="L59" s="15"/>
      <c r="M59" s="15"/>
      <c r="N59" s="15"/>
      <c r="O59" s="15"/>
      <c r="P59" s="15"/>
      <c r="Q59" s="15"/>
      <c r="R59" s="15"/>
      <c r="S59" s="15"/>
      <c r="T59" s="15"/>
      <c r="AZ59" s="15"/>
      <c r="BA59" s="15"/>
      <c r="BB59" s="18"/>
      <c r="BC59" s="15"/>
      <c r="BD59" s="15"/>
      <c r="BE59" s="15"/>
      <c r="BF59" s="15"/>
      <c r="BG59" s="15"/>
      <c r="BH59" s="15"/>
      <c r="BI59" s="15"/>
      <c r="BJ59" s="15"/>
      <c r="BK59" s="15"/>
      <c r="BL59" s="15"/>
      <c r="BM59" s="15"/>
      <c r="BN59" s="15"/>
      <c r="BO59" s="15"/>
    </row>
    <row r="60" ht="15.5" spans="1:67">
      <c r="A60" s="15" t="s">
        <v>340</v>
      </c>
      <c r="B60" s="15"/>
      <c r="C60" s="18"/>
      <c r="D60" s="15"/>
      <c r="E60" s="15"/>
      <c r="F60" s="15"/>
      <c r="G60" s="15"/>
      <c r="H60" s="15"/>
      <c r="I60" s="15"/>
      <c r="J60" s="15"/>
      <c r="K60" s="15"/>
      <c r="L60" s="15"/>
      <c r="M60" s="15"/>
      <c r="N60" s="15"/>
      <c r="O60" s="15"/>
      <c r="P60" s="15"/>
      <c r="Q60" s="15"/>
      <c r="R60" s="15"/>
      <c r="S60" s="15"/>
      <c r="T60" s="15"/>
      <c r="AZ60" s="15" t="s">
        <v>340</v>
      </c>
      <c r="BA60" s="15"/>
      <c r="BB60" s="18"/>
      <c r="BC60" s="15"/>
      <c r="BD60" s="15"/>
      <c r="BE60" s="15"/>
      <c r="BF60" s="15"/>
      <c r="BG60" s="15"/>
      <c r="BH60" s="15"/>
      <c r="BI60" s="15"/>
      <c r="BJ60" s="15"/>
      <c r="BK60" s="15"/>
      <c r="BL60" s="15"/>
      <c r="BM60" s="15"/>
      <c r="BN60" s="15"/>
      <c r="BO60" s="15"/>
    </row>
    <row r="61" ht="15.5" spans="1:67">
      <c r="A61" s="15" t="s">
        <v>355</v>
      </c>
      <c r="B61" s="15"/>
      <c r="C61" s="18"/>
      <c r="D61" s="15"/>
      <c r="E61" s="15"/>
      <c r="F61" s="15"/>
      <c r="G61" s="15"/>
      <c r="H61" s="15"/>
      <c r="I61" s="15"/>
      <c r="J61" s="15"/>
      <c r="K61" s="15"/>
      <c r="L61" s="15"/>
      <c r="M61" s="15"/>
      <c r="N61" s="15"/>
      <c r="O61" s="15"/>
      <c r="P61" s="15"/>
      <c r="Q61" s="15"/>
      <c r="R61" s="15"/>
      <c r="S61" s="15"/>
      <c r="T61" s="15"/>
      <c r="AZ61" s="15" t="s">
        <v>355</v>
      </c>
      <c r="BA61" s="15"/>
      <c r="BB61" s="18"/>
      <c r="BC61" s="15"/>
      <c r="BD61" s="15"/>
      <c r="BE61" s="15"/>
      <c r="BF61" s="15"/>
      <c r="BG61" s="15"/>
      <c r="BH61" s="15"/>
      <c r="BI61" s="15"/>
      <c r="BJ61" s="15"/>
      <c r="BK61" s="15"/>
      <c r="BL61" s="15"/>
      <c r="BM61" s="15"/>
      <c r="BN61" s="15"/>
      <c r="BO61" s="15"/>
    </row>
    <row r="62" ht="15.5" spans="1:67">
      <c r="A62" s="15" t="s">
        <v>356</v>
      </c>
      <c r="B62" s="15"/>
      <c r="C62" s="18"/>
      <c r="D62" s="15"/>
      <c r="E62" s="15"/>
      <c r="F62" s="15"/>
      <c r="G62" s="15"/>
      <c r="H62" s="15"/>
      <c r="I62" s="15"/>
      <c r="J62" s="15"/>
      <c r="K62" s="15"/>
      <c r="L62" s="15"/>
      <c r="M62" s="15"/>
      <c r="N62" s="15"/>
      <c r="O62" s="15"/>
      <c r="P62" s="15"/>
      <c r="Q62" s="15"/>
      <c r="R62" s="15"/>
      <c r="S62" s="15"/>
      <c r="T62" s="15"/>
      <c r="AZ62" s="15" t="s">
        <v>356</v>
      </c>
      <c r="BA62" s="15"/>
      <c r="BB62" s="18"/>
      <c r="BC62" s="15"/>
      <c r="BD62" s="15"/>
      <c r="BE62" s="15"/>
      <c r="BF62" s="15"/>
      <c r="BG62" s="15"/>
      <c r="BH62" s="15"/>
      <c r="BI62" s="15"/>
      <c r="BJ62" s="15"/>
      <c r="BK62" s="15"/>
      <c r="BL62" s="15"/>
      <c r="BM62" s="15"/>
      <c r="BN62" s="15"/>
      <c r="BO62" s="15"/>
    </row>
    <row r="71" ht="15.5" spans="21:47">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row>
    <row r="72" ht="15.5" spans="21:47">
      <c r="U72" s="15"/>
      <c r="V72" s="15"/>
      <c r="W72" s="15" t="s">
        <v>326</v>
      </c>
      <c r="X72" s="15" t="s">
        <v>327</v>
      </c>
      <c r="Y72" s="19" t="s">
        <v>328</v>
      </c>
      <c r="Z72" s="15" t="s">
        <v>329</v>
      </c>
      <c r="AA72" s="15" t="s">
        <v>330</v>
      </c>
      <c r="AB72" s="21" t="s">
        <v>331</v>
      </c>
      <c r="AC72" s="21" t="s">
        <v>332</v>
      </c>
      <c r="AD72" s="15"/>
      <c r="AE72" s="15"/>
      <c r="AF72" s="15" t="s">
        <v>326</v>
      </c>
      <c r="AG72" s="15" t="s">
        <v>327</v>
      </c>
      <c r="AH72" s="19" t="s">
        <v>328</v>
      </c>
      <c r="AI72" s="15" t="s">
        <v>329</v>
      </c>
      <c r="AJ72" s="15" t="s">
        <v>330</v>
      </c>
      <c r="AK72" s="21" t="s">
        <v>331</v>
      </c>
      <c r="AL72" s="21" t="s">
        <v>332</v>
      </c>
      <c r="AM72" s="15"/>
      <c r="AN72" s="15"/>
      <c r="AO72" s="15" t="s">
        <v>326</v>
      </c>
      <c r="AP72" s="15" t="s">
        <v>327</v>
      </c>
      <c r="AQ72" s="19" t="s">
        <v>328</v>
      </c>
      <c r="AR72" s="15" t="s">
        <v>329</v>
      </c>
      <c r="AS72" s="15" t="s">
        <v>330</v>
      </c>
      <c r="AT72" s="21" t="s">
        <v>331</v>
      </c>
      <c r="AU72" s="21" t="s">
        <v>332</v>
      </c>
    </row>
    <row r="73" spans="21:47">
      <c r="U73" s="14" t="s">
        <v>333</v>
      </c>
      <c r="V73" s="29" t="s">
        <v>121</v>
      </c>
      <c r="W73" s="12">
        <f t="shared" ref="W73:AC73" si="192">W4-W5</f>
        <v>0.0105103587670541</v>
      </c>
      <c r="X73" s="12">
        <f t="shared" si="192"/>
        <v>0.0100940975192472</v>
      </c>
      <c r="Y73" s="12">
        <f t="shared" si="192"/>
        <v>0.0103856502242152</v>
      </c>
      <c r="Z73" s="12">
        <f t="shared" si="192"/>
        <v>0.0114291129643669</v>
      </c>
      <c r="AA73" s="12">
        <f t="shared" si="192"/>
        <v>0.0115979862017528</v>
      </c>
      <c r="AB73" s="12">
        <f t="shared" si="192"/>
        <v>0.00871331828442437</v>
      </c>
      <c r="AC73" s="12">
        <f t="shared" si="192"/>
        <v>0.0102405376724443</v>
      </c>
      <c r="AF73" s="12">
        <f t="shared" ref="AF73:AL73" si="193">AF4-AF5</f>
        <v>0.0105103587670541</v>
      </c>
      <c r="AG73" s="12">
        <f t="shared" si="193"/>
        <v>0.0100940975192472</v>
      </c>
      <c r="AH73" s="12">
        <f t="shared" si="193"/>
        <v>0.0103856502242152</v>
      </c>
      <c r="AI73" s="12">
        <f t="shared" si="193"/>
        <v>0.0114291129643669</v>
      </c>
      <c r="AJ73" s="12">
        <f t="shared" si="193"/>
        <v>0.0115979862017528</v>
      </c>
      <c r="AK73" s="12">
        <f t="shared" si="193"/>
        <v>0.010020316027088</v>
      </c>
      <c r="AL73" s="12">
        <f t="shared" si="193"/>
        <v>0.0117766183233109</v>
      </c>
      <c r="AO73" s="12">
        <f t="shared" ref="AO73:AU73" si="194">AO4-AO5</f>
        <v>0.0105103587670541</v>
      </c>
      <c r="AP73" s="12">
        <f t="shared" si="194"/>
        <v>0.0100940975192472</v>
      </c>
      <c r="AQ73" s="12">
        <f t="shared" si="194"/>
        <v>0.0103856502242152</v>
      </c>
      <c r="AR73" s="12">
        <f t="shared" si="194"/>
        <v>0.0114291129643669</v>
      </c>
      <c r="AS73" s="12">
        <f t="shared" si="194"/>
        <v>0.0115979862017528</v>
      </c>
      <c r="AT73" s="12">
        <f t="shared" si="194"/>
        <v>0.00740632054176073</v>
      </c>
      <c r="AU73" s="12">
        <f t="shared" si="194"/>
        <v>0.00870445702157763</v>
      </c>
    </row>
    <row r="74" spans="21:47">
      <c r="U74" s="14"/>
      <c r="V74" s="30" t="s">
        <v>357</v>
      </c>
      <c r="W74" s="12">
        <f t="shared" ref="W74:AC74" si="195">W6</f>
        <v>0.0289203301330638</v>
      </c>
      <c r="X74" s="12">
        <f t="shared" si="195"/>
        <v>0.0275620188195039</v>
      </c>
      <c r="Y74" s="12">
        <f t="shared" si="195"/>
        <v>0.028322869955157</v>
      </c>
      <c r="Z74" s="12">
        <f t="shared" si="195"/>
        <v>0.0288286580742987</v>
      </c>
      <c r="AA74" s="12">
        <f t="shared" si="195"/>
        <v>0.0296102927465971</v>
      </c>
      <c r="AB74" s="12">
        <f t="shared" si="195"/>
        <v>0.0237622272385252</v>
      </c>
      <c r="AC74" s="12">
        <f t="shared" si="195"/>
        <v>0.0279271312345242</v>
      </c>
      <c r="AF74" s="12">
        <f t="shared" ref="AF74:AL74" si="196">AF6</f>
        <v>0.0289203301330638</v>
      </c>
      <c r="AG74" s="12">
        <f t="shared" si="196"/>
        <v>0.0275620188195039</v>
      </c>
      <c r="AH74" s="12">
        <f t="shared" si="196"/>
        <v>0.028322869955157</v>
      </c>
      <c r="AI74" s="12">
        <f t="shared" si="196"/>
        <v>0.0288286580742987</v>
      </c>
      <c r="AJ74" s="12">
        <f t="shared" si="196"/>
        <v>0.0296102927465971</v>
      </c>
      <c r="AK74" s="12">
        <f t="shared" si="196"/>
        <v>0.027326561324304</v>
      </c>
      <c r="AL74" s="12">
        <f t="shared" si="196"/>
        <v>0.0321162009197029</v>
      </c>
      <c r="AO74" s="12">
        <f t="shared" ref="AO74:AU74" si="197">AO6</f>
        <v>0.0289203301330638</v>
      </c>
      <c r="AP74" s="12">
        <f t="shared" si="197"/>
        <v>0.0275620188195039</v>
      </c>
      <c r="AQ74" s="12">
        <f t="shared" si="197"/>
        <v>0.028322869955157</v>
      </c>
      <c r="AR74" s="12">
        <f t="shared" si="197"/>
        <v>0.0288286580742987</v>
      </c>
      <c r="AS74" s="12">
        <f t="shared" si="197"/>
        <v>0.0296102927465971</v>
      </c>
      <c r="AT74" s="12">
        <f t="shared" si="197"/>
        <v>0.0201978931527464</v>
      </c>
      <c r="AU74" s="12">
        <f t="shared" si="197"/>
        <v>0.0237380615493456</v>
      </c>
    </row>
    <row r="75" spans="21:47">
      <c r="U75" s="14"/>
      <c r="V75" s="29" t="s">
        <v>358</v>
      </c>
      <c r="W75" s="12">
        <f t="shared" ref="W75:AC75" si="198">W7</f>
        <v>0.0836617820448038</v>
      </c>
      <c r="X75" s="12">
        <f t="shared" si="198"/>
        <v>0.0814029084687767</v>
      </c>
      <c r="Y75" s="12">
        <f t="shared" si="198"/>
        <v>0.0843946188340807</v>
      </c>
      <c r="Z75" s="12">
        <f t="shared" si="198"/>
        <v>0.0884192570128886</v>
      </c>
      <c r="AA75" s="12">
        <f t="shared" si="198"/>
        <v>0.092485549132948</v>
      </c>
      <c r="AB75" s="12">
        <f t="shared" si="198"/>
        <v>0.0708051166290444</v>
      </c>
      <c r="AC75" s="12">
        <f t="shared" si="198"/>
        <v>0.0832154227095861</v>
      </c>
      <c r="AF75" s="12">
        <f t="shared" ref="AF75:AL75" si="199">AF7</f>
        <v>0.0836617820448038</v>
      </c>
      <c r="AG75" s="12">
        <f t="shared" si="199"/>
        <v>0.0814029084687767</v>
      </c>
      <c r="AH75" s="12">
        <f t="shared" si="199"/>
        <v>0.0843946188340807</v>
      </c>
      <c r="AI75" s="12">
        <f t="shared" si="199"/>
        <v>0.0884192570128886</v>
      </c>
      <c r="AJ75" s="12">
        <f t="shared" si="199"/>
        <v>0.092485549132948</v>
      </c>
      <c r="AK75" s="12">
        <f t="shared" si="199"/>
        <v>0.0814258841234011</v>
      </c>
      <c r="AL75" s="12">
        <f t="shared" si="199"/>
        <v>0.0956977361160241</v>
      </c>
      <c r="AO75" s="12">
        <f t="shared" ref="AO75:AU75" si="200">AO7</f>
        <v>0.0836617820448038</v>
      </c>
      <c r="AP75" s="12">
        <f t="shared" si="200"/>
        <v>0.0814029084687767</v>
      </c>
      <c r="AQ75" s="12">
        <f t="shared" si="200"/>
        <v>0.0843946188340807</v>
      </c>
      <c r="AR75" s="12">
        <f t="shared" si="200"/>
        <v>0.0884192570128886</v>
      </c>
      <c r="AS75" s="12">
        <f t="shared" si="200"/>
        <v>0.092485549132948</v>
      </c>
      <c r="AT75" s="12">
        <f t="shared" si="200"/>
        <v>0.0601843491346877</v>
      </c>
      <c r="AU75" s="12">
        <f t="shared" si="200"/>
        <v>0.0707331093031482</v>
      </c>
    </row>
    <row r="76" spans="21:47">
      <c r="U76" s="14"/>
      <c r="V76" s="29" t="s">
        <v>359</v>
      </c>
      <c r="W76" s="12">
        <f t="shared" ref="W76:AC76" si="201">W8</f>
        <v>0.0130200437931615</v>
      </c>
      <c r="X76" s="12">
        <f t="shared" si="201"/>
        <v>0.0127459366980325</v>
      </c>
      <c r="Y76" s="12">
        <f t="shared" si="201"/>
        <v>0.0132017937219731</v>
      </c>
      <c r="Z76" s="12">
        <f t="shared" si="201"/>
        <v>0.0144238059135709</v>
      </c>
      <c r="AA76" s="12">
        <f t="shared" si="201"/>
        <v>0.0147119149729629</v>
      </c>
      <c r="AB76" s="12">
        <f t="shared" si="201"/>
        <v>0.0110759969902182</v>
      </c>
      <c r="AC76" s="12">
        <f t="shared" si="201"/>
        <v>0.0130173328616908</v>
      </c>
      <c r="AF76" s="12">
        <f t="shared" ref="AF76:AL76" si="202">AF8</f>
        <v>0.0130200437931615</v>
      </c>
      <c r="AG76" s="12">
        <f t="shared" si="202"/>
        <v>0.0127459366980325</v>
      </c>
      <c r="AH76" s="12">
        <f t="shared" si="202"/>
        <v>0.0132017937219731</v>
      </c>
      <c r="AI76" s="12">
        <f t="shared" si="202"/>
        <v>0.0144238059135709</v>
      </c>
      <c r="AJ76" s="12">
        <f t="shared" si="202"/>
        <v>0.0147119149729629</v>
      </c>
      <c r="AK76" s="12">
        <f t="shared" si="202"/>
        <v>0.0127373965387509</v>
      </c>
      <c r="AL76" s="12">
        <f t="shared" si="202"/>
        <v>0.0149699327909445</v>
      </c>
      <c r="AO76" s="12">
        <f t="shared" ref="AO76:AU76" si="203">AO8</f>
        <v>0.0130200437931615</v>
      </c>
      <c r="AP76" s="12">
        <f t="shared" si="203"/>
        <v>0.0127459366980325</v>
      </c>
      <c r="AQ76" s="12">
        <f t="shared" si="203"/>
        <v>0.0132017937219731</v>
      </c>
      <c r="AR76" s="12">
        <f t="shared" si="203"/>
        <v>0.0144238059135709</v>
      </c>
      <c r="AS76" s="12">
        <f t="shared" si="203"/>
        <v>0.0147119149729629</v>
      </c>
      <c r="AT76" s="12">
        <f t="shared" si="203"/>
        <v>0.00941459744168548</v>
      </c>
      <c r="AU76" s="12">
        <f t="shared" si="203"/>
        <v>0.0110647329324372</v>
      </c>
    </row>
    <row r="77" spans="21:47">
      <c r="U77" s="14" t="s">
        <v>339</v>
      </c>
      <c r="V77" s="29" t="s">
        <v>121</v>
      </c>
      <c r="W77" s="12">
        <f t="shared" ref="W77:AC77" si="204">W9-W10</f>
        <v>0.0103587670540677</v>
      </c>
      <c r="X77" s="12">
        <f t="shared" si="204"/>
        <v>0.00995722840034217</v>
      </c>
      <c r="Y77" s="12">
        <f t="shared" si="204"/>
        <v>0.0102421524663677</v>
      </c>
      <c r="Z77" s="12">
        <f t="shared" si="204"/>
        <v>0.0112774829416224</v>
      </c>
      <c r="AA77" s="12">
        <f t="shared" si="204"/>
        <v>0.0114301696811486</v>
      </c>
      <c r="AB77" s="12">
        <f t="shared" si="204"/>
        <v>0.00859292701279159</v>
      </c>
      <c r="AC77" s="12">
        <f t="shared" si="204"/>
        <v>0.0100990449239476</v>
      </c>
      <c r="AF77" s="12">
        <f t="shared" ref="AF77:AL77" si="205">AF9-AF10</f>
        <v>0.0103587670540677</v>
      </c>
      <c r="AG77" s="12">
        <f t="shared" si="205"/>
        <v>0.00995722840034217</v>
      </c>
      <c r="AH77" s="12">
        <f t="shared" si="205"/>
        <v>0.0102421524663677</v>
      </c>
      <c r="AI77" s="12">
        <f t="shared" si="205"/>
        <v>0.0112774829416224</v>
      </c>
      <c r="AJ77" s="12">
        <f t="shared" si="205"/>
        <v>0.0114301696811486</v>
      </c>
      <c r="AK77" s="12">
        <f t="shared" si="205"/>
        <v>0.00988186606471032</v>
      </c>
      <c r="AL77" s="12">
        <f t="shared" si="205"/>
        <v>0.0116139016625398</v>
      </c>
      <c r="AO77" s="12">
        <f t="shared" ref="AO77:AU77" si="206">AO9-AO10</f>
        <v>0.0103587670540677</v>
      </c>
      <c r="AP77" s="12">
        <f t="shared" si="206"/>
        <v>0.00995722840034217</v>
      </c>
      <c r="AQ77" s="12">
        <f t="shared" si="206"/>
        <v>0.0102421524663677</v>
      </c>
      <c r="AR77" s="12">
        <f t="shared" si="206"/>
        <v>0.0112774829416224</v>
      </c>
      <c r="AS77" s="12">
        <f t="shared" si="206"/>
        <v>0.0114301696811486</v>
      </c>
      <c r="AT77" s="12">
        <f t="shared" si="206"/>
        <v>0.00730398796087285</v>
      </c>
      <c r="AU77" s="12">
        <f t="shared" si="206"/>
        <v>0.00858418818535549</v>
      </c>
    </row>
    <row r="78" spans="21:47">
      <c r="U78" s="14"/>
      <c r="V78" s="30" t="s">
        <v>357</v>
      </c>
      <c r="W78" s="12">
        <f t="shared" ref="W78:AC78" si="207">W11</f>
        <v>0.0349503116051878</v>
      </c>
      <c r="X78" s="12">
        <f t="shared" si="207"/>
        <v>0.0333789563729684</v>
      </c>
      <c r="Y78" s="12">
        <f t="shared" si="207"/>
        <v>0.0343677130044843</v>
      </c>
      <c r="Z78" s="12">
        <f t="shared" si="207"/>
        <v>0.035253980288097</v>
      </c>
      <c r="AA78" s="12">
        <f t="shared" si="207"/>
        <v>0.0361364907700914</v>
      </c>
      <c r="AB78" s="12">
        <f t="shared" si="207"/>
        <v>0.0288337095560572</v>
      </c>
      <c r="AC78" s="12">
        <f t="shared" si="207"/>
        <v>0.0338875132649452</v>
      </c>
      <c r="AF78" s="12">
        <f t="shared" ref="AF78:AL78" si="208">AF11</f>
        <v>0.0349503116051878</v>
      </c>
      <c r="AG78" s="12">
        <f t="shared" si="208"/>
        <v>0.0333789563729684</v>
      </c>
      <c r="AH78" s="12">
        <f t="shared" si="208"/>
        <v>0.0343677130044843</v>
      </c>
      <c r="AI78" s="12">
        <f t="shared" si="208"/>
        <v>0.035253980288097</v>
      </c>
      <c r="AJ78" s="12">
        <f t="shared" si="208"/>
        <v>0.0361364907700914</v>
      </c>
      <c r="AK78" s="12">
        <f t="shared" si="208"/>
        <v>0.0331587659894658</v>
      </c>
      <c r="AL78" s="12">
        <f t="shared" si="208"/>
        <v>0.0389706402546869</v>
      </c>
      <c r="AO78" s="12">
        <f t="shared" ref="AO78:AU78" si="209">AO11</f>
        <v>0.0349503116051878</v>
      </c>
      <c r="AP78" s="12">
        <f t="shared" si="209"/>
        <v>0.0333789563729684</v>
      </c>
      <c r="AQ78" s="12">
        <f t="shared" si="209"/>
        <v>0.0343677130044843</v>
      </c>
      <c r="AR78" s="12">
        <f t="shared" si="209"/>
        <v>0.035253980288097</v>
      </c>
      <c r="AS78" s="12">
        <f t="shared" si="209"/>
        <v>0.0361364907700914</v>
      </c>
      <c r="AT78" s="12">
        <f t="shared" si="209"/>
        <v>0.0245086531226486</v>
      </c>
      <c r="AU78" s="12">
        <f t="shared" si="209"/>
        <v>0.0288043862752034</v>
      </c>
    </row>
    <row r="79" ht="15.5" spans="21:47">
      <c r="U79" s="14"/>
      <c r="V79" s="29" t="s">
        <v>358</v>
      </c>
      <c r="W79" s="12">
        <f t="shared" ref="W79:AC79" si="210">W12</f>
        <v>0.0799898938858009</v>
      </c>
      <c r="X79" s="12">
        <f t="shared" si="210"/>
        <v>0.0778614200171086</v>
      </c>
      <c r="Y79" s="12">
        <f t="shared" si="210"/>
        <v>0.0807174887892377</v>
      </c>
      <c r="Z79" s="12">
        <f t="shared" si="210"/>
        <v>0.0845147839272176</v>
      </c>
      <c r="AA79" s="12">
        <f t="shared" si="210"/>
        <v>0.08851389147865</v>
      </c>
      <c r="AB79" s="12">
        <f t="shared" si="210"/>
        <v>0.0677200902934537</v>
      </c>
      <c r="AC79" s="12">
        <f t="shared" si="210"/>
        <v>0.0795896710293598</v>
      </c>
      <c r="AD79" s="15"/>
      <c r="AE79" s="15"/>
      <c r="AF79" s="12">
        <f t="shared" ref="AF79:AL79" si="211">AF12</f>
        <v>0.0799898938858009</v>
      </c>
      <c r="AG79" s="12">
        <f t="shared" si="211"/>
        <v>0.0778614200171086</v>
      </c>
      <c r="AH79" s="12">
        <f t="shared" si="211"/>
        <v>0.0807174887892377</v>
      </c>
      <c r="AI79" s="12">
        <f t="shared" si="211"/>
        <v>0.0845147839272176</v>
      </c>
      <c r="AJ79" s="12">
        <f t="shared" si="211"/>
        <v>0.08851389147865</v>
      </c>
      <c r="AK79" s="12">
        <f t="shared" si="211"/>
        <v>0.0778781038374718</v>
      </c>
      <c r="AL79" s="12">
        <f t="shared" si="211"/>
        <v>0.0915281216837637</v>
      </c>
      <c r="AM79" s="15"/>
      <c r="AN79" s="15"/>
      <c r="AO79" s="12">
        <f t="shared" ref="AO79:AU79" si="212">AO12</f>
        <v>0.0799898938858009</v>
      </c>
      <c r="AP79" s="12">
        <f t="shared" si="212"/>
        <v>0.0778614200171086</v>
      </c>
      <c r="AQ79" s="12">
        <f t="shared" si="212"/>
        <v>0.0807174887892377</v>
      </c>
      <c r="AR79" s="12">
        <f t="shared" si="212"/>
        <v>0.0845147839272176</v>
      </c>
      <c r="AS79" s="12">
        <f t="shared" si="212"/>
        <v>0.08851389147865</v>
      </c>
      <c r="AT79" s="12">
        <f t="shared" si="212"/>
        <v>0.0575620767494357</v>
      </c>
      <c r="AU79" s="12">
        <f t="shared" si="212"/>
        <v>0.0676512203749558</v>
      </c>
    </row>
    <row r="80" ht="15.5" spans="21:47">
      <c r="U80" s="14"/>
      <c r="V80" s="29" t="s">
        <v>359</v>
      </c>
      <c r="W80" s="12">
        <f t="shared" ref="W80:AC80" si="213">W13</f>
        <v>0.0135085059794509</v>
      </c>
      <c r="X80" s="12">
        <f t="shared" si="213"/>
        <v>0.013207869974337</v>
      </c>
      <c r="Y80" s="12">
        <f t="shared" si="213"/>
        <v>0.0136860986547085</v>
      </c>
      <c r="Z80" s="12">
        <f t="shared" si="213"/>
        <v>0.0149545109931767</v>
      </c>
      <c r="AA80" s="12">
        <f t="shared" si="213"/>
        <v>0.0152340108148424</v>
      </c>
      <c r="AB80" s="12">
        <f t="shared" si="213"/>
        <v>0.0114823175319789</v>
      </c>
      <c r="AC80" s="12">
        <f t="shared" si="213"/>
        <v>0.013494870887867</v>
      </c>
      <c r="AD80" s="15"/>
      <c r="AE80" s="15"/>
      <c r="AF80" s="12">
        <f t="shared" ref="AF80:AL80" si="214">AF13</f>
        <v>0.0135085059794509</v>
      </c>
      <c r="AG80" s="12">
        <f t="shared" si="214"/>
        <v>0.013207869974337</v>
      </c>
      <c r="AH80" s="12">
        <f t="shared" si="214"/>
        <v>0.0136860986547085</v>
      </c>
      <c r="AI80" s="12">
        <f t="shared" si="214"/>
        <v>0.0149545109931767</v>
      </c>
      <c r="AJ80" s="12">
        <f t="shared" si="214"/>
        <v>0.0152340108148424</v>
      </c>
      <c r="AK80" s="12">
        <f t="shared" si="214"/>
        <v>0.0132046651617758</v>
      </c>
      <c r="AL80" s="12">
        <f t="shared" si="214"/>
        <v>0.015519101521047</v>
      </c>
      <c r="AM80" s="15"/>
      <c r="AN80" s="15"/>
      <c r="AO80" s="12">
        <f t="shared" ref="AO80:AU80" si="215">AO13</f>
        <v>0.0135085059794509</v>
      </c>
      <c r="AP80" s="12">
        <f t="shared" si="215"/>
        <v>0.013207869974337</v>
      </c>
      <c r="AQ80" s="12">
        <f t="shared" si="215"/>
        <v>0.0136860986547085</v>
      </c>
      <c r="AR80" s="12">
        <f t="shared" si="215"/>
        <v>0.0149545109931767</v>
      </c>
      <c r="AS80" s="12">
        <f t="shared" si="215"/>
        <v>0.0152340108148424</v>
      </c>
      <c r="AT80" s="12">
        <f t="shared" si="215"/>
        <v>0.00975996990218209</v>
      </c>
      <c r="AU80" s="12">
        <f t="shared" si="215"/>
        <v>0.0114706402546869</v>
      </c>
    </row>
    <row r="81" ht="15.5" spans="21:47">
      <c r="U81" s="14" t="s">
        <v>360</v>
      </c>
      <c r="V81" s="29" t="s">
        <v>121</v>
      </c>
      <c r="W81" s="15">
        <f t="shared" ref="W81:AC81" si="216">W14-W15</f>
        <v>0.010830385716692</v>
      </c>
      <c r="X81" s="15">
        <f t="shared" si="216"/>
        <v>0.0104020530367836</v>
      </c>
      <c r="Y81" s="15">
        <f t="shared" si="216"/>
        <v>0.0107085201793722</v>
      </c>
      <c r="Z81" s="15">
        <f t="shared" si="216"/>
        <v>0.0117702805155421</v>
      </c>
      <c r="AA81" s="15">
        <f t="shared" si="216"/>
        <v>0.011933619242961</v>
      </c>
      <c r="AB81" s="15">
        <f t="shared" si="216"/>
        <v>0.00898419864559818</v>
      </c>
      <c r="AC81" s="15">
        <f t="shared" si="216"/>
        <v>0.0105588963565617</v>
      </c>
      <c r="AD81" s="15"/>
      <c r="AE81" s="15"/>
      <c r="AF81" s="15">
        <f t="shared" ref="AF81:AL81" si="217">AF14-AF15</f>
        <v>0.010830385716692</v>
      </c>
      <c r="AG81" s="15">
        <f t="shared" si="217"/>
        <v>0.0104020530367836</v>
      </c>
      <c r="AH81" s="15">
        <f t="shared" si="217"/>
        <v>0.0107085201793722</v>
      </c>
      <c r="AI81" s="15">
        <f t="shared" si="217"/>
        <v>0.0117702805155421</v>
      </c>
      <c r="AJ81" s="15">
        <f t="shared" si="217"/>
        <v>0.011933619242961</v>
      </c>
      <c r="AK81" s="15">
        <f t="shared" si="217"/>
        <v>0.0103318284424379</v>
      </c>
      <c r="AL81" s="15">
        <f t="shared" si="217"/>
        <v>0.012142730810046</v>
      </c>
      <c r="AM81" s="15"/>
      <c r="AN81" s="15"/>
      <c r="AO81" s="15">
        <f t="shared" ref="AO81:AU81" si="218">AO14-AO15</f>
        <v>0.010830385716692</v>
      </c>
      <c r="AP81" s="15">
        <f t="shared" si="218"/>
        <v>0.0104020530367836</v>
      </c>
      <c r="AQ81" s="15">
        <f t="shared" si="218"/>
        <v>0.0107085201793722</v>
      </c>
      <c r="AR81" s="15">
        <f t="shared" si="218"/>
        <v>0.0117702805155421</v>
      </c>
      <c r="AS81" s="15">
        <f t="shared" si="218"/>
        <v>0.011933619242961</v>
      </c>
      <c r="AT81" s="15">
        <f t="shared" si="218"/>
        <v>0.00763656884875846</v>
      </c>
      <c r="AU81" s="15">
        <f t="shared" si="218"/>
        <v>0.00897506190307747</v>
      </c>
    </row>
    <row r="82" ht="15.5" spans="21:47">
      <c r="U82" s="14"/>
      <c r="V82" s="30" t="s">
        <v>357</v>
      </c>
      <c r="W82" s="15">
        <f t="shared" ref="W82:AC82" si="219">W16</f>
        <v>0.0447027118073101</v>
      </c>
      <c r="X82" s="15">
        <f t="shared" si="219"/>
        <v>0.0428058169375535</v>
      </c>
      <c r="Y82" s="15">
        <f t="shared" si="219"/>
        <v>0.0441255605381166</v>
      </c>
      <c r="Z82" s="15">
        <f t="shared" si="219"/>
        <v>0.0456406368460955</v>
      </c>
      <c r="AA82" s="15">
        <f t="shared" si="219"/>
        <v>0.0467275778482193</v>
      </c>
      <c r="AB82" s="15">
        <f t="shared" si="219"/>
        <v>0.037020316027088</v>
      </c>
      <c r="AC82" s="15">
        <f t="shared" si="219"/>
        <v>0.0435090201627167</v>
      </c>
      <c r="AD82" s="15"/>
      <c r="AE82" s="15"/>
      <c r="AF82" s="15">
        <f t="shared" ref="AF82:AL82" si="220">AF16</f>
        <v>0.0447027118073101</v>
      </c>
      <c r="AG82" s="15">
        <f t="shared" si="220"/>
        <v>0.0428058169375535</v>
      </c>
      <c r="AH82" s="15">
        <f t="shared" si="220"/>
        <v>0.0441255605381166</v>
      </c>
      <c r="AI82" s="15">
        <f t="shared" si="220"/>
        <v>0.0456406368460955</v>
      </c>
      <c r="AJ82" s="15">
        <f t="shared" si="220"/>
        <v>0.0467275778482193</v>
      </c>
      <c r="AK82" s="15">
        <f t="shared" si="220"/>
        <v>0.0425733634311512</v>
      </c>
      <c r="AL82" s="15">
        <f t="shared" si="220"/>
        <v>0.0500353731871242</v>
      </c>
      <c r="AM82" s="15"/>
      <c r="AN82" s="15"/>
      <c r="AO82" s="15">
        <f t="shared" ref="AO82:AU82" si="221">AO16</f>
        <v>0.0447027118073101</v>
      </c>
      <c r="AP82" s="15">
        <f t="shared" si="221"/>
        <v>0.0428058169375535</v>
      </c>
      <c r="AQ82" s="15">
        <f t="shared" si="221"/>
        <v>0.0441255605381166</v>
      </c>
      <c r="AR82" s="15">
        <f t="shared" si="221"/>
        <v>0.0456406368460955</v>
      </c>
      <c r="AS82" s="15">
        <f t="shared" si="221"/>
        <v>0.0467275778482193</v>
      </c>
      <c r="AT82" s="15">
        <f t="shared" si="221"/>
        <v>0.0314672686230248</v>
      </c>
      <c r="AU82" s="15">
        <f t="shared" si="221"/>
        <v>0.0369826671383092</v>
      </c>
    </row>
    <row r="83" ht="15.5" spans="21:47">
      <c r="U83" s="14"/>
      <c r="V83" s="29" t="s">
        <v>358</v>
      </c>
      <c r="W83" s="15">
        <f t="shared" ref="W83:AC83" si="222">W17</f>
        <v>0.0724945258548088</v>
      </c>
      <c r="X83" s="15">
        <f t="shared" si="222"/>
        <v>0.0706073567151412</v>
      </c>
      <c r="Y83" s="15">
        <f t="shared" si="222"/>
        <v>0.0732017937219731</v>
      </c>
      <c r="Z83" s="15">
        <f t="shared" si="222"/>
        <v>0.076516300227445</v>
      </c>
      <c r="AA83" s="15">
        <f t="shared" si="222"/>
        <v>0.0803841133693828</v>
      </c>
      <c r="AB83" s="15">
        <f t="shared" si="222"/>
        <v>0.0614145974416855</v>
      </c>
      <c r="AC83" s="15">
        <f t="shared" si="222"/>
        <v>0.0721789883268483</v>
      </c>
      <c r="AD83" s="15"/>
      <c r="AE83" s="15"/>
      <c r="AF83" s="15">
        <f t="shared" ref="AF83:AL83" si="223">AF17</f>
        <v>0.0724945258548088</v>
      </c>
      <c r="AG83" s="15">
        <f t="shared" si="223"/>
        <v>0.0706073567151412</v>
      </c>
      <c r="AH83" s="15">
        <f t="shared" si="223"/>
        <v>0.0732017937219731</v>
      </c>
      <c r="AI83" s="15">
        <f t="shared" si="223"/>
        <v>0.076516300227445</v>
      </c>
      <c r="AJ83" s="15">
        <f t="shared" si="223"/>
        <v>0.0803841133693828</v>
      </c>
      <c r="AK83" s="15">
        <f t="shared" si="223"/>
        <v>0.0706267870579383</v>
      </c>
      <c r="AL83" s="15">
        <f t="shared" si="223"/>
        <v>0.0830058365758755</v>
      </c>
      <c r="AM83" s="15"/>
      <c r="AN83" s="15"/>
      <c r="AO83" s="15">
        <f t="shared" ref="AO83:AU83" si="224">AO17</f>
        <v>0.0724945258548088</v>
      </c>
      <c r="AP83" s="15">
        <f t="shared" si="224"/>
        <v>0.0706073567151412</v>
      </c>
      <c r="AQ83" s="15">
        <f t="shared" si="224"/>
        <v>0.0732017937219731</v>
      </c>
      <c r="AR83" s="15">
        <f t="shared" si="224"/>
        <v>0.076516300227445</v>
      </c>
      <c r="AS83" s="15">
        <f t="shared" si="224"/>
        <v>0.0803841133693828</v>
      </c>
      <c r="AT83" s="15">
        <f t="shared" si="224"/>
        <v>0.0522024078254327</v>
      </c>
      <c r="AU83" s="15">
        <f t="shared" si="224"/>
        <v>0.061352140077821</v>
      </c>
    </row>
    <row r="84" ht="15.5" spans="21:47">
      <c r="U84" s="14"/>
      <c r="V84" s="29" t="s">
        <v>359</v>
      </c>
      <c r="W84" s="15">
        <f t="shared" ref="W84:AC84" si="225">W18</f>
        <v>0.0131547919824827</v>
      </c>
      <c r="X84" s="15">
        <f t="shared" si="225"/>
        <v>0.0128656971770744</v>
      </c>
      <c r="Y84" s="15">
        <f t="shared" si="225"/>
        <v>0.0133273542600897</v>
      </c>
      <c r="Z84" s="15">
        <f t="shared" si="225"/>
        <v>0.0145564821834723</v>
      </c>
      <c r="AA84" s="15">
        <f t="shared" si="225"/>
        <v>0.0148610852134999</v>
      </c>
      <c r="AB84" s="15">
        <f t="shared" si="225"/>
        <v>0.0111813393528969</v>
      </c>
      <c r="AC84" s="15">
        <f t="shared" si="225"/>
        <v>0.0131411390166254</v>
      </c>
      <c r="AD84" s="15"/>
      <c r="AE84" s="15"/>
      <c r="AF84" s="15">
        <f t="shared" ref="AF84:AL84" si="226">AF18</f>
        <v>0.0131547919824827</v>
      </c>
      <c r="AG84" s="15">
        <f t="shared" si="226"/>
        <v>0.0128656971770744</v>
      </c>
      <c r="AH84" s="15">
        <f t="shared" si="226"/>
        <v>0.0133273542600897</v>
      </c>
      <c r="AI84" s="15">
        <f t="shared" si="226"/>
        <v>0.0145564821834723</v>
      </c>
      <c r="AJ84" s="15">
        <f t="shared" si="226"/>
        <v>0.0148610852134999</v>
      </c>
      <c r="AK84" s="15">
        <f t="shared" si="226"/>
        <v>0.0128585402558315</v>
      </c>
      <c r="AL84" s="15">
        <f t="shared" si="226"/>
        <v>0.0151123098691192</v>
      </c>
      <c r="AM84" s="15"/>
      <c r="AN84" s="15"/>
      <c r="AO84" s="15">
        <f t="shared" ref="AO84:AU84" si="227">AO18</f>
        <v>0.0131547919824827</v>
      </c>
      <c r="AP84" s="15">
        <f t="shared" si="227"/>
        <v>0.0128656971770744</v>
      </c>
      <c r="AQ84" s="15">
        <f t="shared" si="227"/>
        <v>0.0133273542600897</v>
      </c>
      <c r="AR84" s="15">
        <f t="shared" si="227"/>
        <v>0.0145564821834723</v>
      </c>
      <c r="AS84" s="15">
        <f t="shared" si="227"/>
        <v>0.0148610852134999</v>
      </c>
      <c r="AT84" s="15">
        <f t="shared" si="227"/>
        <v>0.00950413844996238</v>
      </c>
      <c r="AU84" s="15">
        <f t="shared" si="227"/>
        <v>0.0111699681641316</v>
      </c>
    </row>
    <row r="85" ht="15.5" spans="21:47">
      <c r="U85" s="37" t="s">
        <v>333</v>
      </c>
      <c r="V85" s="29" t="s">
        <v>121</v>
      </c>
      <c r="W85" s="31">
        <f t="shared" ref="W85:AC85" si="228">W73</f>
        <v>0.0105103587670541</v>
      </c>
      <c r="X85" s="31">
        <f t="shared" si="228"/>
        <v>0.0100940975192472</v>
      </c>
      <c r="Y85" s="31">
        <f t="shared" si="228"/>
        <v>0.0103856502242152</v>
      </c>
      <c r="Z85" s="31">
        <f t="shared" si="228"/>
        <v>0.0114291129643669</v>
      </c>
      <c r="AA85" s="31">
        <f t="shared" si="228"/>
        <v>0.0115979862017528</v>
      </c>
      <c r="AB85" s="31">
        <f t="shared" si="228"/>
        <v>0.00871331828442437</v>
      </c>
      <c r="AC85" s="31">
        <f t="shared" si="228"/>
        <v>0.0102405376724443</v>
      </c>
      <c r="AD85" s="15"/>
      <c r="AE85" s="15"/>
      <c r="AF85" s="31">
        <f t="shared" ref="AF85:AL85" si="229">AF73</f>
        <v>0.0105103587670541</v>
      </c>
      <c r="AG85" s="31">
        <f t="shared" si="229"/>
        <v>0.0100940975192472</v>
      </c>
      <c r="AH85" s="31">
        <f t="shared" si="229"/>
        <v>0.0103856502242152</v>
      </c>
      <c r="AI85" s="31">
        <f t="shared" si="229"/>
        <v>0.0114291129643669</v>
      </c>
      <c r="AJ85" s="31">
        <f t="shared" si="229"/>
        <v>0.0115979862017528</v>
      </c>
      <c r="AK85" s="31">
        <f t="shared" si="229"/>
        <v>0.010020316027088</v>
      </c>
      <c r="AL85" s="31">
        <f t="shared" si="229"/>
        <v>0.0117766183233109</v>
      </c>
      <c r="AM85" s="15"/>
      <c r="AN85" s="15"/>
      <c r="AO85" s="31">
        <f t="shared" ref="AO85:AU85" si="230">AO73</f>
        <v>0.0105103587670541</v>
      </c>
      <c r="AP85" s="31">
        <f t="shared" si="230"/>
        <v>0.0100940975192472</v>
      </c>
      <c r="AQ85" s="31">
        <f t="shared" si="230"/>
        <v>0.0103856502242152</v>
      </c>
      <c r="AR85" s="31">
        <f t="shared" si="230"/>
        <v>0.0114291129643669</v>
      </c>
      <c r="AS85" s="31">
        <f t="shared" si="230"/>
        <v>0.0115979862017528</v>
      </c>
      <c r="AT85" s="31">
        <f t="shared" si="230"/>
        <v>0.00740632054176073</v>
      </c>
      <c r="AU85" s="31">
        <f t="shared" si="230"/>
        <v>0.00870445702157763</v>
      </c>
    </row>
    <row r="86" ht="15.5" spans="21:47">
      <c r="U86" s="37"/>
      <c r="V86" s="30" t="s">
        <v>357</v>
      </c>
      <c r="W86" s="31">
        <f t="shared" ref="W86:AC86" si="231">W74</f>
        <v>0.0289203301330638</v>
      </c>
      <c r="X86" s="31">
        <f t="shared" si="231"/>
        <v>0.0275620188195039</v>
      </c>
      <c r="Y86" s="31">
        <f t="shared" si="231"/>
        <v>0.028322869955157</v>
      </c>
      <c r="Z86" s="31">
        <f t="shared" si="231"/>
        <v>0.0288286580742987</v>
      </c>
      <c r="AA86" s="31">
        <f t="shared" si="231"/>
        <v>0.0296102927465971</v>
      </c>
      <c r="AB86" s="31">
        <f t="shared" si="231"/>
        <v>0.0237622272385252</v>
      </c>
      <c r="AC86" s="31">
        <f t="shared" si="231"/>
        <v>0.0279271312345242</v>
      </c>
      <c r="AD86" s="15"/>
      <c r="AE86" s="15"/>
      <c r="AF86" s="31">
        <f t="shared" ref="AF86:AL86" si="232">AF74</f>
        <v>0.0289203301330638</v>
      </c>
      <c r="AG86" s="31">
        <f t="shared" si="232"/>
        <v>0.0275620188195039</v>
      </c>
      <c r="AH86" s="31">
        <f t="shared" si="232"/>
        <v>0.028322869955157</v>
      </c>
      <c r="AI86" s="31">
        <f t="shared" si="232"/>
        <v>0.0288286580742987</v>
      </c>
      <c r="AJ86" s="31">
        <f t="shared" si="232"/>
        <v>0.0296102927465971</v>
      </c>
      <c r="AK86" s="31">
        <f t="shared" si="232"/>
        <v>0.027326561324304</v>
      </c>
      <c r="AL86" s="31">
        <f t="shared" si="232"/>
        <v>0.0321162009197029</v>
      </c>
      <c r="AM86" s="15"/>
      <c r="AN86" s="15"/>
      <c r="AO86" s="31">
        <f t="shared" ref="AO86:AU86" si="233">AO74</f>
        <v>0.0289203301330638</v>
      </c>
      <c r="AP86" s="31">
        <f t="shared" si="233"/>
        <v>0.0275620188195039</v>
      </c>
      <c r="AQ86" s="31">
        <f t="shared" si="233"/>
        <v>0.028322869955157</v>
      </c>
      <c r="AR86" s="31">
        <f t="shared" si="233"/>
        <v>0.0288286580742987</v>
      </c>
      <c r="AS86" s="31">
        <f t="shared" si="233"/>
        <v>0.0296102927465971</v>
      </c>
      <c r="AT86" s="31">
        <f t="shared" si="233"/>
        <v>0.0201978931527464</v>
      </c>
      <c r="AU86" s="31">
        <f t="shared" si="233"/>
        <v>0.0237380615493456</v>
      </c>
    </row>
    <row r="87" ht="15.5" spans="21:47">
      <c r="U87" s="37"/>
      <c r="V87" s="29" t="s">
        <v>358</v>
      </c>
      <c r="W87" s="31">
        <f t="shared" ref="W87:AC87" si="234">W75</f>
        <v>0.0836617820448038</v>
      </c>
      <c r="X87" s="31">
        <f t="shared" si="234"/>
        <v>0.0814029084687767</v>
      </c>
      <c r="Y87" s="31">
        <f t="shared" si="234"/>
        <v>0.0843946188340807</v>
      </c>
      <c r="Z87" s="31">
        <f t="shared" si="234"/>
        <v>0.0884192570128886</v>
      </c>
      <c r="AA87" s="31">
        <f t="shared" si="234"/>
        <v>0.092485549132948</v>
      </c>
      <c r="AB87" s="31">
        <f t="shared" si="234"/>
        <v>0.0708051166290444</v>
      </c>
      <c r="AC87" s="31">
        <f t="shared" si="234"/>
        <v>0.0832154227095861</v>
      </c>
      <c r="AD87" s="15"/>
      <c r="AE87" s="15"/>
      <c r="AF87" s="31">
        <f t="shared" ref="AF87:AL87" si="235">AF75</f>
        <v>0.0836617820448038</v>
      </c>
      <c r="AG87" s="31">
        <f t="shared" si="235"/>
        <v>0.0814029084687767</v>
      </c>
      <c r="AH87" s="31">
        <f t="shared" si="235"/>
        <v>0.0843946188340807</v>
      </c>
      <c r="AI87" s="31">
        <f t="shared" si="235"/>
        <v>0.0884192570128886</v>
      </c>
      <c r="AJ87" s="31">
        <f t="shared" si="235"/>
        <v>0.092485549132948</v>
      </c>
      <c r="AK87" s="31">
        <f t="shared" si="235"/>
        <v>0.0814258841234011</v>
      </c>
      <c r="AL87" s="31">
        <f t="shared" si="235"/>
        <v>0.0956977361160241</v>
      </c>
      <c r="AM87" s="15"/>
      <c r="AN87" s="15"/>
      <c r="AO87" s="31">
        <f t="shared" ref="AO87:AU87" si="236">AO75</f>
        <v>0.0836617820448038</v>
      </c>
      <c r="AP87" s="31">
        <f t="shared" si="236"/>
        <v>0.0814029084687767</v>
      </c>
      <c r="AQ87" s="31">
        <f t="shared" si="236"/>
        <v>0.0843946188340807</v>
      </c>
      <c r="AR87" s="31">
        <f t="shared" si="236"/>
        <v>0.0884192570128886</v>
      </c>
      <c r="AS87" s="31">
        <f t="shared" si="236"/>
        <v>0.092485549132948</v>
      </c>
      <c r="AT87" s="31">
        <f t="shared" si="236"/>
        <v>0.0601843491346877</v>
      </c>
      <c r="AU87" s="31">
        <f t="shared" si="236"/>
        <v>0.0707331093031482</v>
      </c>
    </row>
    <row r="88" ht="15.5" spans="21:47">
      <c r="U88" s="37"/>
      <c r="V88" s="29" t="s">
        <v>359</v>
      </c>
      <c r="W88" s="31">
        <f t="shared" ref="W88:AC88" si="237">W76</f>
        <v>0.0130200437931615</v>
      </c>
      <c r="X88" s="31">
        <f t="shared" si="237"/>
        <v>0.0127459366980325</v>
      </c>
      <c r="Y88" s="31">
        <f t="shared" si="237"/>
        <v>0.0132017937219731</v>
      </c>
      <c r="Z88" s="31">
        <f t="shared" si="237"/>
        <v>0.0144238059135709</v>
      </c>
      <c r="AA88" s="31">
        <f t="shared" si="237"/>
        <v>0.0147119149729629</v>
      </c>
      <c r="AB88" s="31">
        <f t="shared" si="237"/>
        <v>0.0110759969902182</v>
      </c>
      <c r="AC88" s="31">
        <f t="shared" si="237"/>
        <v>0.0130173328616908</v>
      </c>
      <c r="AD88" s="15"/>
      <c r="AE88" s="15"/>
      <c r="AF88" s="31">
        <f t="shared" ref="AF88:AL88" si="238">AF76</f>
        <v>0.0130200437931615</v>
      </c>
      <c r="AG88" s="31">
        <f t="shared" si="238"/>
        <v>0.0127459366980325</v>
      </c>
      <c r="AH88" s="31">
        <f t="shared" si="238"/>
        <v>0.0132017937219731</v>
      </c>
      <c r="AI88" s="31">
        <f t="shared" si="238"/>
        <v>0.0144238059135709</v>
      </c>
      <c r="AJ88" s="31">
        <f t="shared" si="238"/>
        <v>0.0147119149729629</v>
      </c>
      <c r="AK88" s="31">
        <f t="shared" si="238"/>
        <v>0.0127373965387509</v>
      </c>
      <c r="AL88" s="31">
        <f t="shared" si="238"/>
        <v>0.0149699327909445</v>
      </c>
      <c r="AM88" s="15"/>
      <c r="AN88" s="15"/>
      <c r="AO88" s="31">
        <f t="shared" ref="AO88:AU88" si="239">AO76</f>
        <v>0.0130200437931615</v>
      </c>
      <c r="AP88" s="31">
        <f t="shared" si="239"/>
        <v>0.0127459366980325</v>
      </c>
      <c r="AQ88" s="31">
        <f t="shared" si="239"/>
        <v>0.0132017937219731</v>
      </c>
      <c r="AR88" s="31">
        <f t="shared" si="239"/>
        <v>0.0144238059135709</v>
      </c>
      <c r="AS88" s="31">
        <f t="shared" si="239"/>
        <v>0.0147119149729629</v>
      </c>
      <c r="AT88" s="31">
        <f t="shared" si="239"/>
        <v>0.00941459744168548</v>
      </c>
      <c r="AU88" s="31">
        <f t="shared" si="239"/>
        <v>0.0110647329324372</v>
      </c>
    </row>
    <row r="89" ht="15.5" spans="21:47">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row>
    <row r="90" ht="15.5" spans="21:47">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row>
    <row r="91" ht="15.5" spans="21:47">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row>
    <row r="92" ht="15.5" spans="21:47">
      <c r="U92" s="15"/>
      <c r="V92" s="15"/>
      <c r="W92" s="15" t="s">
        <v>326</v>
      </c>
      <c r="X92" s="15" t="s">
        <v>327</v>
      </c>
      <c r="Y92" s="19" t="s">
        <v>328</v>
      </c>
      <c r="Z92" s="15" t="s">
        <v>329</v>
      </c>
      <c r="AA92" s="15" t="s">
        <v>330</v>
      </c>
      <c r="AB92" s="21" t="s">
        <v>331</v>
      </c>
      <c r="AC92" s="21" t="s">
        <v>332</v>
      </c>
      <c r="AD92" s="15"/>
      <c r="AE92" s="15"/>
      <c r="AF92" s="15" t="s">
        <v>326</v>
      </c>
      <c r="AG92" s="15" t="s">
        <v>327</v>
      </c>
      <c r="AH92" s="19" t="s">
        <v>328</v>
      </c>
      <c r="AI92" s="15" t="s">
        <v>329</v>
      </c>
      <c r="AJ92" s="15" t="s">
        <v>330</v>
      </c>
      <c r="AK92" s="21" t="s">
        <v>331</v>
      </c>
      <c r="AL92" s="21" t="s">
        <v>332</v>
      </c>
      <c r="AM92" s="15"/>
      <c r="AN92" s="15"/>
      <c r="AO92" s="15" t="s">
        <v>326</v>
      </c>
      <c r="AP92" s="15" t="s">
        <v>327</v>
      </c>
      <c r="AQ92" s="19" t="s">
        <v>328</v>
      </c>
      <c r="AR92" s="15" t="s">
        <v>329</v>
      </c>
      <c r="AS92" s="15" t="s">
        <v>330</v>
      </c>
      <c r="AT92" s="21" t="s">
        <v>331</v>
      </c>
      <c r="AU92" s="21" t="s">
        <v>332</v>
      </c>
    </row>
    <row r="93" spans="21:47">
      <c r="U93" s="14" t="s">
        <v>333</v>
      </c>
      <c r="V93" s="29" t="s">
        <v>121</v>
      </c>
      <c r="W93" s="12">
        <f t="shared" ref="W93:AC93" si="240">W24-W25</f>
        <v>0.0115546572342934</v>
      </c>
      <c r="X93" s="12">
        <f t="shared" si="240"/>
        <v>0.0110863986313088</v>
      </c>
      <c r="Y93" s="12">
        <f t="shared" si="240"/>
        <v>0.0114618834080717</v>
      </c>
      <c r="Z93" s="12">
        <f t="shared" si="240"/>
        <v>0.011751326762699</v>
      </c>
      <c r="AA93" s="12">
        <f t="shared" si="240"/>
        <v>0.0119709118030953</v>
      </c>
      <c r="AB93" s="12">
        <f t="shared" si="240"/>
        <v>0.00961625282167042</v>
      </c>
      <c r="AC93" s="12">
        <f t="shared" si="240"/>
        <v>0.0113017332861691</v>
      </c>
      <c r="AF93" s="12">
        <f t="shared" ref="AF93:AL93" si="241">AF24-AF25</f>
        <v>0.0115546572342934</v>
      </c>
      <c r="AG93" s="12">
        <f t="shared" si="241"/>
        <v>0.0110863986313088</v>
      </c>
      <c r="AH93" s="12">
        <f t="shared" si="241"/>
        <v>0.0114618834080717</v>
      </c>
      <c r="AI93" s="12">
        <f t="shared" si="241"/>
        <v>0.011751326762699</v>
      </c>
      <c r="AJ93" s="12">
        <f t="shared" si="241"/>
        <v>0.0119709118030953</v>
      </c>
      <c r="AK93" s="12">
        <f t="shared" si="241"/>
        <v>0.011058690744921</v>
      </c>
      <c r="AL93" s="12">
        <f t="shared" si="241"/>
        <v>0.0129969932790944</v>
      </c>
      <c r="AO93" s="12">
        <f t="shared" ref="AO93:AU93" si="242">AO24-AO25</f>
        <v>0.0115546572342934</v>
      </c>
      <c r="AP93" s="12">
        <f t="shared" si="242"/>
        <v>0.0110863986313088</v>
      </c>
      <c r="AQ93" s="12">
        <f t="shared" si="242"/>
        <v>0.0114618834080717</v>
      </c>
      <c r="AR93" s="12">
        <f t="shared" si="242"/>
        <v>0.011751326762699</v>
      </c>
      <c r="AS93" s="12">
        <f t="shared" si="242"/>
        <v>0.0119709118030953</v>
      </c>
      <c r="AT93" s="12">
        <f t="shared" si="242"/>
        <v>0.00817381489841985</v>
      </c>
      <c r="AU93" s="12">
        <f t="shared" si="242"/>
        <v>0.00960647329324371</v>
      </c>
    </row>
    <row r="94" spans="21:47">
      <c r="U94" s="14"/>
      <c r="V94" s="30" t="s">
        <v>357</v>
      </c>
      <c r="W94" s="12">
        <f t="shared" ref="W94:AC94" si="243">W26</f>
        <v>0.0252147549267307</v>
      </c>
      <c r="X94" s="12">
        <f t="shared" si="243"/>
        <v>0.0242600513259196</v>
      </c>
      <c r="Y94" s="12">
        <f t="shared" si="243"/>
        <v>0.0250941704035874</v>
      </c>
      <c r="Z94" s="12">
        <f t="shared" si="243"/>
        <v>0.0257581501137225</v>
      </c>
      <c r="AA94" s="12">
        <f t="shared" si="243"/>
        <v>0.0262539623345143</v>
      </c>
      <c r="AB94" s="12">
        <f t="shared" si="243"/>
        <v>0.0210534236267871</v>
      </c>
      <c r="AC94" s="12">
        <f t="shared" si="243"/>
        <v>0.0247435443933498</v>
      </c>
      <c r="AF94" s="12">
        <f t="shared" ref="AF94:AL94" si="244">AF26</f>
        <v>0.0252147549267307</v>
      </c>
      <c r="AG94" s="12">
        <f t="shared" si="244"/>
        <v>0.0242600513259196</v>
      </c>
      <c r="AH94" s="12">
        <f t="shared" si="244"/>
        <v>0.0250941704035874</v>
      </c>
      <c r="AI94" s="12">
        <f t="shared" si="244"/>
        <v>0.0257581501137225</v>
      </c>
      <c r="AJ94" s="12">
        <f t="shared" si="244"/>
        <v>0.0262539623345143</v>
      </c>
      <c r="AK94" s="12">
        <f t="shared" si="244"/>
        <v>0.0242114371708051</v>
      </c>
      <c r="AL94" s="12">
        <f t="shared" si="244"/>
        <v>0.0284550760523523</v>
      </c>
      <c r="AO94" s="12">
        <f t="shared" ref="AO94:AU94" si="245">AO26</f>
        <v>0.0252147549267307</v>
      </c>
      <c r="AP94" s="12">
        <f t="shared" si="245"/>
        <v>0.0242600513259196</v>
      </c>
      <c r="AQ94" s="12">
        <f t="shared" si="245"/>
        <v>0.0250941704035874</v>
      </c>
      <c r="AR94" s="12">
        <f t="shared" si="245"/>
        <v>0.0257581501137225</v>
      </c>
      <c r="AS94" s="12">
        <f t="shared" si="245"/>
        <v>0.0262539623345143</v>
      </c>
      <c r="AT94" s="12">
        <f t="shared" si="245"/>
        <v>0.017895410082769</v>
      </c>
      <c r="AU94" s="12">
        <f t="shared" si="245"/>
        <v>0.0210320127343474</v>
      </c>
    </row>
    <row r="95" spans="21:47">
      <c r="U95" s="14"/>
      <c r="V95" s="29" t="s">
        <v>358</v>
      </c>
      <c r="W95" s="12">
        <f t="shared" ref="W95:AC95" si="246">W27</f>
        <v>0.0978103419235304</v>
      </c>
      <c r="X95" s="12">
        <f t="shared" si="246"/>
        <v>0.0947818648417451</v>
      </c>
      <c r="Y95" s="12">
        <f t="shared" si="246"/>
        <v>0.0982600896860986</v>
      </c>
      <c r="Z95" s="12">
        <f t="shared" si="246"/>
        <v>0.099696739954511</v>
      </c>
      <c r="AA95" s="12">
        <f t="shared" si="246"/>
        <v>0.103953011374231</v>
      </c>
      <c r="AB95" s="12">
        <f t="shared" si="246"/>
        <v>0.0824379232505643</v>
      </c>
      <c r="AC95" s="12">
        <f t="shared" si="246"/>
        <v>0.0968871595330739</v>
      </c>
      <c r="AF95" s="12">
        <f t="shared" ref="AF95:AL95" si="247">AF27</f>
        <v>0.0978103419235304</v>
      </c>
      <c r="AG95" s="12">
        <f t="shared" si="247"/>
        <v>0.0947818648417451</v>
      </c>
      <c r="AH95" s="12">
        <f t="shared" si="247"/>
        <v>0.0982600896860986</v>
      </c>
      <c r="AI95" s="12">
        <f t="shared" si="247"/>
        <v>0.099696739954511</v>
      </c>
      <c r="AJ95" s="12">
        <f t="shared" si="247"/>
        <v>0.103953011374231</v>
      </c>
      <c r="AK95" s="12">
        <f t="shared" si="247"/>
        <v>0.094803611738149</v>
      </c>
      <c r="AL95" s="12">
        <f t="shared" si="247"/>
        <v>0.111420233463035</v>
      </c>
      <c r="AO95" s="12">
        <f t="shared" ref="AO95:AU95" si="248">AO27</f>
        <v>0.0978103419235304</v>
      </c>
      <c r="AP95" s="12">
        <f t="shared" si="248"/>
        <v>0.0947818648417451</v>
      </c>
      <c r="AQ95" s="12">
        <f t="shared" si="248"/>
        <v>0.0982600896860986</v>
      </c>
      <c r="AR95" s="12">
        <f t="shared" si="248"/>
        <v>0.099696739954511</v>
      </c>
      <c r="AS95" s="12">
        <f t="shared" si="248"/>
        <v>0.103953011374231</v>
      </c>
      <c r="AT95" s="12">
        <f t="shared" si="248"/>
        <v>0.0700722347629797</v>
      </c>
      <c r="AU95" s="12">
        <f t="shared" si="248"/>
        <v>0.0823540856031128</v>
      </c>
    </row>
    <row r="96" spans="21:47">
      <c r="U96" s="14"/>
      <c r="V96" s="29" t="s">
        <v>359</v>
      </c>
      <c r="W96" s="12">
        <f t="shared" ref="W96:AC96" si="249">W28</f>
        <v>0.0132390096008085</v>
      </c>
      <c r="X96" s="12">
        <f t="shared" si="249"/>
        <v>0.0130538922155689</v>
      </c>
      <c r="Y96" s="12">
        <f t="shared" si="249"/>
        <v>0.0136143497757848</v>
      </c>
      <c r="Z96" s="12">
        <f t="shared" si="249"/>
        <v>0.0139689158453374</v>
      </c>
      <c r="AA96" s="12">
        <f t="shared" si="249"/>
        <v>0.0141711728510162</v>
      </c>
      <c r="AB96" s="12">
        <f t="shared" si="249"/>
        <v>0.0114221218961625</v>
      </c>
      <c r="AC96" s="12">
        <f t="shared" si="249"/>
        <v>0.0134241245136187</v>
      </c>
      <c r="AF96" s="12">
        <f t="shared" ref="AF96:AL96" si="250">AF28</f>
        <v>0.0132390096008085</v>
      </c>
      <c r="AG96" s="12">
        <f t="shared" si="250"/>
        <v>0.0130538922155689</v>
      </c>
      <c r="AH96" s="12">
        <f t="shared" si="250"/>
        <v>0.0136143497757848</v>
      </c>
      <c r="AI96" s="12">
        <f t="shared" si="250"/>
        <v>0.0139689158453374</v>
      </c>
      <c r="AJ96" s="12">
        <f t="shared" si="250"/>
        <v>0.0141711728510162</v>
      </c>
      <c r="AK96" s="12">
        <f t="shared" si="250"/>
        <v>0.0131354401805869</v>
      </c>
      <c r="AL96" s="12">
        <f t="shared" si="250"/>
        <v>0.0154377431906615</v>
      </c>
      <c r="AO96" s="12">
        <f t="shared" ref="AO96:AU96" si="251">AO28</f>
        <v>0.0132390096008085</v>
      </c>
      <c r="AP96" s="12">
        <f t="shared" si="251"/>
        <v>0.0130538922155689</v>
      </c>
      <c r="AQ96" s="12">
        <f t="shared" si="251"/>
        <v>0.0136143497757848</v>
      </c>
      <c r="AR96" s="12">
        <f t="shared" si="251"/>
        <v>0.0139689158453374</v>
      </c>
      <c r="AS96" s="12">
        <f t="shared" si="251"/>
        <v>0.0141711728510162</v>
      </c>
      <c r="AT96" s="12">
        <f t="shared" si="251"/>
        <v>0.00970880361173815</v>
      </c>
      <c r="AU96" s="12">
        <f t="shared" si="251"/>
        <v>0.0114105058365759</v>
      </c>
    </row>
    <row r="97" spans="21:47">
      <c r="U97" s="14" t="s">
        <v>339</v>
      </c>
      <c r="V97" s="29" t="s">
        <v>121</v>
      </c>
      <c r="W97" s="12">
        <f t="shared" ref="W97:AC97" si="252">W29-W30</f>
        <v>0.0114030655213071</v>
      </c>
      <c r="X97" s="12">
        <f t="shared" si="252"/>
        <v>0.0109324208725406</v>
      </c>
      <c r="Y97" s="12">
        <f t="shared" si="252"/>
        <v>0.0113183856502242</v>
      </c>
      <c r="Z97" s="12">
        <f t="shared" si="252"/>
        <v>0.0115996967399545</v>
      </c>
      <c r="AA97" s="12">
        <f t="shared" si="252"/>
        <v>0.0118030952824912</v>
      </c>
      <c r="AB97" s="12">
        <f t="shared" si="252"/>
        <v>0.00949586155003763</v>
      </c>
      <c r="AC97" s="12">
        <f t="shared" si="252"/>
        <v>0.0111602405376725</v>
      </c>
      <c r="AF97" s="12">
        <f t="shared" ref="AF97:AL97" si="253">AF29-AF30</f>
        <v>0.0114030655213071</v>
      </c>
      <c r="AG97" s="12">
        <f t="shared" si="253"/>
        <v>0.0109324208725406</v>
      </c>
      <c r="AH97" s="12">
        <f t="shared" si="253"/>
        <v>0.0113183856502242</v>
      </c>
      <c r="AI97" s="12">
        <f t="shared" si="253"/>
        <v>0.0115996967399545</v>
      </c>
      <c r="AJ97" s="12">
        <f t="shared" si="253"/>
        <v>0.0118030952824912</v>
      </c>
      <c r="AK97" s="12">
        <f t="shared" si="253"/>
        <v>0.0109202407825433</v>
      </c>
      <c r="AL97" s="12">
        <f t="shared" si="253"/>
        <v>0.0128342766183233</v>
      </c>
      <c r="AO97" s="12">
        <f t="shared" ref="AO97:AU97" si="254">AO29-AO30</f>
        <v>0.0114030655213071</v>
      </c>
      <c r="AP97" s="12">
        <f t="shared" si="254"/>
        <v>0.0109324208725406</v>
      </c>
      <c r="AQ97" s="12">
        <f t="shared" si="254"/>
        <v>0.0113183856502242</v>
      </c>
      <c r="AR97" s="12">
        <f t="shared" si="254"/>
        <v>0.0115996967399545</v>
      </c>
      <c r="AS97" s="12">
        <f t="shared" si="254"/>
        <v>0.0118030952824912</v>
      </c>
      <c r="AT97" s="12">
        <f t="shared" si="254"/>
        <v>0.00807148231753198</v>
      </c>
      <c r="AU97" s="12">
        <f t="shared" si="254"/>
        <v>0.00948620445702159</v>
      </c>
    </row>
    <row r="98" spans="21:47">
      <c r="U98" s="14"/>
      <c r="V98" s="30" t="s">
        <v>357</v>
      </c>
      <c r="W98" s="12">
        <f t="shared" ref="W98:AC98" si="255">W31</f>
        <v>0.0310257705912077</v>
      </c>
      <c r="X98" s="12">
        <f t="shared" si="255"/>
        <v>0.0298716852010265</v>
      </c>
      <c r="Y98" s="12">
        <f t="shared" si="255"/>
        <v>0.0309237668161435</v>
      </c>
      <c r="Z98" s="12">
        <f t="shared" si="255"/>
        <v>0.0319749810462472</v>
      </c>
      <c r="AA98" s="12">
        <f t="shared" si="255"/>
        <v>0.0325750512772702</v>
      </c>
      <c r="AB98" s="12">
        <f t="shared" si="255"/>
        <v>0.0259443190368698</v>
      </c>
      <c r="AC98" s="12">
        <f t="shared" si="255"/>
        <v>0.0304916873010258</v>
      </c>
      <c r="AF98" s="12">
        <f t="shared" ref="AF98:AL98" si="256">AF31</f>
        <v>0.0310257705912077</v>
      </c>
      <c r="AG98" s="12">
        <f t="shared" si="256"/>
        <v>0.0298716852010265</v>
      </c>
      <c r="AH98" s="12">
        <f t="shared" si="256"/>
        <v>0.0309237668161435</v>
      </c>
      <c r="AI98" s="12">
        <f t="shared" si="256"/>
        <v>0.0319749810462472</v>
      </c>
      <c r="AJ98" s="12">
        <f t="shared" si="256"/>
        <v>0.0325750512772702</v>
      </c>
      <c r="AK98" s="12">
        <f t="shared" si="256"/>
        <v>0.0298359668924003</v>
      </c>
      <c r="AL98" s="12">
        <f t="shared" si="256"/>
        <v>0.0350654403961797</v>
      </c>
      <c r="AO98" s="12">
        <f t="shared" ref="AO98:AU98" si="257">AO31</f>
        <v>0.0310257705912077</v>
      </c>
      <c r="AP98" s="12">
        <f t="shared" si="257"/>
        <v>0.0298716852010265</v>
      </c>
      <c r="AQ98" s="12">
        <f t="shared" si="257"/>
        <v>0.0309237668161435</v>
      </c>
      <c r="AR98" s="12">
        <f t="shared" si="257"/>
        <v>0.0319749810462472</v>
      </c>
      <c r="AS98" s="12">
        <f t="shared" si="257"/>
        <v>0.0325750512772702</v>
      </c>
      <c r="AT98" s="12">
        <f t="shared" si="257"/>
        <v>0.0220526711813394</v>
      </c>
      <c r="AU98" s="12">
        <f t="shared" si="257"/>
        <v>0.0259179342058719</v>
      </c>
    </row>
    <row r="99" ht="15.5" spans="21:47">
      <c r="U99" s="14"/>
      <c r="V99" s="29" t="s">
        <v>358</v>
      </c>
      <c r="W99" s="12">
        <f t="shared" ref="W99:AC99" si="258">W32</f>
        <v>0.0942732019538488</v>
      </c>
      <c r="X99" s="12">
        <f t="shared" si="258"/>
        <v>0.0913601368691189</v>
      </c>
      <c r="Y99" s="12">
        <f t="shared" si="258"/>
        <v>0.0947085201793722</v>
      </c>
      <c r="Z99" s="12">
        <f t="shared" si="258"/>
        <v>0.0959249431387415</v>
      </c>
      <c r="AA99" s="12">
        <f t="shared" si="258"/>
        <v>0.100111877680403</v>
      </c>
      <c r="AB99" s="12">
        <f t="shared" si="258"/>
        <v>0.0794582392776524</v>
      </c>
      <c r="AC99" s="12">
        <f t="shared" si="258"/>
        <v>0.0933852140077821</v>
      </c>
      <c r="AD99" s="15"/>
      <c r="AE99" s="15"/>
      <c r="AF99" s="12">
        <f t="shared" ref="AF99:AL99" si="259">AF32</f>
        <v>0.0942732019538488</v>
      </c>
      <c r="AG99" s="12">
        <f t="shared" si="259"/>
        <v>0.0913601368691189</v>
      </c>
      <c r="AH99" s="12">
        <f t="shared" si="259"/>
        <v>0.0947085201793722</v>
      </c>
      <c r="AI99" s="12">
        <f t="shared" si="259"/>
        <v>0.0959249431387415</v>
      </c>
      <c r="AJ99" s="12">
        <f t="shared" si="259"/>
        <v>0.100111877680403</v>
      </c>
      <c r="AK99" s="12">
        <f t="shared" si="259"/>
        <v>0.0913769751693002</v>
      </c>
      <c r="AL99" s="12">
        <f t="shared" si="259"/>
        <v>0.107392996108949</v>
      </c>
      <c r="AM99" s="15"/>
      <c r="AN99" s="15"/>
      <c r="AO99" s="12">
        <f t="shared" ref="AO99:AU99" si="260">AO32</f>
        <v>0.0942732019538488</v>
      </c>
      <c r="AP99" s="12">
        <f t="shared" si="260"/>
        <v>0.0913601368691189</v>
      </c>
      <c r="AQ99" s="12">
        <f t="shared" si="260"/>
        <v>0.0947085201793722</v>
      </c>
      <c r="AR99" s="12">
        <f t="shared" si="260"/>
        <v>0.0959249431387415</v>
      </c>
      <c r="AS99" s="12">
        <f t="shared" si="260"/>
        <v>0.100111877680403</v>
      </c>
      <c r="AT99" s="12">
        <f t="shared" si="260"/>
        <v>0.0675395033860045</v>
      </c>
      <c r="AU99" s="12">
        <f t="shared" si="260"/>
        <v>0.0793774319066148</v>
      </c>
    </row>
    <row r="100" ht="15.5" spans="21:47">
      <c r="U100" s="14"/>
      <c r="V100" s="29" t="s">
        <v>359</v>
      </c>
      <c r="W100" s="12">
        <f t="shared" ref="W100:AC100" si="261">W33</f>
        <v>0.0137106282634327</v>
      </c>
      <c r="X100" s="12">
        <f t="shared" si="261"/>
        <v>0.0135158254918734</v>
      </c>
      <c r="Y100" s="12">
        <f t="shared" si="261"/>
        <v>0.0140807174887892</v>
      </c>
      <c r="Z100" s="12">
        <f t="shared" si="261"/>
        <v>0.0144806671721001</v>
      </c>
      <c r="AA100" s="12">
        <f t="shared" si="261"/>
        <v>0.0146746224128286</v>
      </c>
      <c r="AB100" s="12">
        <f t="shared" si="261"/>
        <v>0.0118133935289691</v>
      </c>
      <c r="AC100" s="12">
        <f t="shared" si="261"/>
        <v>0.0138839759462328</v>
      </c>
      <c r="AD100" s="15"/>
      <c r="AE100" s="15"/>
      <c r="AF100" s="12">
        <f t="shared" ref="AF100:AL100" si="262">AF33</f>
        <v>0.0137106282634327</v>
      </c>
      <c r="AG100" s="12">
        <f t="shared" si="262"/>
        <v>0.0135158254918734</v>
      </c>
      <c r="AH100" s="12">
        <f t="shared" si="262"/>
        <v>0.0140807174887892</v>
      </c>
      <c r="AI100" s="12">
        <f t="shared" si="262"/>
        <v>0.0144806671721001</v>
      </c>
      <c r="AJ100" s="12">
        <f t="shared" si="262"/>
        <v>0.0146746224128286</v>
      </c>
      <c r="AK100" s="12">
        <f t="shared" si="262"/>
        <v>0.0135854025583145</v>
      </c>
      <c r="AL100" s="12">
        <f t="shared" si="262"/>
        <v>0.0159665723381677</v>
      </c>
      <c r="AM100" s="15"/>
      <c r="AN100" s="15"/>
      <c r="AO100" s="12">
        <f t="shared" ref="AO100:AU100" si="263">AO33</f>
        <v>0.0137106282634327</v>
      </c>
      <c r="AP100" s="12">
        <f t="shared" si="263"/>
        <v>0.0135158254918734</v>
      </c>
      <c r="AQ100" s="12">
        <f t="shared" si="263"/>
        <v>0.0140807174887892</v>
      </c>
      <c r="AR100" s="12">
        <f t="shared" si="263"/>
        <v>0.0144806671721001</v>
      </c>
      <c r="AS100" s="12">
        <f t="shared" si="263"/>
        <v>0.0146746224128286</v>
      </c>
      <c r="AT100" s="12">
        <f t="shared" si="263"/>
        <v>0.0100413844996238</v>
      </c>
      <c r="AU100" s="12">
        <f t="shared" si="263"/>
        <v>0.0118013795542978</v>
      </c>
    </row>
    <row r="101" ht="15.5" spans="21:47">
      <c r="U101" s="14" t="s">
        <v>360</v>
      </c>
      <c r="V101" s="29" t="s">
        <v>121</v>
      </c>
      <c r="W101" s="15">
        <f t="shared" ref="W101:AC101" si="264">W34-W35</f>
        <v>0.011840997136601</v>
      </c>
      <c r="X101" s="15">
        <f t="shared" si="264"/>
        <v>0.011377245508982</v>
      </c>
      <c r="Y101" s="15">
        <f t="shared" si="264"/>
        <v>0.0117668161434977</v>
      </c>
      <c r="Z101" s="15">
        <f t="shared" si="264"/>
        <v>0.0120924943138741</v>
      </c>
      <c r="AA101" s="15">
        <f t="shared" si="264"/>
        <v>0.0122878985642364</v>
      </c>
      <c r="AB101" s="15">
        <f t="shared" si="264"/>
        <v>0.00987208427389014</v>
      </c>
      <c r="AC101" s="15">
        <f t="shared" si="264"/>
        <v>0.0116024053767244</v>
      </c>
      <c r="AD101" s="15"/>
      <c r="AE101" s="15"/>
      <c r="AF101" s="15">
        <f t="shared" ref="AF101:AL101" si="265">AF34-AF35</f>
        <v>0.011840997136601</v>
      </c>
      <c r="AG101" s="15">
        <f t="shared" si="265"/>
        <v>0.011377245508982</v>
      </c>
      <c r="AH101" s="15">
        <f t="shared" si="265"/>
        <v>0.0117668161434977</v>
      </c>
      <c r="AI101" s="15">
        <f t="shared" si="265"/>
        <v>0.0120924943138741</v>
      </c>
      <c r="AJ101" s="15">
        <f t="shared" si="265"/>
        <v>0.0122878985642364</v>
      </c>
      <c r="AK101" s="15">
        <f t="shared" si="265"/>
        <v>0.0113528969149737</v>
      </c>
      <c r="AL101" s="15">
        <f t="shared" si="265"/>
        <v>0.0133427661832331</v>
      </c>
      <c r="AM101" s="15"/>
      <c r="AN101" s="15"/>
      <c r="AO101" s="15">
        <f t="shared" ref="AO101:AU101" si="266">AO34-AO35</f>
        <v>0.011840997136601</v>
      </c>
      <c r="AP101" s="15">
        <f t="shared" si="266"/>
        <v>0.011377245508982</v>
      </c>
      <c r="AQ101" s="15">
        <f t="shared" si="266"/>
        <v>0.0117668161434977</v>
      </c>
      <c r="AR101" s="15">
        <f t="shared" si="266"/>
        <v>0.0120924943138741</v>
      </c>
      <c r="AS101" s="15">
        <f t="shared" si="266"/>
        <v>0.0122878985642364</v>
      </c>
      <c r="AT101" s="15">
        <f t="shared" si="266"/>
        <v>0.00839127163280662</v>
      </c>
      <c r="AU101" s="15">
        <f t="shared" si="266"/>
        <v>0.00986204457021578</v>
      </c>
    </row>
    <row r="102" ht="15.5" spans="21:47">
      <c r="U102" s="14"/>
      <c r="V102" s="30" t="s">
        <v>357</v>
      </c>
      <c r="W102" s="15">
        <f t="shared" ref="W102:AC102" si="267">W36</f>
        <v>0.0404413003200269</v>
      </c>
      <c r="X102" s="15">
        <f t="shared" si="267"/>
        <v>0.0389734816082122</v>
      </c>
      <c r="Y102" s="15">
        <f t="shared" si="267"/>
        <v>0.0403408071748879</v>
      </c>
      <c r="Z102" s="15">
        <f t="shared" si="267"/>
        <v>0.0420204700530705</v>
      </c>
      <c r="AA102" s="15">
        <f t="shared" si="267"/>
        <v>0.0428118590341227</v>
      </c>
      <c r="AB102" s="15">
        <f t="shared" si="267"/>
        <v>0.0338449962377728</v>
      </c>
      <c r="AC102" s="15">
        <f t="shared" si="267"/>
        <v>0.0397771489211178</v>
      </c>
      <c r="AD102" s="15"/>
      <c r="AE102" s="15"/>
      <c r="AF102" s="15">
        <f t="shared" ref="AF102:AL102" si="268">AF36</f>
        <v>0.0404413003200269</v>
      </c>
      <c r="AG102" s="15">
        <f t="shared" si="268"/>
        <v>0.0389734816082122</v>
      </c>
      <c r="AH102" s="15">
        <f t="shared" si="268"/>
        <v>0.0403408071748879</v>
      </c>
      <c r="AI102" s="15">
        <f t="shared" si="268"/>
        <v>0.0420204700530705</v>
      </c>
      <c r="AJ102" s="15">
        <f t="shared" si="268"/>
        <v>0.0428118590341227</v>
      </c>
      <c r="AK102" s="15">
        <f t="shared" si="268"/>
        <v>0.0389217456734387</v>
      </c>
      <c r="AL102" s="15">
        <f t="shared" si="268"/>
        <v>0.0457437212592855</v>
      </c>
      <c r="AM102" s="15"/>
      <c r="AN102" s="15"/>
      <c r="AO102" s="15">
        <f t="shared" ref="AO102:AU102" si="269">AO36</f>
        <v>0.0404413003200269</v>
      </c>
      <c r="AP102" s="15">
        <f t="shared" si="269"/>
        <v>0.0389734816082122</v>
      </c>
      <c r="AQ102" s="15">
        <f t="shared" si="269"/>
        <v>0.0403408071748879</v>
      </c>
      <c r="AR102" s="15">
        <f t="shared" si="269"/>
        <v>0.0420204700530705</v>
      </c>
      <c r="AS102" s="15">
        <f t="shared" si="269"/>
        <v>0.0428118590341227</v>
      </c>
      <c r="AT102" s="15">
        <f t="shared" si="269"/>
        <v>0.0287682468021069</v>
      </c>
      <c r="AU102" s="15">
        <f t="shared" si="269"/>
        <v>0.0338105765829501</v>
      </c>
    </row>
    <row r="103" ht="15.5" spans="21:47">
      <c r="U103" s="14"/>
      <c r="V103" s="29" t="s">
        <v>358</v>
      </c>
      <c r="W103" s="15">
        <f t="shared" ref="W103:AC103" si="270">W37</f>
        <v>0.0870304867778339</v>
      </c>
      <c r="X103" s="15">
        <f t="shared" si="270"/>
        <v>0.0843627031650984</v>
      </c>
      <c r="Y103" s="15">
        <f t="shared" si="270"/>
        <v>0.0874439461883408</v>
      </c>
      <c r="Z103" s="15">
        <f t="shared" si="270"/>
        <v>0.0881918119787718</v>
      </c>
      <c r="AA103" s="15">
        <f t="shared" si="270"/>
        <v>0.0922245012120082</v>
      </c>
      <c r="AB103" s="15">
        <f t="shared" si="270"/>
        <v>0.0733634311512415</v>
      </c>
      <c r="AC103" s="15">
        <f t="shared" si="270"/>
        <v>0.0862221436151397</v>
      </c>
      <c r="AD103" s="15"/>
      <c r="AE103" s="15"/>
      <c r="AF103" s="15">
        <f t="shared" ref="AF103:AL103" si="271">AF37</f>
        <v>0.0870304867778339</v>
      </c>
      <c r="AG103" s="15">
        <f t="shared" si="271"/>
        <v>0.0843627031650984</v>
      </c>
      <c r="AH103" s="15">
        <f t="shared" si="271"/>
        <v>0.0874439461883408</v>
      </c>
      <c r="AI103" s="15">
        <f t="shared" si="271"/>
        <v>0.0881918119787718</v>
      </c>
      <c r="AJ103" s="15">
        <f t="shared" si="271"/>
        <v>0.0922245012120082</v>
      </c>
      <c r="AK103" s="15">
        <f t="shared" si="271"/>
        <v>0.0843679458239278</v>
      </c>
      <c r="AL103" s="15">
        <f t="shared" si="271"/>
        <v>0.0991554651574107</v>
      </c>
      <c r="AM103" s="15"/>
      <c r="AN103" s="15"/>
      <c r="AO103" s="15">
        <f t="shared" ref="AO103:AU103" si="272">AO37</f>
        <v>0.0870304867778339</v>
      </c>
      <c r="AP103" s="15">
        <f t="shared" si="272"/>
        <v>0.0843627031650984</v>
      </c>
      <c r="AQ103" s="15">
        <f t="shared" si="272"/>
        <v>0.0874439461883408</v>
      </c>
      <c r="AR103" s="15">
        <f t="shared" si="272"/>
        <v>0.0881918119787718</v>
      </c>
      <c r="AS103" s="15">
        <f t="shared" si="272"/>
        <v>0.0922245012120082</v>
      </c>
      <c r="AT103" s="15">
        <f t="shared" si="272"/>
        <v>0.0623589164785553</v>
      </c>
      <c r="AU103" s="15">
        <f t="shared" si="272"/>
        <v>0.0732888220728688</v>
      </c>
    </row>
    <row r="104" ht="15.5" spans="21:47">
      <c r="U104" s="14"/>
      <c r="V104" s="29" t="s">
        <v>359</v>
      </c>
      <c r="W104" s="15">
        <f t="shared" ref="W104:AC104" si="273">W38</f>
        <v>0.0133569142664645</v>
      </c>
      <c r="X104" s="15">
        <f t="shared" si="273"/>
        <v>0.0131907613344739</v>
      </c>
      <c r="Y104" s="15">
        <f t="shared" si="273"/>
        <v>0.0137399103139013</v>
      </c>
      <c r="Z104" s="15">
        <f t="shared" si="273"/>
        <v>0.0141015921152388</v>
      </c>
      <c r="AA104" s="15">
        <f t="shared" si="273"/>
        <v>0.0143016968114861</v>
      </c>
      <c r="AB104" s="15">
        <f t="shared" si="273"/>
        <v>0.0115274642588412</v>
      </c>
      <c r="AC104" s="15">
        <f t="shared" si="273"/>
        <v>0.0135479306685532</v>
      </c>
      <c r="AD104" s="15"/>
      <c r="AE104" s="15"/>
      <c r="AF104" s="15">
        <f t="shared" ref="AF104:AL104" si="274">AF38</f>
        <v>0.0133569142664645</v>
      </c>
      <c r="AG104" s="15">
        <f t="shared" si="274"/>
        <v>0.0131907613344739</v>
      </c>
      <c r="AH104" s="15">
        <f t="shared" si="274"/>
        <v>0.0137399103139013</v>
      </c>
      <c r="AI104" s="15">
        <f t="shared" si="274"/>
        <v>0.0141015921152388</v>
      </c>
      <c r="AJ104" s="15">
        <f t="shared" si="274"/>
        <v>0.0143016968114861</v>
      </c>
      <c r="AK104" s="15">
        <f t="shared" si="274"/>
        <v>0.0132565838976674</v>
      </c>
      <c r="AL104" s="15">
        <f t="shared" si="274"/>
        <v>0.0155801202688362</v>
      </c>
      <c r="AM104" s="15"/>
      <c r="AN104" s="15"/>
      <c r="AO104" s="15">
        <f t="shared" ref="AO104:AU104" si="275">AO38</f>
        <v>0.0133569142664645</v>
      </c>
      <c r="AP104" s="15">
        <f t="shared" si="275"/>
        <v>0.0131907613344739</v>
      </c>
      <c r="AQ104" s="15">
        <f t="shared" si="275"/>
        <v>0.0137399103139013</v>
      </c>
      <c r="AR104" s="15">
        <f t="shared" si="275"/>
        <v>0.0141015921152388</v>
      </c>
      <c r="AS104" s="15">
        <f t="shared" si="275"/>
        <v>0.0143016968114861</v>
      </c>
      <c r="AT104" s="15">
        <f t="shared" si="275"/>
        <v>0.00979834462001505</v>
      </c>
      <c r="AU104" s="15">
        <f t="shared" si="275"/>
        <v>0.0115157410682703</v>
      </c>
    </row>
    <row r="105" ht="15.5" spans="21:47">
      <c r="U105" s="37" t="s">
        <v>333</v>
      </c>
      <c r="V105" s="29" t="s">
        <v>121</v>
      </c>
      <c r="W105" s="31">
        <f t="shared" ref="W105:AC105" si="276">W93</f>
        <v>0.0115546572342934</v>
      </c>
      <c r="X105" s="31">
        <f t="shared" si="276"/>
        <v>0.0110863986313088</v>
      </c>
      <c r="Y105" s="31">
        <f t="shared" si="276"/>
        <v>0.0114618834080717</v>
      </c>
      <c r="Z105" s="31">
        <f t="shared" si="276"/>
        <v>0.011751326762699</v>
      </c>
      <c r="AA105" s="31">
        <f t="shared" si="276"/>
        <v>0.0119709118030953</v>
      </c>
      <c r="AB105" s="31">
        <f t="shared" si="276"/>
        <v>0.00961625282167042</v>
      </c>
      <c r="AC105" s="31">
        <f t="shared" si="276"/>
        <v>0.0113017332861691</v>
      </c>
      <c r="AD105" s="15"/>
      <c r="AE105" s="15"/>
      <c r="AF105" s="31">
        <f t="shared" ref="AF105:AL105" si="277">AF93</f>
        <v>0.0115546572342934</v>
      </c>
      <c r="AG105" s="31">
        <f t="shared" si="277"/>
        <v>0.0110863986313088</v>
      </c>
      <c r="AH105" s="31">
        <f t="shared" si="277"/>
        <v>0.0114618834080717</v>
      </c>
      <c r="AI105" s="31">
        <f t="shared" si="277"/>
        <v>0.011751326762699</v>
      </c>
      <c r="AJ105" s="31">
        <f t="shared" si="277"/>
        <v>0.0119709118030953</v>
      </c>
      <c r="AK105" s="31">
        <f t="shared" si="277"/>
        <v>0.011058690744921</v>
      </c>
      <c r="AL105" s="31">
        <f t="shared" si="277"/>
        <v>0.0129969932790944</v>
      </c>
      <c r="AM105" s="15"/>
      <c r="AN105" s="15"/>
      <c r="AO105" s="31">
        <f t="shared" ref="AO105:AU105" si="278">AO93</f>
        <v>0.0115546572342934</v>
      </c>
      <c r="AP105" s="31">
        <f t="shared" si="278"/>
        <v>0.0110863986313088</v>
      </c>
      <c r="AQ105" s="31">
        <f t="shared" si="278"/>
        <v>0.0114618834080717</v>
      </c>
      <c r="AR105" s="31">
        <f t="shared" si="278"/>
        <v>0.011751326762699</v>
      </c>
      <c r="AS105" s="31">
        <f t="shared" si="278"/>
        <v>0.0119709118030953</v>
      </c>
      <c r="AT105" s="31">
        <f t="shared" si="278"/>
        <v>0.00817381489841985</v>
      </c>
      <c r="AU105" s="31">
        <f t="shared" si="278"/>
        <v>0.00960647329324371</v>
      </c>
    </row>
    <row r="106" ht="15.5" spans="21:47">
      <c r="U106" s="37"/>
      <c r="V106" s="30" t="s">
        <v>357</v>
      </c>
      <c r="W106" s="31">
        <f t="shared" ref="W106:AC106" si="279">W94</f>
        <v>0.0252147549267307</v>
      </c>
      <c r="X106" s="31">
        <f t="shared" si="279"/>
        <v>0.0242600513259196</v>
      </c>
      <c r="Y106" s="31">
        <f t="shared" si="279"/>
        <v>0.0250941704035874</v>
      </c>
      <c r="Z106" s="31">
        <f t="shared" si="279"/>
        <v>0.0257581501137225</v>
      </c>
      <c r="AA106" s="31">
        <f t="shared" si="279"/>
        <v>0.0262539623345143</v>
      </c>
      <c r="AB106" s="31">
        <f t="shared" si="279"/>
        <v>0.0210534236267871</v>
      </c>
      <c r="AC106" s="31">
        <f t="shared" si="279"/>
        <v>0.0247435443933498</v>
      </c>
      <c r="AD106" s="15"/>
      <c r="AE106" s="15"/>
      <c r="AF106" s="31">
        <f t="shared" ref="AF106:AL106" si="280">AF94</f>
        <v>0.0252147549267307</v>
      </c>
      <c r="AG106" s="31">
        <f t="shared" si="280"/>
        <v>0.0242600513259196</v>
      </c>
      <c r="AH106" s="31">
        <f t="shared" si="280"/>
        <v>0.0250941704035874</v>
      </c>
      <c r="AI106" s="31">
        <f t="shared" si="280"/>
        <v>0.0257581501137225</v>
      </c>
      <c r="AJ106" s="31">
        <f t="shared" si="280"/>
        <v>0.0262539623345143</v>
      </c>
      <c r="AK106" s="31">
        <f t="shared" si="280"/>
        <v>0.0242114371708051</v>
      </c>
      <c r="AL106" s="31">
        <f t="shared" si="280"/>
        <v>0.0284550760523523</v>
      </c>
      <c r="AM106" s="15"/>
      <c r="AN106" s="15"/>
      <c r="AO106" s="31">
        <f t="shared" ref="AO106:AU106" si="281">AO94</f>
        <v>0.0252147549267307</v>
      </c>
      <c r="AP106" s="31">
        <f t="shared" si="281"/>
        <v>0.0242600513259196</v>
      </c>
      <c r="AQ106" s="31">
        <f t="shared" si="281"/>
        <v>0.0250941704035874</v>
      </c>
      <c r="AR106" s="31">
        <f t="shared" si="281"/>
        <v>0.0257581501137225</v>
      </c>
      <c r="AS106" s="31">
        <f t="shared" si="281"/>
        <v>0.0262539623345143</v>
      </c>
      <c r="AT106" s="31">
        <f t="shared" si="281"/>
        <v>0.017895410082769</v>
      </c>
      <c r="AU106" s="31">
        <f t="shared" si="281"/>
        <v>0.0210320127343474</v>
      </c>
    </row>
    <row r="107" ht="15.5" spans="21:47">
      <c r="U107" s="37"/>
      <c r="V107" s="29" t="s">
        <v>358</v>
      </c>
      <c r="W107" s="31">
        <f t="shared" ref="W107:AC107" si="282">W95</f>
        <v>0.0978103419235304</v>
      </c>
      <c r="X107" s="31">
        <f t="shared" si="282"/>
        <v>0.0947818648417451</v>
      </c>
      <c r="Y107" s="31">
        <f t="shared" si="282"/>
        <v>0.0982600896860986</v>
      </c>
      <c r="Z107" s="31">
        <f t="shared" si="282"/>
        <v>0.099696739954511</v>
      </c>
      <c r="AA107" s="31">
        <f t="shared" si="282"/>
        <v>0.103953011374231</v>
      </c>
      <c r="AB107" s="31">
        <f t="shared" si="282"/>
        <v>0.0824379232505643</v>
      </c>
      <c r="AC107" s="31">
        <f t="shared" si="282"/>
        <v>0.0968871595330739</v>
      </c>
      <c r="AD107" s="15"/>
      <c r="AE107" s="15"/>
      <c r="AF107" s="31">
        <f t="shared" ref="AF107:AL107" si="283">AF95</f>
        <v>0.0978103419235304</v>
      </c>
      <c r="AG107" s="31">
        <f t="shared" si="283"/>
        <v>0.0947818648417451</v>
      </c>
      <c r="AH107" s="31">
        <f t="shared" si="283"/>
        <v>0.0982600896860986</v>
      </c>
      <c r="AI107" s="31">
        <f t="shared" si="283"/>
        <v>0.099696739954511</v>
      </c>
      <c r="AJ107" s="31">
        <f t="shared" si="283"/>
        <v>0.103953011374231</v>
      </c>
      <c r="AK107" s="31">
        <f t="shared" si="283"/>
        <v>0.094803611738149</v>
      </c>
      <c r="AL107" s="31">
        <f t="shared" si="283"/>
        <v>0.111420233463035</v>
      </c>
      <c r="AM107" s="15"/>
      <c r="AN107" s="15"/>
      <c r="AO107" s="31">
        <f t="shared" ref="AO107:AU107" si="284">AO95</f>
        <v>0.0978103419235304</v>
      </c>
      <c r="AP107" s="31">
        <f t="shared" si="284"/>
        <v>0.0947818648417451</v>
      </c>
      <c r="AQ107" s="31">
        <f t="shared" si="284"/>
        <v>0.0982600896860986</v>
      </c>
      <c r="AR107" s="31">
        <f t="shared" si="284"/>
        <v>0.099696739954511</v>
      </c>
      <c r="AS107" s="31">
        <f t="shared" si="284"/>
        <v>0.103953011374231</v>
      </c>
      <c r="AT107" s="31">
        <f t="shared" si="284"/>
        <v>0.0700722347629797</v>
      </c>
      <c r="AU107" s="31">
        <f t="shared" si="284"/>
        <v>0.0823540856031128</v>
      </c>
    </row>
    <row r="108" ht="15.5" spans="21:47">
      <c r="U108" s="37"/>
      <c r="V108" s="29" t="s">
        <v>359</v>
      </c>
      <c r="W108" s="31">
        <f t="shared" ref="W108:AC108" si="285">W96</f>
        <v>0.0132390096008085</v>
      </c>
      <c r="X108" s="31">
        <f t="shared" si="285"/>
        <v>0.0130538922155689</v>
      </c>
      <c r="Y108" s="31">
        <f t="shared" si="285"/>
        <v>0.0136143497757848</v>
      </c>
      <c r="Z108" s="31">
        <f t="shared" si="285"/>
        <v>0.0139689158453374</v>
      </c>
      <c r="AA108" s="31">
        <f t="shared" si="285"/>
        <v>0.0141711728510162</v>
      </c>
      <c r="AB108" s="31">
        <f t="shared" si="285"/>
        <v>0.0114221218961625</v>
      </c>
      <c r="AC108" s="31">
        <f t="shared" si="285"/>
        <v>0.0134241245136187</v>
      </c>
      <c r="AD108" s="15"/>
      <c r="AE108" s="15"/>
      <c r="AF108" s="31">
        <f t="shared" ref="AF108:AL108" si="286">AF96</f>
        <v>0.0132390096008085</v>
      </c>
      <c r="AG108" s="31">
        <f t="shared" si="286"/>
        <v>0.0130538922155689</v>
      </c>
      <c r="AH108" s="31">
        <f t="shared" si="286"/>
        <v>0.0136143497757848</v>
      </c>
      <c r="AI108" s="31">
        <f t="shared" si="286"/>
        <v>0.0139689158453374</v>
      </c>
      <c r="AJ108" s="31">
        <f t="shared" si="286"/>
        <v>0.0141711728510162</v>
      </c>
      <c r="AK108" s="31">
        <f t="shared" si="286"/>
        <v>0.0131354401805869</v>
      </c>
      <c r="AL108" s="31">
        <f t="shared" si="286"/>
        <v>0.0154377431906615</v>
      </c>
      <c r="AM108" s="15"/>
      <c r="AN108" s="15"/>
      <c r="AO108" s="31">
        <f t="shared" ref="AO108:AU108" si="287">AO96</f>
        <v>0.0132390096008085</v>
      </c>
      <c r="AP108" s="31">
        <f t="shared" si="287"/>
        <v>0.0130538922155689</v>
      </c>
      <c r="AQ108" s="31">
        <f t="shared" si="287"/>
        <v>0.0136143497757848</v>
      </c>
      <c r="AR108" s="31">
        <f t="shared" si="287"/>
        <v>0.0139689158453374</v>
      </c>
      <c r="AS108" s="31">
        <f t="shared" si="287"/>
        <v>0.0141711728510162</v>
      </c>
      <c r="AT108" s="31">
        <f t="shared" si="287"/>
        <v>0.00970880361173815</v>
      </c>
      <c r="AU108" s="31">
        <f t="shared" si="287"/>
        <v>0.0114105058365759</v>
      </c>
    </row>
    <row r="112" ht="15.5" spans="21:47">
      <c r="U112" s="15"/>
      <c r="V112" s="15"/>
      <c r="W112" s="15" t="s">
        <v>326</v>
      </c>
      <c r="X112" s="15" t="s">
        <v>327</v>
      </c>
      <c r="Y112" s="19" t="s">
        <v>328</v>
      </c>
      <c r="Z112" s="15" t="s">
        <v>329</v>
      </c>
      <c r="AA112" s="15" t="s">
        <v>330</v>
      </c>
      <c r="AB112" s="21" t="s">
        <v>331</v>
      </c>
      <c r="AC112" s="21" t="s">
        <v>332</v>
      </c>
      <c r="AD112" s="15"/>
      <c r="AE112" s="15"/>
      <c r="AF112" s="15" t="s">
        <v>326</v>
      </c>
      <c r="AG112" s="15" t="s">
        <v>327</v>
      </c>
      <c r="AH112" s="19" t="s">
        <v>328</v>
      </c>
      <c r="AI112" s="15" t="s">
        <v>329</v>
      </c>
      <c r="AJ112" s="15" t="s">
        <v>330</v>
      </c>
      <c r="AK112" s="21" t="s">
        <v>331</v>
      </c>
      <c r="AL112" s="21" t="s">
        <v>332</v>
      </c>
      <c r="AM112" s="15"/>
      <c r="AN112" s="15"/>
      <c r="AO112" s="15" t="s">
        <v>326</v>
      </c>
      <c r="AP112" s="15" t="s">
        <v>327</v>
      </c>
      <c r="AQ112" s="19" t="s">
        <v>328</v>
      </c>
      <c r="AR112" s="15" t="s">
        <v>329</v>
      </c>
      <c r="AS112" s="15" t="s">
        <v>330</v>
      </c>
      <c r="AT112" s="21" t="s">
        <v>331</v>
      </c>
      <c r="AU112" s="21" t="s">
        <v>332</v>
      </c>
    </row>
    <row r="113" spans="21:47">
      <c r="U113" s="14" t="s">
        <v>333</v>
      </c>
      <c r="V113" s="29" t="s">
        <v>121</v>
      </c>
      <c r="W113" s="12">
        <f t="shared" ref="W113:AC113" si="288">W44-W45</f>
        <v>0.00788276907529056</v>
      </c>
      <c r="X113" s="12">
        <f t="shared" si="288"/>
        <v>0.00764756201881948</v>
      </c>
      <c r="Y113" s="12">
        <f t="shared" si="288"/>
        <v>0.00794618834080718</v>
      </c>
      <c r="Z113" s="12">
        <f t="shared" si="288"/>
        <v>0.00794162244124336</v>
      </c>
      <c r="AA113" s="12">
        <f t="shared" si="288"/>
        <v>0.00801790042886445</v>
      </c>
      <c r="AB113" s="12">
        <f t="shared" si="288"/>
        <v>0.00666666666666667</v>
      </c>
      <c r="AC113" s="12">
        <f t="shared" si="288"/>
        <v>0.00783516094800141</v>
      </c>
      <c r="AF113" s="12">
        <f t="shared" ref="AF113:AL113" si="289">AF44-AF45</f>
        <v>0.00788276907529056</v>
      </c>
      <c r="AG113" s="12">
        <f t="shared" si="289"/>
        <v>0.00764756201881948</v>
      </c>
      <c r="AH113" s="12">
        <f t="shared" si="289"/>
        <v>0.00794618834080718</v>
      </c>
      <c r="AI113" s="12">
        <f t="shared" si="289"/>
        <v>0.00794162244124336</v>
      </c>
      <c r="AJ113" s="12">
        <f t="shared" si="289"/>
        <v>0.00801790042886445</v>
      </c>
      <c r="AK113" s="12">
        <f t="shared" si="289"/>
        <v>0.00766666666666667</v>
      </c>
      <c r="AL113" s="12">
        <f t="shared" si="289"/>
        <v>0.00901043509020162</v>
      </c>
      <c r="AO113" s="12">
        <f t="shared" ref="AO113:AU113" si="290">AO44-AO45</f>
        <v>0.00788276907529056</v>
      </c>
      <c r="AP113" s="12">
        <f t="shared" si="290"/>
        <v>0.00764756201881948</v>
      </c>
      <c r="AQ113" s="12">
        <f t="shared" si="290"/>
        <v>0.00794618834080718</v>
      </c>
      <c r="AR113" s="12">
        <f t="shared" si="290"/>
        <v>0.00794162244124336</v>
      </c>
      <c r="AS113" s="12">
        <f t="shared" si="290"/>
        <v>0.00801790042886445</v>
      </c>
      <c r="AT113" s="12">
        <f t="shared" si="290"/>
        <v>0.00566666666666667</v>
      </c>
      <c r="AU113" s="12">
        <f t="shared" si="290"/>
        <v>0.00665988680580119</v>
      </c>
    </row>
    <row r="114" spans="21:47">
      <c r="U114" s="14"/>
      <c r="V114" s="30" t="s">
        <v>357</v>
      </c>
      <c r="W114" s="12">
        <f t="shared" ref="W114:AC114" si="291">W46</f>
        <v>0.02011116725619</v>
      </c>
      <c r="X114" s="12">
        <f t="shared" si="291"/>
        <v>0.0195038494439692</v>
      </c>
      <c r="Y114" s="12">
        <f t="shared" si="291"/>
        <v>0.0202152466367713</v>
      </c>
      <c r="Z114" s="12">
        <f t="shared" si="291"/>
        <v>0.0201099317664898</v>
      </c>
      <c r="AA114" s="12">
        <f t="shared" si="291"/>
        <v>0.0203990303934365</v>
      </c>
      <c r="AB114" s="12">
        <f t="shared" si="291"/>
        <v>0.0169601203912716</v>
      </c>
      <c r="AC114" s="12">
        <f t="shared" si="291"/>
        <v>0.0199327909444641</v>
      </c>
      <c r="AF114" s="12">
        <f t="shared" ref="AF114:AL114" si="292">AF46</f>
        <v>0.02011116725619</v>
      </c>
      <c r="AG114" s="12">
        <f t="shared" si="292"/>
        <v>0.0195038494439692</v>
      </c>
      <c r="AH114" s="12">
        <f t="shared" si="292"/>
        <v>0.0202152466367713</v>
      </c>
      <c r="AI114" s="12">
        <f t="shared" si="292"/>
        <v>0.0201099317664898</v>
      </c>
      <c r="AJ114" s="12">
        <f t="shared" si="292"/>
        <v>0.0203990303934365</v>
      </c>
      <c r="AK114" s="12">
        <f t="shared" si="292"/>
        <v>0.0195041384499624</v>
      </c>
      <c r="AL114" s="12">
        <f t="shared" si="292"/>
        <v>0.0229227095861337</v>
      </c>
      <c r="AO114" s="12">
        <f t="shared" ref="AO114:AU114" si="293">AO46</f>
        <v>0.02011116725619</v>
      </c>
      <c r="AP114" s="12">
        <f t="shared" si="293"/>
        <v>0.0195038494439692</v>
      </c>
      <c r="AQ114" s="12">
        <f t="shared" si="293"/>
        <v>0.0202152466367713</v>
      </c>
      <c r="AR114" s="12">
        <f t="shared" si="293"/>
        <v>0.0201099317664898</v>
      </c>
      <c r="AS114" s="12">
        <f t="shared" si="293"/>
        <v>0.0203990303934365</v>
      </c>
      <c r="AT114" s="12">
        <f t="shared" si="293"/>
        <v>0.0144161023325809</v>
      </c>
      <c r="AU114" s="12">
        <f t="shared" si="293"/>
        <v>0.0169428723027945</v>
      </c>
    </row>
    <row r="115" spans="21:47">
      <c r="U115" s="14"/>
      <c r="V115" s="29" t="s">
        <v>358</v>
      </c>
      <c r="W115" s="12">
        <f t="shared" ref="W115:AC115" si="294">W47</f>
        <v>0.0641232945932289</v>
      </c>
      <c r="X115" s="12">
        <f t="shared" si="294"/>
        <v>0.0633532934131737</v>
      </c>
      <c r="Y115" s="12">
        <f t="shared" si="294"/>
        <v>0.0659910313901345</v>
      </c>
      <c r="Z115" s="12">
        <f t="shared" si="294"/>
        <v>0.0673237300985595</v>
      </c>
      <c r="AA115" s="12">
        <f t="shared" si="294"/>
        <v>0.0673690098825284</v>
      </c>
      <c r="AB115" s="12">
        <f t="shared" si="294"/>
        <v>0.055364936042137</v>
      </c>
      <c r="AC115" s="12">
        <f t="shared" si="294"/>
        <v>0.0650689777148921</v>
      </c>
      <c r="AF115" s="12">
        <f t="shared" ref="AF115:AL115" si="295">AF47</f>
        <v>0.0641232945932289</v>
      </c>
      <c r="AG115" s="12">
        <f t="shared" si="295"/>
        <v>0.0633532934131737</v>
      </c>
      <c r="AH115" s="12">
        <f t="shared" si="295"/>
        <v>0.0659910313901345</v>
      </c>
      <c r="AI115" s="12">
        <f t="shared" si="295"/>
        <v>0.0673237300985595</v>
      </c>
      <c r="AJ115" s="12">
        <f t="shared" si="295"/>
        <v>0.0673690098825284</v>
      </c>
      <c r="AK115" s="12">
        <f t="shared" si="295"/>
        <v>0.0636696764484575</v>
      </c>
      <c r="AL115" s="12">
        <f t="shared" si="295"/>
        <v>0.0748293243721259</v>
      </c>
      <c r="AO115" s="12">
        <f t="shared" ref="AO115:AU115" si="296">AO47</f>
        <v>0.0641232945932289</v>
      </c>
      <c r="AP115" s="12">
        <f t="shared" si="296"/>
        <v>0.0633532934131737</v>
      </c>
      <c r="AQ115" s="12">
        <f t="shared" si="296"/>
        <v>0.0659910313901345</v>
      </c>
      <c r="AR115" s="12">
        <f t="shared" si="296"/>
        <v>0.0673237300985595</v>
      </c>
      <c r="AS115" s="12">
        <f t="shared" si="296"/>
        <v>0.0673690098825284</v>
      </c>
      <c r="AT115" s="12">
        <f t="shared" si="296"/>
        <v>0.0470601956358164</v>
      </c>
      <c r="AU115" s="12">
        <f t="shared" si="296"/>
        <v>0.0553086310576583</v>
      </c>
    </row>
    <row r="116" spans="21:47">
      <c r="U116" s="14"/>
      <c r="V116" s="29" t="s">
        <v>359</v>
      </c>
      <c r="W116" s="12">
        <f t="shared" ref="W116:AC116" si="297">W48</f>
        <v>0.0129695132221661</v>
      </c>
      <c r="X116" s="12">
        <f t="shared" si="297"/>
        <v>0.012814371257485</v>
      </c>
      <c r="Y116" s="12">
        <f t="shared" si="297"/>
        <v>0.0133452914798206</v>
      </c>
      <c r="Z116" s="12">
        <f t="shared" si="297"/>
        <v>0.0135898407884761</v>
      </c>
      <c r="AA116" s="12">
        <f t="shared" si="297"/>
        <v>0.0136304307290695</v>
      </c>
      <c r="AB116" s="12">
        <f t="shared" si="297"/>
        <v>0.011196388261851</v>
      </c>
      <c r="AC116" s="12">
        <f t="shared" si="297"/>
        <v>0.0131588256101875</v>
      </c>
      <c r="AF116" s="12">
        <f t="shared" ref="AF116:AL116" si="298">AF48</f>
        <v>0.0129695132221661</v>
      </c>
      <c r="AG116" s="12">
        <f t="shared" si="298"/>
        <v>0.012814371257485</v>
      </c>
      <c r="AH116" s="12">
        <f t="shared" si="298"/>
        <v>0.0133452914798206</v>
      </c>
      <c r="AI116" s="12">
        <f t="shared" si="298"/>
        <v>0.0135898407884761</v>
      </c>
      <c r="AJ116" s="12">
        <f t="shared" si="298"/>
        <v>0.0136304307290695</v>
      </c>
      <c r="AK116" s="12">
        <f t="shared" si="298"/>
        <v>0.0128758465011287</v>
      </c>
      <c r="AL116" s="12">
        <f t="shared" si="298"/>
        <v>0.0151326494517156</v>
      </c>
      <c r="AO116" s="12">
        <f t="shared" ref="AO116:AU116" si="299">AO48</f>
        <v>0.0129695132221661</v>
      </c>
      <c r="AP116" s="12">
        <f t="shared" si="299"/>
        <v>0.012814371257485</v>
      </c>
      <c r="AQ116" s="12">
        <f t="shared" si="299"/>
        <v>0.0133452914798206</v>
      </c>
      <c r="AR116" s="12">
        <f t="shared" si="299"/>
        <v>0.0135898407884761</v>
      </c>
      <c r="AS116" s="12">
        <f t="shared" si="299"/>
        <v>0.0136304307290695</v>
      </c>
      <c r="AT116" s="12">
        <f t="shared" si="299"/>
        <v>0.00951693002257336</v>
      </c>
      <c r="AU116" s="12">
        <f t="shared" si="299"/>
        <v>0.0111850017686594</v>
      </c>
    </row>
    <row r="117" spans="21:47">
      <c r="U117" s="14" t="s">
        <v>339</v>
      </c>
      <c r="V117" s="29" t="s">
        <v>121</v>
      </c>
      <c r="W117" s="12">
        <f t="shared" ref="W117:AC117" si="300">W49-W50</f>
        <v>0.0077648644096345</v>
      </c>
      <c r="X117" s="12">
        <f t="shared" si="300"/>
        <v>0.00754491017964072</v>
      </c>
      <c r="Y117" s="12">
        <f t="shared" si="300"/>
        <v>0.00782062780269058</v>
      </c>
      <c r="Z117" s="12">
        <f t="shared" si="300"/>
        <v>0.00780894617134195</v>
      </c>
      <c r="AA117" s="12">
        <f t="shared" si="300"/>
        <v>0.00788737646839455</v>
      </c>
      <c r="AB117" s="12">
        <f t="shared" si="300"/>
        <v>0.00656132430398797</v>
      </c>
      <c r="AC117" s="12">
        <f t="shared" si="300"/>
        <v>0.00771135479306685</v>
      </c>
      <c r="AF117" s="12">
        <f t="shared" ref="AF117:AL117" si="301">AF49-AF50</f>
        <v>0.0077648644096345</v>
      </c>
      <c r="AG117" s="12">
        <f t="shared" si="301"/>
        <v>0.00754491017964072</v>
      </c>
      <c r="AH117" s="12">
        <f t="shared" si="301"/>
        <v>0.00782062780269058</v>
      </c>
      <c r="AI117" s="12">
        <f t="shared" si="301"/>
        <v>0.00780894617134195</v>
      </c>
      <c r="AJ117" s="12">
        <f t="shared" si="301"/>
        <v>0.00788737646839455</v>
      </c>
      <c r="AK117" s="12">
        <f t="shared" si="301"/>
        <v>0.00754552294958616</v>
      </c>
      <c r="AL117" s="12">
        <f t="shared" si="301"/>
        <v>0.00886805801202688</v>
      </c>
      <c r="AO117" s="12">
        <f t="shared" ref="AO117:AU117" si="302">AO49-AO50</f>
        <v>0.0077648644096345</v>
      </c>
      <c r="AP117" s="12">
        <f t="shared" si="302"/>
        <v>0.00754491017964072</v>
      </c>
      <c r="AQ117" s="12">
        <f t="shared" si="302"/>
        <v>0.00782062780269058</v>
      </c>
      <c r="AR117" s="12">
        <f t="shared" si="302"/>
        <v>0.00780894617134195</v>
      </c>
      <c r="AS117" s="12">
        <f t="shared" si="302"/>
        <v>0.00788737646839455</v>
      </c>
      <c r="AT117" s="12">
        <f t="shared" si="302"/>
        <v>0.00557712565838978</v>
      </c>
      <c r="AU117" s="12">
        <f t="shared" si="302"/>
        <v>0.00655465157410683</v>
      </c>
    </row>
    <row r="118" spans="21:47">
      <c r="U118" s="14"/>
      <c r="V118" s="30" t="s">
        <v>357</v>
      </c>
      <c r="W118" s="12">
        <f t="shared" ref="W118:AC118" si="303">W51</f>
        <v>0.0246420751221155</v>
      </c>
      <c r="X118" s="12">
        <f t="shared" si="303"/>
        <v>0.023917878528657</v>
      </c>
      <c r="Y118" s="12">
        <f t="shared" si="303"/>
        <v>0.0248071748878924</v>
      </c>
      <c r="Z118" s="12">
        <f t="shared" si="303"/>
        <v>0.0247156937073541</v>
      </c>
      <c r="AA118" s="12">
        <f t="shared" si="303"/>
        <v>0.025041954130151</v>
      </c>
      <c r="AB118" s="12">
        <f t="shared" si="303"/>
        <v>0.0208126410835214</v>
      </c>
      <c r="AC118" s="12">
        <f t="shared" si="303"/>
        <v>0.0244605588963566</v>
      </c>
      <c r="AF118" s="12">
        <f t="shared" ref="AF118:AL118" si="304">AF51</f>
        <v>0.0246420751221155</v>
      </c>
      <c r="AG118" s="12">
        <f t="shared" si="304"/>
        <v>0.023917878528657</v>
      </c>
      <c r="AH118" s="12">
        <f t="shared" si="304"/>
        <v>0.0248071748878924</v>
      </c>
      <c r="AI118" s="12">
        <f t="shared" si="304"/>
        <v>0.0247156937073541</v>
      </c>
      <c r="AJ118" s="12">
        <f t="shared" si="304"/>
        <v>0.025041954130151</v>
      </c>
      <c r="AK118" s="12">
        <f t="shared" si="304"/>
        <v>0.0239345372460497</v>
      </c>
      <c r="AL118" s="12">
        <f t="shared" si="304"/>
        <v>0.02812964273081</v>
      </c>
      <c r="AO118" s="12">
        <f t="shared" ref="AO118:AU118" si="305">AO51</f>
        <v>0.0246420751221155</v>
      </c>
      <c r="AP118" s="12">
        <f t="shared" si="305"/>
        <v>0.023917878528657</v>
      </c>
      <c r="AQ118" s="12">
        <f t="shared" si="305"/>
        <v>0.0248071748878924</v>
      </c>
      <c r="AR118" s="12">
        <f t="shared" si="305"/>
        <v>0.0247156937073541</v>
      </c>
      <c r="AS118" s="12">
        <f t="shared" si="305"/>
        <v>0.025041954130151</v>
      </c>
      <c r="AT118" s="12">
        <f t="shared" si="305"/>
        <v>0.0176907449209932</v>
      </c>
      <c r="AU118" s="12">
        <f t="shared" si="305"/>
        <v>0.0207914750619031</v>
      </c>
    </row>
    <row r="119" ht="15.5" spans="21:47">
      <c r="U119" s="14"/>
      <c r="V119" s="29" t="s">
        <v>358</v>
      </c>
      <c r="W119" s="12">
        <f t="shared" ref="W119:AC119" si="306">W52</f>
        <v>0.0613609567121442</v>
      </c>
      <c r="X119" s="12">
        <f t="shared" si="306"/>
        <v>0.0606672369546621</v>
      </c>
      <c r="Y119" s="12">
        <f t="shared" si="306"/>
        <v>0.0631928251121076</v>
      </c>
      <c r="Z119" s="12">
        <f t="shared" si="306"/>
        <v>0.0645185746777862</v>
      </c>
      <c r="AA119" s="12">
        <f t="shared" si="306"/>
        <v>0.0645534215923923</v>
      </c>
      <c r="AB119" s="12">
        <f t="shared" si="306"/>
        <v>0.0530173062452972</v>
      </c>
      <c r="AC119" s="12">
        <f t="shared" si="306"/>
        <v>0.0623098691192076</v>
      </c>
      <c r="AD119" s="15"/>
      <c r="AE119" s="15"/>
      <c r="AF119" s="12">
        <f t="shared" ref="AF119:AL119" si="307">AF52</f>
        <v>0.0613609567121442</v>
      </c>
      <c r="AG119" s="12">
        <f t="shared" si="307"/>
        <v>0.0606672369546621</v>
      </c>
      <c r="AH119" s="12">
        <f t="shared" si="307"/>
        <v>0.0631928251121076</v>
      </c>
      <c r="AI119" s="12">
        <f t="shared" si="307"/>
        <v>0.0645185746777862</v>
      </c>
      <c r="AJ119" s="12">
        <f t="shared" si="307"/>
        <v>0.0645534215923923</v>
      </c>
      <c r="AK119" s="12">
        <f t="shared" si="307"/>
        <v>0.0609699021820918</v>
      </c>
      <c r="AL119" s="12">
        <f t="shared" si="307"/>
        <v>0.0716563494870888</v>
      </c>
      <c r="AM119" s="15"/>
      <c r="AN119" s="15"/>
      <c r="AO119" s="12">
        <f t="shared" ref="AO119:AU119" si="308">AO52</f>
        <v>0.0613609567121442</v>
      </c>
      <c r="AP119" s="12">
        <f t="shared" si="308"/>
        <v>0.0606672369546621</v>
      </c>
      <c r="AQ119" s="12">
        <f t="shared" si="308"/>
        <v>0.0631928251121076</v>
      </c>
      <c r="AR119" s="12">
        <f t="shared" si="308"/>
        <v>0.0645185746777862</v>
      </c>
      <c r="AS119" s="12">
        <f t="shared" si="308"/>
        <v>0.0645534215923923</v>
      </c>
      <c r="AT119" s="12">
        <f t="shared" si="308"/>
        <v>0.0450647103085026</v>
      </c>
      <c r="AU119" s="12">
        <f t="shared" si="308"/>
        <v>0.0529633887513265</v>
      </c>
    </row>
    <row r="120" ht="15.5" spans="21:47">
      <c r="U120" s="14"/>
      <c r="V120" s="29" t="s">
        <v>359</v>
      </c>
      <c r="W120" s="12">
        <f t="shared" ref="W120:AC120" si="309">W53</f>
        <v>0.0133232272191342</v>
      </c>
      <c r="X120" s="12">
        <f t="shared" si="309"/>
        <v>0.0131736526946108</v>
      </c>
      <c r="Y120" s="12">
        <f t="shared" si="309"/>
        <v>0.0137219730941704</v>
      </c>
      <c r="Z120" s="12">
        <f t="shared" si="309"/>
        <v>0.0139689158453374</v>
      </c>
      <c r="AA120" s="12">
        <f t="shared" si="309"/>
        <v>0.0140033563304121</v>
      </c>
      <c r="AB120" s="12">
        <f t="shared" si="309"/>
        <v>0.0115124153498871</v>
      </c>
      <c r="AC120" s="12">
        <f t="shared" si="309"/>
        <v>0.0135302440749912</v>
      </c>
      <c r="AD120" s="15"/>
      <c r="AE120" s="15"/>
      <c r="AF120" s="12">
        <f t="shared" ref="AF120:AL120" si="310">AF53</f>
        <v>0.0133232272191342</v>
      </c>
      <c r="AG120" s="12">
        <f t="shared" si="310"/>
        <v>0.0131736526946108</v>
      </c>
      <c r="AH120" s="12">
        <f t="shared" si="310"/>
        <v>0.0137219730941704</v>
      </c>
      <c r="AI120" s="12">
        <f t="shared" si="310"/>
        <v>0.0139689158453374</v>
      </c>
      <c r="AJ120" s="12">
        <f t="shared" si="310"/>
        <v>0.0140033563304121</v>
      </c>
      <c r="AK120" s="12">
        <f t="shared" si="310"/>
        <v>0.0132392776523702</v>
      </c>
      <c r="AL120" s="12">
        <f t="shared" si="310"/>
        <v>0.0155597806862398</v>
      </c>
      <c r="AM120" s="15"/>
      <c r="AN120" s="15"/>
      <c r="AO120" s="12">
        <f t="shared" ref="AO120:AU120" si="311">AO53</f>
        <v>0.0133232272191342</v>
      </c>
      <c r="AP120" s="12">
        <f t="shared" si="311"/>
        <v>0.0131736526946108</v>
      </c>
      <c r="AQ120" s="12">
        <f t="shared" si="311"/>
        <v>0.0137219730941704</v>
      </c>
      <c r="AR120" s="12">
        <f t="shared" si="311"/>
        <v>0.0139689158453374</v>
      </c>
      <c r="AS120" s="12">
        <f t="shared" si="311"/>
        <v>0.0140033563304121</v>
      </c>
      <c r="AT120" s="12">
        <f t="shared" si="311"/>
        <v>0.00978555304740406</v>
      </c>
      <c r="AU120" s="12">
        <f t="shared" si="311"/>
        <v>0.0115007074637425</v>
      </c>
    </row>
    <row r="121" ht="15.5" spans="21:47">
      <c r="U121" s="14" t="s">
        <v>360</v>
      </c>
      <c r="V121" s="29" t="s">
        <v>121</v>
      </c>
      <c r="W121" s="15">
        <f t="shared" ref="W121:AC121" si="312">W54-W55</f>
        <v>0.00810173488293751</v>
      </c>
      <c r="X121" s="15">
        <f t="shared" si="312"/>
        <v>0.00786997433704022</v>
      </c>
      <c r="Y121" s="15">
        <f t="shared" si="312"/>
        <v>0.00817937219730942</v>
      </c>
      <c r="Z121" s="15">
        <f t="shared" si="312"/>
        <v>0.00816906747536013</v>
      </c>
      <c r="AA121" s="15">
        <f t="shared" si="312"/>
        <v>0.00826030206973706</v>
      </c>
      <c r="AB121" s="15">
        <f t="shared" si="312"/>
        <v>0.00686230248306997</v>
      </c>
      <c r="AC121" s="15">
        <f t="shared" si="312"/>
        <v>0.00806508666430845</v>
      </c>
      <c r="AD121" s="15"/>
      <c r="AE121" s="15"/>
      <c r="AF121" s="15">
        <f t="shared" ref="AF121:AL121" si="313">AF54-AF55</f>
        <v>0.00810173488293751</v>
      </c>
      <c r="AG121" s="15">
        <f t="shared" si="313"/>
        <v>0.00786997433704022</v>
      </c>
      <c r="AH121" s="15">
        <f t="shared" si="313"/>
        <v>0.00817937219730942</v>
      </c>
      <c r="AI121" s="15">
        <f t="shared" si="313"/>
        <v>0.00816906747536013</v>
      </c>
      <c r="AJ121" s="15">
        <f t="shared" si="313"/>
        <v>0.00826030206973706</v>
      </c>
      <c r="AK121" s="15">
        <f t="shared" si="313"/>
        <v>0.00789164785553047</v>
      </c>
      <c r="AL121" s="15">
        <f t="shared" si="313"/>
        <v>0.00927484966395473</v>
      </c>
      <c r="AM121" s="15"/>
      <c r="AN121" s="15"/>
      <c r="AO121" s="15">
        <f t="shared" ref="AO121:AU121" si="314">AO54-AO55</f>
        <v>0.00810173488293751</v>
      </c>
      <c r="AP121" s="15">
        <f t="shared" si="314"/>
        <v>0.00786997433704022</v>
      </c>
      <c r="AQ121" s="15">
        <f t="shared" si="314"/>
        <v>0.00817937219730942</v>
      </c>
      <c r="AR121" s="15">
        <f t="shared" si="314"/>
        <v>0.00816906747536013</v>
      </c>
      <c r="AS121" s="15">
        <f t="shared" si="314"/>
        <v>0.00826030206973706</v>
      </c>
      <c r="AT121" s="15">
        <f t="shared" si="314"/>
        <v>0.00583295711060948</v>
      </c>
      <c r="AU121" s="15">
        <f t="shared" si="314"/>
        <v>0.00685532366466218</v>
      </c>
    </row>
    <row r="122" ht="15.5" spans="21:47">
      <c r="U122" s="14"/>
      <c r="V122" s="30" t="s">
        <v>357</v>
      </c>
      <c r="W122" s="15">
        <f t="shared" ref="W122:AC122" si="315">W56</f>
        <v>0.0319690079164561</v>
      </c>
      <c r="X122" s="15">
        <f t="shared" si="315"/>
        <v>0.0310692899914457</v>
      </c>
      <c r="Y122" s="15">
        <f t="shared" si="315"/>
        <v>0.0322331838565022</v>
      </c>
      <c r="Z122" s="15">
        <f t="shared" si="315"/>
        <v>0.0321645185746778</v>
      </c>
      <c r="AA122" s="15">
        <f t="shared" si="315"/>
        <v>0.0325750512772702</v>
      </c>
      <c r="AB122" s="15">
        <f t="shared" si="315"/>
        <v>0.0270428893905192</v>
      </c>
      <c r="AC122" s="15">
        <f t="shared" si="315"/>
        <v>0.0317828086310577</v>
      </c>
      <c r="AD122" s="15"/>
      <c r="AE122" s="15"/>
      <c r="AF122" s="15">
        <f t="shared" ref="AF122:AL122" si="316">AF56</f>
        <v>0.0319690079164561</v>
      </c>
      <c r="AG122" s="15">
        <f t="shared" si="316"/>
        <v>0.0310692899914457</v>
      </c>
      <c r="AH122" s="15">
        <f t="shared" si="316"/>
        <v>0.0322331838565022</v>
      </c>
      <c r="AI122" s="15">
        <f t="shared" si="316"/>
        <v>0.0321645185746778</v>
      </c>
      <c r="AJ122" s="15">
        <f t="shared" si="316"/>
        <v>0.0325750512772702</v>
      </c>
      <c r="AK122" s="15">
        <f t="shared" si="316"/>
        <v>0.0310993227990971</v>
      </c>
      <c r="AL122" s="15">
        <f t="shared" si="316"/>
        <v>0.0365502299257163</v>
      </c>
      <c r="AM122" s="15"/>
      <c r="AN122" s="15"/>
      <c r="AO122" s="15">
        <f t="shared" ref="AO122:AU122" si="317">AO56</f>
        <v>0.0319690079164561</v>
      </c>
      <c r="AP122" s="15">
        <f t="shared" si="317"/>
        <v>0.0310692899914457</v>
      </c>
      <c r="AQ122" s="15">
        <f t="shared" si="317"/>
        <v>0.0322331838565022</v>
      </c>
      <c r="AR122" s="15">
        <f t="shared" si="317"/>
        <v>0.0321645185746778</v>
      </c>
      <c r="AS122" s="15">
        <f t="shared" si="317"/>
        <v>0.0325750512772702</v>
      </c>
      <c r="AT122" s="15">
        <f t="shared" si="317"/>
        <v>0.0229864559819413</v>
      </c>
      <c r="AU122" s="15">
        <f t="shared" si="317"/>
        <v>0.027015387336399</v>
      </c>
    </row>
    <row r="123" ht="15.5" spans="21:47">
      <c r="U123" s="14"/>
      <c r="V123" s="29" t="s">
        <v>358</v>
      </c>
      <c r="W123" s="15">
        <f t="shared" ref="W123:AC123" si="318">W57</f>
        <v>0.0557183762843187</v>
      </c>
      <c r="X123" s="15">
        <f t="shared" si="318"/>
        <v>0.055158254918734</v>
      </c>
      <c r="Y123" s="15">
        <f t="shared" si="318"/>
        <v>0.0574887892376682</v>
      </c>
      <c r="Z123" s="15">
        <f t="shared" si="318"/>
        <v>0.0587755875663381</v>
      </c>
      <c r="AA123" s="15">
        <f t="shared" si="318"/>
        <v>0.0587544284915159</v>
      </c>
      <c r="AB123" s="15">
        <f t="shared" si="318"/>
        <v>0.0482317531978932</v>
      </c>
      <c r="AC123" s="15">
        <f t="shared" si="318"/>
        <v>0.0566855323664662</v>
      </c>
      <c r="AD123" s="15"/>
      <c r="AE123" s="15"/>
      <c r="AF123" s="15">
        <f t="shared" ref="AF123:AL123" si="319">AF57</f>
        <v>0.0557183762843187</v>
      </c>
      <c r="AG123" s="15">
        <f t="shared" si="319"/>
        <v>0.055158254918734</v>
      </c>
      <c r="AH123" s="15">
        <f t="shared" si="319"/>
        <v>0.0574887892376682</v>
      </c>
      <c r="AI123" s="15">
        <f t="shared" si="319"/>
        <v>0.0587755875663381</v>
      </c>
      <c r="AJ123" s="15">
        <f t="shared" si="319"/>
        <v>0.0587544284915159</v>
      </c>
      <c r="AK123" s="15">
        <f t="shared" si="319"/>
        <v>0.0554665161775771</v>
      </c>
      <c r="AL123" s="15">
        <f t="shared" si="319"/>
        <v>0.0651883622214361</v>
      </c>
      <c r="AM123" s="15"/>
      <c r="AN123" s="15"/>
      <c r="AO123" s="15">
        <f t="shared" ref="AO123:AU123" si="320">AO57</f>
        <v>0.0557183762843187</v>
      </c>
      <c r="AP123" s="15">
        <f t="shared" si="320"/>
        <v>0.055158254918734</v>
      </c>
      <c r="AQ123" s="15">
        <f t="shared" si="320"/>
        <v>0.0574887892376682</v>
      </c>
      <c r="AR123" s="15">
        <f t="shared" si="320"/>
        <v>0.0587755875663381</v>
      </c>
      <c r="AS123" s="15">
        <f t="shared" si="320"/>
        <v>0.0587544284915159</v>
      </c>
      <c r="AT123" s="15">
        <f t="shared" si="320"/>
        <v>0.0409969902182092</v>
      </c>
      <c r="AU123" s="15">
        <f t="shared" si="320"/>
        <v>0.0481827025114963</v>
      </c>
    </row>
    <row r="124" ht="15.5" spans="21:47">
      <c r="U124" s="14"/>
      <c r="V124" s="29" t="s">
        <v>359</v>
      </c>
      <c r="W124" s="15">
        <f t="shared" ref="W124:AC124" si="321">W58</f>
        <v>0.0130537308404918</v>
      </c>
      <c r="X124" s="15">
        <f t="shared" si="321"/>
        <v>0.0129170230966638</v>
      </c>
      <c r="Y124" s="15">
        <f t="shared" si="321"/>
        <v>0.0134529147982063</v>
      </c>
      <c r="Z124" s="15">
        <f t="shared" si="321"/>
        <v>0.0136846095526914</v>
      </c>
      <c r="AA124" s="15">
        <f t="shared" si="321"/>
        <v>0.0137236621294052</v>
      </c>
      <c r="AB124" s="15">
        <f t="shared" si="321"/>
        <v>0.0112866817155756</v>
      </c>
      <c r="AC124" s="15">
        <f t="shared" si="321"/>
        <v>0.01326494517156</v>
      </c>
      <c r="AD124" s="15"/>
      <c r="AE124" s="15"/>
      <c r="AF124" s="15">
        <f t="shared" ref="AF124:AL124" si="322">AF58</f>
        <v>0.0130537308404918</v>
      </c>
      <c r="AG124" s="15">
        <f t="shared" si="322"/>
        <v>0.0129170230966638</v>
      </c>
      <c r="AH124" s="15">
        <f t="shared" si="322"/>
        <v>0.0134529147982063</v>
      </c>
      <c r="AI124" s="15">
        <f t="shared" si="322"/>
        <v>0.0136846095526914</v>
      </c>
      <c r="AJ124" s="15">
        <f t="shared" si="322"/>
        <v>0.0137236621294052</v>
      </c>
      <c r="AK124" s="15">
        <f t="shared" si="322"/>
        <v>0.012979683972912</v>
      </c>
      <c r="AL124" s="15">
        <f t="shared" si="322"/>
        <v>0.0152546869472939</v>
      </c>
      <c r="AM124" s="15"/>
      <c r="AN124" s="15"/>
      <c r="AO124" s="15">
        <f t="shared" ref="AO124:AU124" si="323">AO58</f>
        <v>0.0130537308404918</v>
      </c>
      <c r="AP124" s="15">
        <f t="shared" si="323"/>
        <v>0.0129170230966638</v>
      </c>
      <c r="AQ124" s="15">
        <f t="shared" si="323"/>
        <v>0.0134529147982063</v>
      </c>
      <c r="AR124" s="15">
        <f t="shared" si="323"/>
        <v>0.0136846095526914</v>
      </c>
      <c r="AS124" s="15">
        <f t="shared" si="323"/>
        <v>0.0137236621294052</v>
      </c>
      <c r="AT124" s="15">
        <f t="shared" si="323"/>
        <v>0.00959367945823928</v>
      </c>
      <c r="AU124" s="15">
        <f t="shared" si="323"/>
        <v>0.011275203395826</v>
      </c>
    </row>
    <row r="125" ht="15.5" spans="21:47">
      <c r="U125" s="37" t="s">
        <v>333</v>
      </c>
      <c r="V125" s="29" t="s">
        <v>121</v>
      </c>
      <c r="W125" s="31">
        <f t="shared" ref="W125:AC125" si="324">W113</f>
        <v>0.00788276907529056</v>
      </c>
      <c r="X125" s="31">
        <f t="shared" si="324"/>
        <v>0.00764756201881948</v>
      </c>
      <c r="Y125" s="31">
        <f t="shared" si="324"/>
        <v>0.00794618834080718</v>
      </c>
      <c r="Z125" s="31">
        <f t="shared" si="324"/>
        <v>0.00794162244124336</v>
      </c>
      <c r="AA125" s="31">
        <f t="shared" si="324"/>
        <v>0.00801790042886445</v>
      </c>
      <c r="AB125" s="31">
        <f t="shared" si="324"/>
        <v>0.00666666666666667</v>
      </c>
      <c r="AC125" s="31">
        <f t="shared" si="324"/>
        <v>0.00783516094800141</v>
      </c>
      <c r="AD125" s="15"/>
      <c r="AE125" s="15"/>
      <c r="AF125" s="31">
        <f t="shared" ref="AF125:AL125" si="325">AF113</f>
        <v>0.00788276907529056</v>
      </c>
      <c r="AG125" s="31">
        <f t="shared" si="325"/>
        <v>0.00764756201881948</v>
      </c>
      <c r="AH125" s="31">
        <f t="shared" si="325"/>
        <v>0.00794618834080718</v>
      </c>
      <c r="AI125" s="31">
        <f t="shared" si="325"/>
        <v>0.00794162244124336</v>
      </c>
      <c r="AJ125" s="31">
        <f t="shared" si="325"/>
        <v>0.00801790042886445</v>
      </c>
      <c r="AK125" s="31">
        <f t="shared" si="325"/>
        <v>0.00766666666666667</v>
      </c>
      <c r="AL125" s="31">
        <f t="shared" si="325"/>
        <v>0.00901043509020162</v>
      </c>
      <c r="AM125" s="15"/>
      <c r="AN125" s="15"/>
      <c r="AO125" s="31">
        <f t="shared" ref="AO125:AU125" si="326">AO113</f>
        <v>0.00788276907529056</v>
      </c>
      <c r="AP125" s="31">
        <f t="shared" si="326"/>
        <v>0.00764756201881948</v>
      </c>
      <c r="AQ125" s="31">
        <f t="shared" si="326"/>
        <v>0.00794618834080718</v>
      </c>
      <c r="AR125" s="31">
        <f t="shared" si="326"/>
        <v>0.00794162244124336</v>
      </c>
      <c r="AS125" s="31">
        <f t="shared" si="326"/>
        <v>0.00801790042886445</v>
      </c>
      <c r="AT125" s="31">
        <f t="shared" si="326"/>
        <v>0.00566666666666667</v>
      </c>
      <c r="AU125" s="31">
        <f t="shared" si="326"/>
        <v>0.00665988680580119</v>
      </c>
    </row>
    <row r="126" ht="15.5" spans="21:47">
      <c r="U126" s="37"/>
      <c r="V126" s="30" t="s">
        <v>357</v>
      </c>
      <c r="W126" s="31">
        <f t="shared" ref="W126:AC126" si="327">W114</f>
        <v>0.02011116725619</v>
      </c>
      <c r="X126" s="31">
        <f t="shared" si="327"/>
        <v>0.0195038494439692</v>
      </c>
      <c r="Y126" s="31">
        <f t="shared" si="327"/>
        <v>0.0202152466367713</v>
      </c>
      <c r="Z126" s="31">
        <f t="shared" si="327"/>
        <v>0.0201099317664898</v>
      </c>
      <c r="AA126" s="31">
        <f t="shared" si="327"/>
        <v>0.0203990303934365</v>
      </c>
      <c r="AB126" s="31">
        <f t="shared" si="327"/>
        <v>0.0169601203912716</v>
      </c>
      <c r="AC126" s="31">
        <f t="shared" si="327"/>
        <v>0.0199327909444641</v>
      </c>
      <c r="AD126" s="15"/>
      <c r="AE126" s="15"/>
      <c r="AF126" s="31">
        <f t="shared" ref="AF126:AL126" si="328">AF114</f>
        <v>0.02011116725619</v>
      </c>
      <c r="AG126" s="31">
        <f t="shared" si="328"/>
        <v>0.0195038494439692</v>
      </c>
      <c r="AH126" s="31">
        <f t="shared" si="328"/>
        <v>0.0202152466367713</v>
      </c>
      <c r="AI126" s="31">
        <f t="shared" si="328"/>
        <v>0.0201099317664898</v>
      </c>
      <c r="AJ126" s="31">
        <f t="shared" si="328"/>
        <v>0.0203990303934365</v>
      </c>
      <c r="AK126" s="31">
        <f t="shared" si="328"/>
        <v>0.0195041384499624</v>
      </c>
      <c r="AL126" s="31">
        <f t="shared" si="328"/>
        <v>0.0229227095861337</v>
      </c>
      <c r="AM126" s="15"/>
      <c r="AN126" s="15"/>
      <c r="AO126" s="31">
        <f t="shared" ref="AO126:AU126" si="329">AO114</f>
        <v>0.02011116725619</v>
      </c>
      <c r="AP126" s="31">
        <f t="shared" si="329"/>
        <v>0.0195038494439692</v>
      </c>
      <c r="AQ126" s="31">
        <f t="shared" si="329"/>
        <v>0.0202152466367713</v>
      </c>
      <c r="AR126" s="31">
        <f t="shared" si="329"/>
        <v>0.0201099317664898</v>
      </c>
      <c r="AS126" s="31">
        <f t="shared" si="329"/>
        <v>0.0203990303934365</v>
      </c>
      <c r="AT126" s="31">
        <f t="shared" si="329"/>
        <v>0.0144161023325809</v>
      </c>
      <c r="AU126" s="31">
        <f t="shared" si="329"/>
        <v>0.0169428723027945</v>
      </c>
    </row>
    <row r="127" ht="15.5" spans="21:47">
      <c r="U127" s="37"/>
      <c r="V127" s="29" t="s">
        <v>358</v>
      </c>
      <c r="W127" s="31">
        <f t="shared" ref="W127:AC127" si="330">W115</f>
        <v>0.0641232945932289</v>
      </c>
      <c r="X127" s="31">
        <f t="shared" si="330"/>
        <v>0.0633532934131737</v>
      </c>
      <c r="Y127" s="31">
        <f t="shared" si="330"/>
        <v>0.0659910313901345</v>
      </c>
      <c r="Z127" s="31">
        <f t="shared" si="330"/>
        <v>0.0673237300985595</v>
      </c>
      <c r="AA127" s="31">
        <f t="shared" si="330"/>
        <v>0.0673690098825284</v>
      </c>
      <c r="AB127" s="31">
        <f t="shared" si="330"/>
        <v>0.055364936042137</v>
      </c>
      <c r="AC127" s="31">
        <f t="shared" si="330"/>
        <v>0.0650689777148921</v>
      </c>
      <c r="AD127" s="15"/>
      <c r="AE127" s="15"/>
      <c r="AF127" s="31">
        <f t="shared" ref="AF127:AL127" si="331">AF115</f>
        <v>0.0641232945932289</v>
      </c>
      <c r="AG127" s="31">
        <f t="shared" si="331"/>
        <v>0.0633532934131737</v>
      </c>
      <c r="AH127" s="31">
        <f t="shared" si="331"/>
        <v>0.0659910313901345</v>
      </c>
      <c r="AI127" s="31">
        <f t="shared" si="331"/>
        <v>0.0673237300985595</v>
      </c>
      <c r="AJ127" s="31">
        <f t="shared" si="331"/>
        <v>0.0673690098825284</v>
      </c>
      <c r="AK127" s="31">
        <f t="shared" si="331"/>
        <v>0.0636696764484575</v>
      </c>
      <c r="AL127" s="31">
        <f t="shared" si="331"/>
        <v>0.0748293243721259</v>
      </c>
      <c r="AM127" s="15"/>
      <c r="AN127" s="15"/>
      <c r="AO127" s="31">
        <f t="shared" ref="AO127:AU127" si="332">AO115</f>
        <v>0.0641232945932289</v>
      </c>
      <c r="AP127" s="31">
        <f t="shared" si="332"/>
        <v>0.0633532934131737</v>
      </c>
      <c r="AQ127" s="31">
        <f t="shared" si="332"/>
        <v>0.0659910313901345</v>
      </c>
      <c r="AR127" s="31">
        <f t="shared" si="332"/>
        <v>0.0673237300985595</v>
      </c>
      <c r="AS127" s="31">
        <f t="shared" si="332"/>
        <v>0.0673690098825284</v>
      </c>
      <c r="AT127" s="31">
        <f t="shared" si="332"/>
        <v>0.0470601956358164</v>
      </c>
      <c r="AU127" s="31">
        <f t="shared" si="332"/>
        <v>0.0553086310576583</v>
      </c>
    </row>
    <row r="128" ht="15.5" spans="21:47">
      <c r="U128" s="37"/>
      <c r="V128" s="29" t="s">
        <v>359</v>
      </c>
      <c r="W128" s="31">
        <f t="shared" ref="W128:AC128" si="333">W116</f>
        <v>0.0129695132221661</v>
      </c>
      <c r="X128" s="31">
        <f t="shared" si="333"/>
        <v>0.012814371257485</v>
      </c>
      <c r="Y128" s="31">
        <f t="shared" si="333"/>
        <v>0.0133452914798206</v>
      </c>
      <c r="Z128" s="31">
        <f t="shared" si="333"/>
        <v>0.0135898407884761</v>
      </c>
      <c r="AA128" s="31">
        <f t="shared" si="333"/>
        <v>0.0136304307290695</v>
      </c>
      <c r="AB128" s="31">
        <f t="shared" si="333"/>
        <v>0.011196388261851</v>
      </c>
      <c r="AC128" s="31">
        <f t="shared" si="333"/>
        <v>0.0131588256101875</v>
      </c>
      <c r="AD128" s="15"/>
      <c r="AE128" s="15"/>
      <c r="AF128" s="31">
        <f t="shared" ref="AF128:AL128" si="334">AF116</f>
        <v>0.0129695132221661</v>
      </c>
      <c r="AG128" s="31">
        <f t="shared" si="334"/>
        <v>0.012814371257485</v>
      </c>
      <c r="AH128" s="31">
        <f t="shared" si="334"/>
        <v>0.0133452914798206</v>
      </c>
      <c r="AI128" s="31">
        <f t="shared" si="334"/>
        <v>0.0135898407884761</v>
      </c>
      <c r="AJ128" s="31">
        <f t="shared" si="334"/>
        <v>0.0136304307290695</v>
      </c>
      <c r="AK128" s="31">
        <f t="shared" si="334"/>
        <v>0.0128758465011287</v>
      </c>
      <c r="AL128" s="31">
        <f t="shared" si="334"/>
        <v>0.0151326494517156</v>
      </c>
      <c r="AM128" s="15"/>
      <c r="AN128" s="15"/>
      <c r="AO128" s="31">
        <f t="shared" ref="AO128:AU128" si="335">AO116</f>
        <v>0.0129695132221661</v>
      </c>
      <c r="AP128" s="31">
        <f t="shared" si="335"/>
        <v>0.012814371257485</v>
      </c>
      <c r="AQ128" s="31">
        <f t="shared" si="335"/>
        <v>0.0133452914798206</v>
      </c>
      <c r="AR128" s="31">
        <f t="shared" si="335"/>
        <v>0.0135898407884761</v>
      </c>
      <c r="AS128" s="31">
        <f t="shared" si="335"/>
        <v>0.0136304307290695</v>
      </c>
      <c r="AT128" s="31">
        <f t="shared" si="335"/>
        <v>0.00951693002257336</v>
      </c>
      <c r="AU128" s="31">
        <f t="shared" si="335"/>
        <v>0.0111850017686594</v>
      </c>
    </row>
    <row r="160" ht="15.5" spans="21:53">
      <c r="U160" s="32"/>
      <c r="V160" s="33" t="s">
        <v>316</v>
      </c>
      <c r="W160" s="32"/>
      <c r="Y160" s="34"/>
      <c r="Z160" s="32"/>
      <c r="AA160" s="33" t="s">
        <v>316</v>
      </c>
      <c r="AB160" s="32"/>
      <c r="AD160" s="34"/>
      <c r="AE160" s="32"/>
      <c r="AF160" s="33" t="s">
        <v>316</v>
      </c>
      <c r="AG160" s="32"/>
      <c r="AI160" s="34"/>
      <c r="AJ160" s="32"/>
      <c r="AK160" s="33" t="s">
        <v>316</v>
      </c>
      <c r="AL160" s="32"/>
      <c r="AN160" s="34"/>
      <c r="AO160" s="32"/>
      <c r="AP160" s="33" t="s">
        <v>316</v>
      </c>
      <c r="AQ160" s="32"/>
      <c r="AS160" s="34"/>
      <c r="AT160" s="32"/>
      <c r="AU160" s="33" t="s">
        <v>316</v>
      </c>
      <c r="AV160" s="32"/>
      <c r="AW160" s="34"/>
      <c r="AY160" s="32"/>
      <c r="AZ160" s="33" t="s">
        <v>316</v>
      </c>
      <c r="BA160" s="32"/>
    </row>
    <row r="161" ht="15.5" spans="21:53">
      <c r="U161" s="33" t="s">
        <v>65</v>
      </c>
      <c r="V161" s="33" t="s">
        <v>111</v>
      </c>
      <c r="W161" s="33" t="s">
        <v>25</v>
      </c>
      <c r="Y161" s="34"/>
      <c r="Z161" s="33" t="s">
        <v>65</v>
      </c>
      <c r="AA161" s="33" t="s">
        <v>111</v>
      </c>
      <c r="AB161" s="33" t="s">
        <v>25</v>
      </c>
      <c r="AD161" s="34"/>
      <c r="AE161" s="33" t="s">
        <v>65</v>
      </c>
      <c r="AF161" s="33" t="s">
        <v>111</v>
      </c>
      <c r="AG161" s="33" t="s">
        <v>25</v>
      </c>
      <c r="AI161" s="34"/>
      <c r="AJ161" s="33" t="s">
        <v>65</v>
      </c>
      <c r="AK161" s="33" t="s">
        <v>111</v>
      </c>
      <c r="AL161" s="33" t="s">
        <v>25</v>
      </c>
      <c r="AN161" s="34"/>
      <c r="AO161" s="33" t="s">
        <v>65</v>
      </c>
      <c r="AP161" s="33" t="s">
        <v>111</v>
      </c>
      <c r="AQ161" s="33" t="s">
        <v>25</v>
      </c>
      <c r="AS161" s="34"/>
      <c r="AT161" s="33" t="s">
        <v>65</v>
      </c>
      <c r="AU161" s="33" t="s">
        <v>111</v>
      </c>
      <c r="AV161" s="33" t="s">
        <v>25</v>
      </c>
      <c r="AW161" s="34"/>
      <c r="AY161" s="33" t="s">
        <v>65</v>
      </c>
      <c r="AZ161" s="33" t="s">
        <v>111</v>
      </c>
      <c r="BA161" s="33" t="s">
        <v>25</v>
      </c>
    </row>
    <row r="162" ht="15.5" spans="21:53">
      <c r="U162" s="34" t="s">
        <v>242</v>
      </c>
      <c r="V162" s="35" t="s">
        <v>317</v>
      </c>
      <c r="W162" s="34">
        <f t="shared" ref="W162:W165" si="336">W85</f>
        <v>0.0105103587670541</v>
      </c>
      <c r="Y162" s="34"/>
      <c r="Z162" s="34" t="s">
        <v>244</v>
      </c>
      <c r="AA162" s="35" t="s">
        <v>317</v>
      </c>
      <c r="AB162" s="34">
        <f t="shared" ref="AB162:AB165" si="337">X85</f>
        <v>0.0100940975192472</v>
      </c>
      <c r="AD162" s="34"/>
      <c r="AE162" s="34" t="s">
        <v>246</v>
      </c>
      <c r="AF162" s="35" t="s">
        <v>317</v>
      </c>
      <c r="AG162" s="34">
        <f t="shared" ref="AG162:AG165" si="338">Y85</f>
        <v>0.0103856502242152</v>
      </c>
      <c r="AI162" s="34"/>
      <c r="AJ162" s="34" t="s">
        <v>248</v>
      </c>
      <c r="AK162" s="35" t="s">
        <v>317</v>
      </c>
      <c r="AL162" s="34">
        <f t="shared" ref="AL162:AL165" si="339">Z85</f>
        <v>0.0114291129643669</v>
      </c>
      <c r="AN162" s="34"/>
      <c r="AO162" s="34" t="s">
        <v>240</v>
      </c>
      <c r="AP162" s="35" t="s">
        <v>317</v>
      </c>
      <c r="AQ162" s="34">
        <f t="shared" ref="AQ162:AQ165" si="340">AA85</f>
        <v>0.0115979862017528</v>
      </c>
      <c r="AS162" s="34"/>
      <c r="AT162" s="34" t="s">
        <v>238</v>
      </c>
      <c r="AU162" s="35" t="s">
        <v>317</v>
      </c>
      <c r="AV162" s="34">
        <f t="shared" ref="AV162:AV165" si="341">AB85</f>
        <v>0.00871331828442437</v>
      </c>
      <c r="AW162" s="34"/>
      <c r="AY162" s="34" t="s">
        <v>236</v>
      </c>
      <c r="AZ162" s="35" t="s">
        <v>317</v>
      </c>
      <c r="BA162" s="34">
        <f t="shared" ref="BA162:BA165" si="342">AC85</f>
        <v>0.0102405376724443</v>
      </c>
    </row>
    <row r="163" ht="15.5" spans="21:53">
      <c r="U163" s="34" t="str">
        <f>U162</f>
        <v>PyroRecy-NMC111</v>
      </c>
      <c r="V163" s="35" t="s">
        <v>318</v>
      </c>
      <c r="W163" s="34">
        <f t="shared" si="336"/>
        <v>0.0289203301330638</v>
      </c>
      <c r="Y163" s="34"/>
      <c r="Z163" s="34" t="str">
        <f t="shared" ref="Z163:Z165" si="343">Z162</f>
        <v>PyroRecy-NMC532</v>
      </c>
      <c r="AA163" s="35" t="s">
        <v>318</v>
      </c>
      <c r="AB163" s="34">
        <f t="shared" si="337"/>
        <v>0.0275620188195039</v>
      </c>
      <c r="AD163" s="34"/>
      <c r="AE163" s="34" t="str">
        <f t="shared" ref="AE163:AE165" si="344">AE162</f>
        <v>PyroRecy-NMC622</v>
      </c>
      <c r="AF163" s="35" t="s">
        <v>318</v>
      </c>
      <c r="AG163" s="34">
        <f t="shared" si="338"/>
        <v>0.028322869955157</v>
      </c>
      <c r="AI163" s="34"/>
      <c r="AJ163" s="34" t="str">
        <f t="shared" ref="AJ163:AJ165" si="345">AJ162</f>
        <v>PyroRecy-NMC811</v>
      </c>
      <c r="AK163" s="35" t="s">
        <v>318</v>
      </c>
      <c r="AL163" s="34">
        <f t="shared" si="339"/>
        <v>0.0288286580742987</v>
      </c>
      <c r="AN163" s="34"/>
      <c r="AO163" s="34" t="str">
        <f t="shared" ref="AO163:AO165" si="346">AO162</f>
        <v>PyroRecy-NCA</v>
      </c>
      <c r="AP163" s="35" t="s">
        <v>318</v>
      </c>
      <c r="AQ163" s="34">
        <f t="shared" si="340"/>
        <v>0.0296102927465971</v>
      </c>
      <c r="AS163" s="34"/>
      <c r="AT163" s="34" t="str">
        <f t="shared" ref="AT163:AT165" si="347">AT162</f>
        <v>PyroRecy-LMO</v>
      </c>
      <c r="AU163" s="35" t="s">
        <v>318</v>
      </c>
      <c r="AV163" s="34">
        <f t="shared" si="341"/>
        <v>0.0237622272385252</v>
      </c>
      <c r="AW163" s="34"/>
      <c r="AY163" s="34" t="str">
        <f t="shared" ref="AY163:AY165" si="348">AY162</f>
        <v>PyroRecy-LFP</v>
      </c>
      <c r="AZ163" s="35" t="s">
        <v>318</v>
      </c>
      <c r="BA163" s="34">
        <f t="shared" si="342"/>
        <v>0.0279271312345242</v>
      </c>
    </row>
    <row r="164" ht="15.5" spans="21:53">
      <c r="U164" s="34" t="str">
        <f>U163</f>
        <v>PyroRecy-NMC111</v>
      </c>
      <c r="V164" s="35" t="s">
        <v>319</v>
      </c>
      <c r="W164" s="34">
        <f t="shared" si="336"/>
        <v>0.0836617820448038</v>
      </c>
      <c r="Y164" s="34"/>
      <c r="Z164" s="34" t="str">
        <f t="shared" si="343"/>
        <v>PyroRecy-NMC532</v>
      </c>
      <c r="AA164" s="35" t="s">
        <v>319</v>
      </c>
      <c r="AB164" s="34">
        <f t="shared" si="337"/>
        <v>0.0814029084687767</v>
      </c>
      <c r="AD164" s="34"/>
      <c r="AE164" s="34" t="str">
        <f t="shared" si="344"/>
        <v>PyroRecy-NMC622</v>
      </c>
      <c r="AF164" s="35" t="s">
        <v>319</v>
      </c>
      <c r="AG164" s="34">
        <f t="shared" si="338"/>
        <v>0.0843946188340807</v>
      </c>
      <c r="AI164" s="34"/>
      <c r="AJ164" s="34" t="str">
        <f t="shared" si="345"/>
        <v>PyroRecy-NMC811</v>
      </c>
      <c r="AK164" s="35" t="s">
        <v>319</v>
      </c>
      <c r="AL164" s="34">
        <f t="shared" si="339"/>
        <v>0.0884192570128886</v>
      </c>
      <c r="AN164" s="34"/>
      <c r="AO164" s="34" t="str">
        <f t="shared" si="346"/>
        <v>PyroRecy-NCA</v>
      </c>
      <c r="AP164" s="35" t="s">
        <v>319</v>
      </c>
      <c r="AQ164" s="34">
        <f t="shared" si="340"/>
        <v>0.092485549132948</v>
      </c>
      <c r="AS164" s="34"/>
      <c r="AT164" s="34" t="str">
        <f t="shared" si="347"/>
        <v>PyroRecy-LMO</v>
      </c>
      <c r="AU164" s="35" t="s">
        <v>319</v>
      </c>
      <c r="AV164" s="34">
        <f t="shared" si="341"/>
        <v>0.0708051166290444</v>
      </c>
      <c r="AW164" s="34"/>
      <c r="AY164" s="34" t="str">
        <f t="shared" si="348"/>
        <v>PyroRecy-LFP</v>
      </c>
      <c r="AZ164" s="35" t="s">
        <v>319</v>
      </c>
      <c r="BA164" s="34">
        <f t="shared" si="342"/>
        <v>0.0832154227095861</v>
      </c>
    </row>
    <row r="165" ht="15.5" spans="21:53">
      <c r="U165" s="34" t="str">
        <f>U164</f>
        <v>PyroRecy-NMC111</v>
      </c>
      <c r="V165" s="35" t="s">
        <v>320</v>
      </c>
      <c r="W165" s="34">
        <f t="shared" si="336"/>
        <v>0.0130200437931615</v>
      </c>
      <c r="Y165" s="36"/>
      <c r="Z165" s="34" t="str">
        <f t="shared" si="343"/>
        <v>PyroRecy-NMC532</v>
      </c>
      <c r="AA165" s="35" t="s">
        <v>320</v>
      </c>
      <c r="AB165" s="34">
        <f t="shared" si="337"/>
        <v>0.0127459366980325</v>
      </c>
      <c r="AD165" s="36"/>
      <c r="AE165" s="34" t="str">
        <f t="shared" si="344"/>
        <v>PyroRecy-NMC622</v>
      </c>
      <c r="AF165" s="35" t="s">
        <v>320</v>
      </c>
      <c r="AG165" s="34">
        <f t="shared" si="338"/>
        <v>0.0132017937219731</v>
      </c>
      <c r="AI165" s="36"/>
      <c r="AJ165" s="34" t="str">
        <f t="shared" si="345"/>
        <v>PyroRecy-NMC811</v>
      </c>
      <c r="AK165" s="35" t="s">
        <v>320</v>
      </c>
      <c r="AL165" s="34">
        <f t="shared" si="339"/>
        <v>0.0144238059135709</v>
      </c>
      <c r="AN165" s="36"/>
      <c r="AO165" s="34" t="str">
        <f t="shared" si="346"/>
        <v>PyroRecy-NCA</v>
      </c>
      <c r="AP165" s="35" t="s">
        <v>320</v>
      </c>
      <c r="AQ165" s="34">
        <f t="shared" si="340"/>
        <v>0.0147119149729629</v>
      </c>
      <c r="AS165" s="36"/>
      <c r="AT165" s="34" t="str">
        <f t="shared" si="347"/>
        <v>PyroRecy-LMO</v>
      </c>
      <c r="AU165" s="35" t="s">
        <v>320</v>
      </c>
      <c r="AV165" s="34">
        <f t="shared" si="341"/>
        <v>0.0110759969902182</v>
      </c>
      <c r="AW165" s="36"/>
      <c r="AY165" s="34" t="str">
        <f t="shared" si="348"/>
        <v>PyroRecy-LFP</v>
      </c>
      <c r="AZ165" s="35" t="s">
        <v>320</v>
      </c>
      <c r="BA165" s="34">
        <f t="shared" si="342"/>
        <v>0.0130173328616908</v>
      </c>
    </row>
    <row r="166" ht="15.5" spans="21:53">
      <c r="U166" s="36"/>
      <c r="V166" s="36"/>
      <c r="W166" s="36"/>
      <c r="Y166" s="36"/>
      <c r="Z166" s="36"/>
      <c r="AA166" s="36"/>
      <c r="AB166" s="36"/>
      <c r="AD166" s="36"/>
      <c r="AE166" s="36"/>
      <c r="AF166" s="36"/>
      <c r="AG166" s="36"/>
      <c r="AI166" s="36"/>
      <c r="AJ166" s="36"/>
      <c r="AK166" s="36"/>
      <c r="AL166" s="36"/>
      <c r="AN166" s="36"/>
      <c r="AO166" s="36"/>
      <c r="AP166" s="36"/>
      <c r="AQ166" s="36"/>
      <c r="AS166" s="36"/>
      <c r="AT166" s="36"/>
      <c r="AU166" s="36"/>
      <c r="AV166" s="36"/>
      <c r="AW166" s="36"/>
      <c r="AY166" s="36"/>
      <c r="AZ166" s="36"/>
      <c r="BA166" s="36"/>
    </row>
    <row r="167" ht="15.5" spans="21:53">
      <c r="U167" s="15"/>
      <c r="V167" s="15"/>
      <c r="W167" s="15"/>
      <c r="Y167" s="15"/>
      <c r="Z167" s="15"/>
      <c r="AA167" s="15"/>
      <c r="AB167" s="15"/>
      <c r="AD167" s="15"/>
      <c r="AE167" s="15"/>
      <c r="AF167" s="15"/>
      <c r="AG167" s="15"/>
      <c r="AI167" s="15"/>
      <c r="AJ167" s="15"/>
      <c r="AK167" s="15"/>
      <c r="AL167" s="15"/>
      <c r="AN167" s="15"/>
      <c r="AO167" s="15"/>
      <c r="AP167" s="15"/>
      <c r="AQ167" s="15"/>
      <c r="AS167" s="15"/>
      <c r="AT167" s="15"/>
      <c r="AU167" s="15"/>
      <c r="AV167" s="15"/>
      <c r="AW167" s="15"/>
      <c r="AY167" s="15"/>
      <c r="AZ167" s="15"/>
      <c r="BA167" s="15"/>
    </row>
    <row r="168" ht="15.5" spans="21:53">
      <c r="U168" s="15"/>
      <c r="V168" s="15"/>
      <c r="W168" s="15"/>
      <c r="Y168" s="15"/>
      <c r="Z168" s="15"/>
      <c r="AA168" s="15"/>
      <c r="AB168" s="15"/>
      <c r="AD168" s="15"/>
      <c r="AE168" s="15"/>
      <c r="AF168" s="15"/>
      <c r="AG168" s="15"/>
      <c r="AI168" s="15"/>
      <c r="AJ168" s="15"/>
      <c r="AK168" s="15"/>
      <c r="AL168" s="15"/>
      <c r="AN168" s="15"/>
      <c r="AO168" s="15"/>
      <c r="AP168" s="15"/>
      <c r="AQ168" s="15"/>
      <c r="AS168" s="15"/>
      <c r="AT168" s="15"/>
      <c r="AU168" s="15"/>
      <c r="AV168" s="15"/>
      <c r="AW168" s="15"/>
      <c r="AY168" s="15"/>
      <c r="AZ168" s="15"/>
      <c r="BA168" s="15"/>
    </row>
    <row r="169" ht="15.5" spans="21:53">
      <c r="U169" s="15"/>
      <c r="V169" s="15"/>
      <c r="W169" s="15"/>
      <c r="Y169" s="15"/>
      <c r="Z169" s="15"/>
      <c r="AA169" s="15"/>
      <c r="AB169" s="15"/>
      <c r="AD169" s="15"/>
      <c r="AE169" s="15"/>
      <c r="AF169" s="15"/>
      <c r="AG169" s="15"/>
      <c r="AI169" s="15"/>
      <c r="AJ169" s="15"/>
      <c r="AK169" s="15"/>
      <c r="AL169" s="15"/>
      <c r="AN169" s="15"/>
      <c r="AO169" s="15"/>
      <c r="AP169" s="15"/>
      <c r="AQ169" s="15"/>
      <c r="AS169" s="15"/>
      <c r="AT169" s="15"/>
      <c r="AU169" s="15"/>
      <c r="AV169" s="15"/>
      <c r="AW169" s="15"/>
      <c r="AY169" s="15"/>
      <c r="AZ169" s="15"/>
      <c r="BA169" s="15"/>
    </row>
    <row r="170" ht="15.5" spans="21:53">
      <c r="U170" s="15"/>
      <c r="V170" s="15"/>
      <c r="W170" s="15"/>
      <c r="Y170" s="15"/>
      <c r="Z170" s="15"/>
      <c r="AA170" s="15"/>
      <c r="AB170" s="15"/>
      <c r="AD170" s="15"/>
      <c r="AE170" s="15"/>
      <c r="AF170" s="15"/>
      <c r="AG170" s="15"/>
      <c r="AI170" s="15"/>
      <c r="AJ170" s="15"/>
      <c r="AK170" s="15"/>
      <c r="AL170" s="15"/>
      <c r="AN170" s="15"/>
      <c r="AO170" s="15"/>
      <c r="AP170" s="15"/>
      <c r="AQ170" s="15"/>
      <c r="AS170" s="15"/>
      <c r="AT170" s="15"/>
      <c r="AU170" s="15"/>
      <c r="AV170" s="15"/>
      <c r="AW170" s="15"/>
      <c r="AY170" s="15"/>
      <c r="AZ170" s="15"/>
      <c r="BA170" s="15"/>
    </row>
    <row r="171" ht="15.5" spans="21:53">
      <c r="U171" s="15"/>
      <c r="V171" s="15"/>
      <c r="W171" s="15"/>
      <c r="Y171" s="15"/>
      <c r="Z171" s="15"/>
      <c r="AA171" s="15"/>
      <c r="AB171" s="15"/>
      <c r="AD171" s="15"/>
      <c r="AE171" s="15"/>
      <c r="AF171" s="15"/>
      <c r="AG171" s="15"/>
      <c r="AI171" s="15"/>
      <c r="AJ171" s="15"/>
      <c r="AK171" s="15"/>
      <c r="AL171" s="15"/>
      <c r="AN171" s="15"/>
      <c r="AO171" s="15"/>
      <c r="AP171" s="15"/>
      <c r="AQ171" s="15"/>
      <c r="AS171" s="15"/>
      <c r="AT171" s="15"/>
      <c r="AU171" s="15"/>
      <c r="AV171" s="15"/>
      <c r="AW171" s="15"/>
      <c r="AY171" s="15"/>
      <c r="AZ171" s="15"/>
      <c r="BA171" s="15"/>
    </row>
    <row r="172" ht="15.5" spans="21:53">
      <c r="U172" s="32"/>
      <c r="V172" s="33" t="s">
        <v>316</v>
      </c>
      <c r="W172" s="32"/>
      <c r="Y172" s="34"/>
      <c r="Z172" s="32"/>
      <c r="AA172" s="33" t="s">
        <v>316</v>
      </c>
      <c r="AB172" s="32"/>
      <c r="AD172" s="34"/>
      <c r="AE172" s="32"/>
      <c r="AF172" s="33" t="s">
        <v>316</v>
      </c>
      <c r="AG172" s="32"/>
      <c r="AI172" s="34"/>
      <c r="AJ172" s="32"/>
      <c r="AK172" s="33" t="s">
        <v>316</v>
      </c>
      <c r="AL172" s="32"/>
      <c r="AN172" s="34"/>
      <c r="AO172" s="32"/>
      <c r="AP172" s="33" t="s">
        <v>316</v>
      </c>
      <c r="AQ172" s="32"/>
      <c r="AS172" s="34"/>
      <c r="AT172" s="32"/>
      <c r="AU172" s="33" t="s">
        <v>316</v>
      </c>
      <c r="AV172" s="32"/>
      <c r="AW172" s="34"/>
      <c r="AY172" s="32"/>
      <c r="AZ172" s="33" t="s">
        <v>316</v>
      </c>
      <c r="BA172" s="32"/>
    </row>
    <row r="173" ht="15.5" spans="21:53">
      <c r="U173" s="33" t="s">
        <v>65</v>
      </c>
      <c r="V173" s="33" t="s">
        <v>111</v>
      </c>
      <c r="W173" s="33" t="s">
        <v>25</v>
      </c>
      <c r="Y173" s="34"/>
      <c r="Z173" s="33" t="s">
        <v>65</v>
      </c>
      <c r="AA173" s="33" t="s">
        <v>111</v>
      </c>
      <c r="AB173" s="33" t="s">
        <v>25</v>
      </c>
      <c r="AD173" s="34"/>
      <c r="AE173" s="33" t="s">
        <v>65</v>
      </c>
      <c r="AF173" s="33" t="s">
        <v>111</v>
      </c>
      <c r="AG173" s="33" t="s">
        <v>25</v>
      </c>
      <c r="AI173" s="34"/>
      <c r="AJ173" s="33" t="s">
        <v>65</v>
      </c>
      <c r="AK173" s="33" t="s">
        <v>111</v>
      </c>
      <c r="AL173" s="33" t="s">
        <v>25</v>
      </c>
      <c r="AN173" s="34"/>
      <c r="AO173" s="33" t="s">
        <v>65</v>
      </c>
      <c r="AP173" s="33" t="s">
        <v>111</v>
      </c>
      <c r="AQ173" s="33" t="s">
        <v>25</v>
      </c>
      <c r="AS173" s="34"/>
      <c r="AT173" s="33" t="s">
        <v>65</v>
      </c>
      <c r="AU173" s="33" t="s">
        <v>111</v>
      </c>
      <c r="AV173" s="33" t="s">
        <v>25</v>
      </c>
      <c r="AW173" s="34"/>
      <c r="AY173" s="33" t="s">
        <v>65</v>
      </c>
      <c r="AZ173" s="33" t="s">
        <v>111</v>
      </c>
      <c r="BA173" s="33" t="s">
        <v>25</v>
      </c>
    </row>
    <row r="174" ht="15.5" spans="21:53">
      <c r="U174" s="34" t="s">
        <v>255</v>
      </c>
      <c r="V174" s="35" t="s">
        <v>317</v>
      </c>
      <c r="W174" s="34">
        <f t="shared" ref="W174:W177" si="349">W105</f>
        <v>0.0115546572342934</v>
      </c>
      <c r="Y174" s="34"/>
      <c r="Z174" s="34" t="s">
        <v>257</v>
      </c>
      <c r="AA174" s="35" t="s">
        <v>317</v>
      </c>
      <c r="AB174" s="34">
        <f t="shared" ref="AB174:AB177" si="350">X105</f>
        <v>0.0110863986313088</v>
      </c>
      <c r="AD174" s="34"/>
      <c r="AE174" s="34" t="s">
        <v>259</v>
      </c>
      <c r="AF174" s="35" t="s">
        <v>317</v>
      </c>
      <c r="AG174" s="34">
        <f t="shared" ref="AG174:AG177" si="351">Y105</f>
        <v>0.0114618834080717</v>
      </c>
      <c r="AI174" s="34"/>
      <c r="AJ174" s="34" t="s">
        <v>261</v>
      </c>
      <c r="AK174" s="35" t="s">
        <v>317</v>
      </c>
      <c r="AL174" s="34">
        <f t="shared" ref="AL174:AL177" si="352">Z105</f>
        <v>0.011751326762699</v>
      </c>
      <c r="AN174" s="34"/>
      <c r="AO174" s="34" t="s">
        <v>253</v>
      </c>
      <c r="AP174" s="35" t="s">
        <v>317</v>
      </c>
      <c r="AQ174" s="34">
        <f t="shared" ref="AQ174:AQ177" si="353">AA105</f>
        <v>0.0119709118030953</v>
      </c>
      <c r="AS174" s="34"/>
      <c r="AT174" s="34" t="s">
        <v>252</v>
      </c>
      <c r="AU174" s="35" t="s">
        <v>317</v>
      </c>
      <c r="AV174" s="34">
        <f t="shared" ref="AV174:AV177" si="354">AB105</f>
        <v>0.00961625282167042</v>
      </c>
      <c r="AW174" s="34"/>
      <c r="AY174" s="34" t="s">
        <v>250</v>
      </c>
      <c r="AZ174" s="35" t="s">
        <v>317</v>
      </c>
      <c r="BA174" s="34">
        <f t="shared" ref="BA174:BA177" si="355">AC105</f>
        <v>0.0113017332861691</v>
      </c>
    </row>
    <row r="175" ht="15.5" spans="21:53">
      <c r="U175" s="34" t="str">
        <f t="shared" ref="U175:U177" si="356">U174</f>
        <v>HydRecy-NMC111</v>
      </c>
      <c r="V175" s="35" t="s">
        <v>318</v>
      </c>
      <c r="W175" s="34">
        <f t="shared" si="349"/>
        <v>0.0252147549267307</v>
      </c>
      <c r="Y175" s="34"/>
      <c r="Z175" s="34" t="str">
        <f t="shared" ref="Z175:Z177" si="357">Z174</f>
        <v>HydRecy-NMC532</v>
      </c>
      <c r="AA175" s="35" t="s">
        <v>318</v>
      </c>
      <c r="AB175" s="34">
        <f t="shared" si="350"/>
        <v>0.0242600513259196</v>
      </c>
      <c r="AD175" s="34"/>
      <c r="AE175" s="34" t="str">
        <f t="shared" ref="AE175:AE177" si="358">AE174</f>
        <v>HydRecy-NMC622</v>
      </c>
      <c r="AF175" s="35" t="s">
        <v>318</v>
      </c>
      <c r="AG175" s="34">
        <f t="shared" si="351"/>
        <v>0.0250941704035874</v>
      </c>
      <c r="AI175" s="34"/>
      <c r="AJ175" s="34" t="str">
        <f t="shared" ref="AJ175:AJ177" si="359">AJ174</f>
        <v>HydRecy-NMC811</v>
      </c>
      <c r="AK175" s="35" t="s">
        <v>318</v>
      </c>
      <c r="AL175" s="34">
        <f t="shared" si="352"/>
        <v>0.0257581501137225</v>
      </c>
      <c r="AN175" s="34"/>
      <c r="AO175" s="34" t="str">
        <f t="shared" ref="AO175:AO177" si="360">AO174</f>
        <v>HydRecy-NCA</v>
      </c>
      <c r="AP175" s="35" t="s">
        <v>318</v>
      </c>
      <c r="AQ175" s="34">
        <f t="shared" si="353"/>
        <v>0.0262539623345143</v>
      </c>
      <c r="AS175" s="34"/>
      <c r="AT175" s="34" t="str">
        <f t="shared" ref="AT175:AT177" si="361">AT174</f>
        <v>HydRecy-LMO</v>
      </c>
      <c r="AU175" s="35" t="s">
        <v>318</v>
      </c>
      <c r="AV175" s="34">
        <f t="shared" si="354"/>
        <v>0.0210534236267871</v>
      </c>
      <c r="AW175" s="34"/>
      <c r="AY175" s="34" t="str">
        <f t="shared" ref="AY175:AY177" si="362">AY174</f>
        <v>HydRecy-LFP</v>
      </c>
      <c r="AZ175" s="35" t="s">
        <v>318</v>
      </c>
      <c r="BA175" s="34">
        <f t="shared" si="355"/>
        <v>0.0247435443933498</v>
      </c>
    </row>
    <row r="176" ht="15.5" spans="21:53">
      <c r="U176" s="34" t="str">
        <f t="shared" si="356"/>
        <v>HydRecy-NMC111</v>
      </c>
      <c r="V176" s="35" t="s">
        <v>319</v>
      </c>
      <c r="W176" s="34">
        <f t="shared" si="349"/>
        <v>0.0978103419235304</v>
      </c>
      <c r="Y176" s="34"/>
      <c r="Z176" s="34" t="str">
        <f t="shared" si="357"/>
        <v>HydRecy-NMC532</v>
      </c>
      <c r="AA176" s="35" t="s">
        <v>319</v>
      </c>
      <c r="AB176" s="34">
        <f t="shared" si="350"/>
        <v>0.0947818648417451</v>
      </c>
      <c r="AD176" s="34"/>
      <c r="AE176" s="34" t="str">
        <f t="shared" si="358"/>
        <v>HydRecy-NMC622</v>
      </c>
      <c r="AF176" s="35" t="s">
        <v>319</v>
      </c>
      <c r="AG176" s="34">
        <f t="shared" si="351"/>
        <v>0.0982600896860986</v>
      </c>
      <c r="AI176" s="34"/>
      <c r="AJ176" s="34" t="str">
        <f t="shared" si="359"/>
        <v>HydRecy-NMC811</v>
      </c>
      <c r="AK176" s="35" t="s">
        <v>319</v>
      </c>
      <c r="AL176" s="34">
        <f t="shared" si="352"/>
        <v>0.099696739954511</v>
      </c>
      <c r="AN176" s="34"/>
      <c r="AO176" s="34" t="str">
        <f t="shared" si="360"/>
        <v>HydRecy-NCA</v>
      </c>
      <c r="AP176" s="35" t="s">
        <v>319</v>
      </c>
      <c r="AQ176" s="34">
        <f t="shared" si="353"/>
        <v>0.103953011374231</v>
      </c>
      <c r="AS176" s="34"/>
      <c r="AT176" s="34" t="str">
        <f t="shared" si="361"/>
        <v>HydRecy-LMO</v>
      </c>
      <c r="AU176" s="35" t="s">
        <v>319</v>
      </c>
      <c r="AV176" s="34">
        <f t="shared" si="354"/>
        <v>0.0824379232505643</v>
      </c>
      <c r="AW176" s="34"/>
      <c r="AY176" s="34" t="str">
        <f t="shared" si="362"/>
        <v>HydRecy-LFP</v>
      </c>
      <c r="AZ176" s="35" t="s">
        <v>319</v>
      </c>
      <c r="BA176" s="34">
        <f t="shared" si="355"/>
        <v>0.0968871595330739</v>
      </c>
    </row>
    <row r="177" ht="15.5" spans="21:53">
      <c r="U177" s="34" t="str">
        <f t="shared" si="356"/>
        <v>HydRecy-NMC111</v>
      </c>
      <c r="V177" s="35" t="s">
        <v>320</v>
      </c>
      <c r="W177" s="34">
        <f t="shared" si="349"/>
        <v>0.0132390096008085</v>
      </c>
      <c r="Y177" s="36"/>
      <c r="Z177" s="34" t="str">
        <f t="shared" si="357"/>
        <v>HydRecy-NMC532</v>
      </c>
      <c r="AA177" s="35" t="s">
        <v>320</v>
      </c>
      <c r="AB177" s="34">
        <f t="shared" si="350"/>
        <v>0.0130538922155689</v>
      </c>
      <c r="AD177" s="36"/>
      <c r="AE177" s="34" t="str">
        <f t="shared" si="358"/>
        <v>HydRecy-NMC622</v>
      </c>
      <c r="AF177" s="35" t="s">
        <v>320</v>
      </c>
      <c r="AG177" s="34">
        <f t="shared" si="351"/>
        <v>0.0136143497757848</v>
      </c>
      <c r="AI177" s="36"/>
      <c r="AJ177" s="34" t="str">
        <f t="shared" si="359"/>
        <v>HydRecy-NMC811</v>
      </c>
      <c r="AK177" s="35" t="s">
        <v>320</v>
      </c>
      <c r="AL177" s="34">
        <f t="shared" si="352"/>
        <v>0.0139689158453374</v>
      </c>
      <c r="AN177" s="36"/>
      <c r="AO177" s="34" t="str">
        <f t="shared" si="360"/>
        <v>HydRecy-NCA</v>
      </c>
      <c r="AP177" s="35" t="s">
        <v>320</v>
      </c>
      <c r="AQ177" s="34">
        <f t="shared" si="353"/>
        <v>0.0141711728510162</v>
      </c>
      <c r="AS177" s="36"/>
      <c r="AT177" s="34" t="str">
        <f t="shared" si="361"/>
        <v>HydRecy-LMO</v>
      </c>
      <c r="AU177" s="35" t="s">
        <v>320</v>
      </c>
      <c r="AV177" s="34">
        <f t="shared" si="354"/>
        <v>0.0114221218961625</v>
      </c>
      <c r="AW177" s="36"/>
      <c r="AY177" s="34" t="str">
        <f t="shared" si="362"/>
        <v>HydRecy-LFP</v>
      </c>
      <c r="AZ177" s="35" t="s">
        <v>320</v>
      </c>
      <c r="BA177" s="34">
        <f t="shared" si="355"/>
        <v>0.0134241245136187</v>
      </c>
    </row>
    <row r="178" ht="15.5" spans="21:53">
      <c r="U178" s="36"/>
      <c r="V178" s="36"/>
      <c r="W178" s="36"/>
      <c r="Y178" s="36"/>
      <c r="Z178" s="36"/>
      <c r="AA178" s="36"/>
      <c r="AB178" s="36"/>
      <c r="AD178" s="36"/>
      <c r="AE178" s="36"/>
      <c r="AF178" s="36"/>
      <c r="AG178" s="36"/>
      <c r="AI178" s="36"/>
      <c r="AJ178" s="36"/>
      <c r="AK178" s="36"/>
      <c r="AL178" s="36"/>
      <c r="AN178" s="36"/>
      <c r="AO178" s="36"/>
      <c r="AP178" s="36"/>
      <c r="AQ178" s="36"/>
      <c r="AS178" s="36"/>
      <c r="AT178" s="36"/>
      <c r="AU178" s="36"/>
      <c r="AV178" s="36"/>
      <c r="AW178" s="36"/>
      <c r="AY178" s="36"/>
      <c r="AZ178" s="36"/>
      <c r="BA178" s="36"/>
    </row>
    <row r="183" ht="15.5" spans="21:53">
      <c r="U183" s="32"/>
      <c r="V183" s="33" t="s">
        <v>316</v>
      </c>
      <c r="W183" s="32"/>
      <c r="Y183" s="34"/>
      <c r="Z183" s="32"/>
      <c r="AA183" s="33" t="s">
        <v>316</v>
      </c>
      <c r="AB183" s="32"/>
      <c r="AD183" s="34"/>
      <c r="AE183" s="32"/>
      <c r="AF183" s="33" t="s">
        <v>316</v>
      </c>
      <c r="AG183" s="32"/>
      <c r="AI183" s="34"/>
      <c r="AJ183" s="32"/>
      <c r="AK183" s="33" t="s">
        <v>316</v>
      </c>
      <c r="AL183" s="32"/>
      <c r="AN183" s="34"/>
      <c r="AO183" s="32"/>
      <c r="AP183" s="33" t="s">
        <v>316</v>
      </c>
      <c r="AQ183" s="32"/>
      <c r="AS183" s="34"/>
      <c r="AT183" s="32"/>
      <c r="AU183" s="33" t="s">
        <v>316</v>
      </c>
      <c r="AV183" s="32"/>
      <c r="AW183" s="34"/>
      <c r="AY183" s="32"/>
      <c r="AZ183" s="33" t="s">
        <v>316</v>
      </c>
      <c r="BA183" s="32"/>
    </row>
    <row r="184" ht="15.5" spans="21:53">
      <c r="U184" s="33" t="s">
        <v>65</v>
      </c>
      <c r="V184" s="33" t="s">
        <v>111</v>
      </c>
      <c r="W184" s="33" t="s">
        <v>25</v>
      </c>
      <c r="Y184" s="34"/>
      <c r="Z184" s="33" t="s">
        <v>65</v>
      </c>
      <c r="AA184" s="33" t="s">
        <v>111</v>
      </c>
      <c r="AB184" s="33" t="s">
        <v>25</v>
      </c>
      <c r="AD184" s="34"/>
      <c r="AE184" s="33" t="s">
        <v>65</v>
      </c>
      <c r="AF184" s="33" t="s">
        <v>111</v>
      </c>
      <c r="AG184" s="33" t="s">
        <v>25</v>
      </c>
      <c r="AI184" s="34"/>
      <c r="AJ184" s="33" t="s">
        <v>65</v>
      </c>
      <c r="AK184" s="33" t="s">
        <v>111</v>
      </c>
      <c r="AL184" s="33" t="s">
        <v>25</v>
      </c>
      <c r="AN184" s="34"/>
      <c r="AO184" s="33" t="s">
        <v>65</v>
      </c>
      <c r="AP184" s="33" t="s">
        <v>111</v>
      </c>
      <c r="AQ184" s="33" t="s">
        <v>25</v>
      </c>
      <c r="AS184" s="34"/>
      <c r="AT184" s="33" t="s">
        <v>65</v>
      </c>
      <c r="AU184" s="33" t="s">
        <v>111</v>
      </c>
      <c r="AV184" s="33" t="s">
        <v>25</v>
      </c>
      <c r="AW184" s="34"/>
      <c r="AY184" s="33" t="s">
        <v>65</v>
      </c>
      <c r="AZ184" s="33" t="s">
        <v>111</v>
      </c>
      <c r="BA184" s="33" t="s">
        <v>25</v>
      </c>
    </row>
    <row r="185" ht="15.5" spans="21:53">
      <c r="U185" s="34" t="s">
        <v>268</v>
      </c>
      <c r="V185" s="35" t="s">
        <v>317</v>
      </c>
      <c r="W185" s="34">
        <f t="shared" ref="W185:W188" si="363">W125</f>
        <v>0.00788276907529056</v>
      </c>
      <c r="Y185" s="34"/>
      <c r="Z185" s="34" t="s">
        <v>270</v>
      </c>
      <c r="AA185" s="35" t="s">
        <v>317</v>
      </c>
      <c r="AB185" s="34">
        <f t="shared" ref="AB185:AB188" si="364">X125</f>
        <v>0.00764756201881948</v>
      </c>
      <c r="AD185" s="34"/>
      <c r="AE185" s="34" t="s">
        <v>272</v>
      </c>
      <c r="AF185" s="35" t="s">
        <v>317</v>
      </c>
      <c r="AG185" s="34">
        <f t="shared" ref="AG185:AG188" si="365">Y125</f>
        <v>0.00794618834080718</v>
      </c>
      <c r="AI185" s="34"/>
      <c r="AJ185" s="34" t="s">
        <v>273</v>
      </c>
      <c r="AK185" s="35" t="s">
        <v>317</v>
      </c>
      <c r="AL185" s="34">
        <f t="shared" ref="AL185:AL188" si="366">Z125</f>
        <v>0.00794162244124336</v>
      </c>
      <c r="AN185" s="34"/>
      <c r="AO185" s="34" t="s">
        <v>267</v>
      </c>
      <c r="AP185" s="35" t="s">
        <v>317</v>
      </c>
      <c r="AQ185" s="34">
        <f t="shared" ref="AQ185:AQ188" si="367">AA125</f>
        <v>0.00801790042886445</v>
      </c>
      <c r="AS185" s="34"/>
      <c r="AT185" s="34" t="s">
        <v>265</v>
      </c>
      <c r="AU185" s="35" t="s">
        <v>317</v>
      </c>
      <c r="AV185" s="34">
        <f t="shared" ref="AV185:AV188" si="368">AB125</f>
        <v>0.00666666666666667</v>
      </c>
      <c r="AW185" s="34"/>
      <c r="AY185" s="34" t="s">
        <v>263</v>
      </c>
      <c r="AZ185" s="35" t="s">
        <v>317</v>
      </c>
      <c r="BA185" s="34">
        <f t="shared" ref="BA185:BA188" si="369">AC125</f>
        <v>0.00783516094800141</v>
      </c>
    </row>
    <row r="186" ht="15.5" spans="21:53">
      <c r="U186" s="34" t="str">
        <f t="shared" ref="U186:U188" si="370">U185</f>
        <v>DirRecy-NMC111</v>
      </c>
      <c r="V186" s="35" t="s">
        <v>318</v>
      </c>
      <c r="W186" s="34">
        <f t="shared" si="363"/>
        <v>0.02011116725619</v>
      </c>
      <c r="Y186" s="34"/>
      <c r="Z186" s="34" t="str">
        <f t="shared" ref="Z186:Z188" si="371">Z185</f>
        <v>DirRecy-NMC532</v>
      </c>
      <c r="AA186" s="35" t="s">
        <v>318</v>
      </c>
      <c r="AB186" s="34">
        <f t="shared" si="364"/>
        <v>0.0195038494439692</v>
      </c>
      <c r="AD186" s="34"/>
      <c r="AE186" s="34" t="str">
        <f t="shared" ref="AE186:AE188" si="372">AE185</f>
        <v>DirRecy-NMC622</v>
      </c>
      <c r="AF186" s="35" t="s">
        <v>318</v>
      </c>
      <c r="AG186" s="34">
        <f t="shared" si="365"/>
        <v>0.0202152466367713</v>
      </c>
      <c r="AI186" s="34"/>
      <c r="AJ186" s="34" t="str">
        <f t="shared" ref="AJ186:AJ188" si="373">AJ185</f>
        <v>DirRecy-NMC811</v>
      </c>
      <c r="AK186" s="35" t="s">
        <v>318</v>
      </c>
      <c r="AL186" s="34">
        <f t="shared" si="366"/>
        <v>0.0201099317664898</v>
      </c>
      <c r="AN186" s="34"/>
      <c r="AO186" s="34" t="str">
        <f t="shared" ref="AO186:AO188" si="374">AO185</f>
        <v>DirRecy-NCA</v>
      </c>
      <c r="AP186" s="35" t="s">
        <v>318</v>
      </c>
      <c r="AQ186" s="34">
        <f t="shared" si="367"/>
        <v>0.0203990303934365</v>
      </c>
      <c r="AS186" s="34"/>
      <c r="AT186" s="34" t="str">
        <f t="shared" ref="AT186:AT188" si="375">AT185</f>
        <v>DirRecy-LMO</v>
      </c>
      <c r="AU186" s="35" t="s">
        <v>318</v>
      </c>
      <c r="AV186" s="34">
        <f t="shared" si="368"/>
        <v>0.0169601203912716</v>
      </c>
      <c r="AW186" s="34"/>
      <c r="AY186" s="34" t="str">
        <f t="shared" ref="AY186:AY188" si="376">AY185</f>
        <v>DirRecy-LFP</v>
      </c>
      <c r="AZ186" s="35" t="s">
        <v>318</v>
      </c>
      <c r="BA186" s="34">
        <f t="shared" si="369"/>
        <v>0.0199327909444641</v>
      </c>
    </row>
    <row r="187" ht="15.5" spans="21:53">
      <c r="U187" s="34" t="str">
        <f t="shared" si="370"/>
        <v>DirRecy-NMC111</v>
      </c>
      <c r="V187" s="35" t="s">
        <v>319</v>
      </c>
      <c r="W187" s="34">
        <f t="shared" si="363"/>
        <v>0.0641232945932289</v>
      </c>
      <c r="Y187" s="34"/>
      <c r="Z187" s="34" t="str">
        <f t="shared" si="371"/>
        <v>DirRecy-NMC532</v>
      </c>
      <c r="AA187" s="35" t="s">
        <v>319</v>
      </c>
      <c r="AB187" s="34">
        <f t="shared" si="364"/>
        <v>0.0633532934131737</v>
      </c>
      <c r="AD187" s="34"/>
      <c r="AE187" s="34" t="str">
        <f t="shared" si="372"/>
        <v>DirRecy-NMC622</v>
      </c>
      <c r="AF187" s="35" t="s">
        <v>319</v>
      </c>
      <c r="AG187" s="34">
        <f t="shared" si="365"/>
        <v>0.0659910313901345</v>
      </c>
      <c r="AI187" s="34"/>
      <c r="AJ187" s="34" t="str">
        <f t="shared" si="373"/>
        <v>DirRecy-NMC811</v>
      </c>
      <c r="AK187" s="35" t="s">
        <v>319</v>
      </c>
      <c r="AL187" s="34">
        <f t="shared" si="366"/>
        <v>0.0673237300985595</v>
      </c>
      <c r="AN187" s="34"/>
      <c r="AO187" s="34" t="str">
        <f t="shared" si="374"/>
        <v>DirRecy-NCA</v>
      </c>
      <c r="AP187" s="35" t="s">
        <v>319</v>
      </c>
      <c r="AQ187" s="34">
        <f t="shared" si="367"/>
        <v>0.0673690098825284</v>
      </c>
      <c r="AS187" s="34"/>
      <c r="AT187" s="34" t="str">
        <f t="shared" si="375"/>
        <v>DirRecy-LMO</v>
      </c>
      <c r="AU187" s="35" t="s">
        <v>319</v>
      </c>
      <c r="AV187" s="34">
        <f t="shared" si="368"/>
        <v>0.055364936042137</v>
      </c>
      <c r="AW187" s="34"/>
      <c r="AY187" s="34" t="str">
        <f t="shared" si="376"/>
        <v>DirRecy-LFP</v>
      </c>
      <c r="AZ187" s="35" t="s">
        <v>319</v>
      </c>
      <c r="BA187" s="34">
        <f t="shared" si="369"/>
        <v>0.0650689777148921</v>
      </c>
    </row>
    <row r="188" ht="15.5" spans="21:53">
      <c r="U188" s="34" t="str">
        <f t="shared" si="370"/>
        <v>DirRecy-NMC111</v>
      </c>
      <c r="V188" s="35" t="s">
        <v>320</v>
      </c>
      <c r="W188" s="34">
        <f t="shared" si="363"/>
        <v>0.0129695132221661</v>
      </c>
      <c r="Y188" s="36"/>
      <c r="Z188" s="34" t="str">
        <f t="shared" si="371"/>
        <v>DirRecy-NMC532</v>
      </c>
      <c r="AA188" s="35" t="s">
        <v>320</v>
      </c>
      <c r="AB188" s="34">
        <f t="shared" si="364"/>
        <v>0.012814371257485</v>
      </c>
      <c r="AD188" s="36"/>
      <c r="AE188" s="34" t="str">
        <f t="shared" si="372"/>
        <v>DirRecy-NMC622</v>
      </c>
      <c r="AF188" s="35" t="s">
        <v>320</v>
      </c>
      <c r="AG188" s="34">
        <f t="shared" si="365"/>
        <v>0.0133452914798206</v>
      </c>
      <c r="AI188" s="36"/>
      <c r="AJ188" s="34" t="str">
        <f t="shared" si="373"/>
        <v>DirRecy-NMC811</v>
      </c>
      <c r="AK188" s="35" t="s">
        <v>320</v>
      </c>
      <c r="AL188" s="34">
        <f t="shared" si="366"/>
        <v>0.0135898407884761</v>
      </c>
      <c r="AN188" s="36"/>
      <c r="AO188" s="34" t="str">
        <f t="shared" si="374"/>
        <v>DirRecy-NCA</v>
      </c>
      <c r="AP188" s="35" t="s">
        <v>320</v>
      </c>
      <c r="AQ188" s="34">
        <f t="shared" si="367"/>
        <v>0.0136304307290695</v>
      </c>
      <c r="AS188" s="36"/>
      <c r="AT188" s="34" t="str">
        <f t="shared" si="375"/>
        <v>DirRecy-LMO</v>
      </c>
      <c r="AU188" s="35" t="s">
        <v>320</v>
      </c>
      <c r="AV188" s="34">
        <f t="shared" si="368"/>
        <v>0.011196388261851</v>
      </c>
      <c r="AW188" s="36"/>
      <c r="AY188" s="34" t="str">
        <f t="shared" si="376"/>
        <v>DirRecy-LFP</v>
      </c>
      <c r="AZ188" s="35" t="s">
        <v>320</v>
      </c>
      <c r="BA188" s="34">
        <f t="shared" si="369"/>
        <v>0.0131588256101875</v>
      </c>
    </row>
    <row r="198" spans="21:54">
      <c r="V198" s="12" t="s">
        <v>316</v>
      </c>
      <c r="AA198" s="12" t="s">
        <v>316</v>
      </c>
      <c r="AF198" s="12" t="s">
        <v>316</v>
      </c>
      <c r="AK198" s="12" t="s">
        <v>316</v>
      </c>
      <c r="AP198" s="12" t="s">
        <v>316</v>
      </c>
      <c r="AU198" s="12" t="s">
        <v>316</v>
      </c>
      <c r="AZ198" s="12" t="s">
        <v>316</v>
      </c>
    </row>
    <row r="199" ht="15.5" spans="21:54">
      <c r="U199" s="12" t="s">
        <v>65</v>
      </c>
      <c r="V199" s="12" t="s">
        <v>111</v>
      </c>
      <c r="W199" s="12" t="s">
        <v>25</v>
      </c>
      <c r="X199" s="34" t="s">
        <v>41</v>
      </c>
      <c r="Z199" s="12" t="s">
        <v>65</v>
      </c>
      <c r="AA199" s="12" t="s">
        <v>111</v>
      </c>
      <c r="AB199" s="12" t="s">
        <v>25</v>
      </c>
      <c r="AC199" s="34" t="s">
        <v>41</v>
      </c>
      <c r="AE199" s="12" t="s">
        <v>65</v>
      </c>
      <c r="AF199" s="12" t="s">
        <v>111</v>
      </c>
      <c r="AG199" s="12" t="s">
        <v>25</v>
      </c>
      <c r="AH199" s="34" t="s">
        <v>41</v>
      </c>
      <c r="AJ199" s="12" t="s">
        <v>65</v>
      </c>
      <c r="AK199" s="12" t="s">
        <v>111</v>
      </c>
      <c r="AL199" s="12" t="s">
        <v>25</v>
      </c>
      <c r="AM199" s="34" t="s">
        <v>41</v>
      </c>
      <c r="AO199" s="12" t="s">
        <v>65</v>
      </c>
      <c r="AP199" s="12" t="s">
        <v>111</v>
      </c>
      <c r="AQ199" s="12" t="s">
        <v>25</v>
      </c>
      <c r="AR199" s="34" t="s">
        <v>41</v>
      </c>
      <c r="AT199" s="12" t="s">
        <v>65</v>
      </c>
      <c r="AU199" s="12" t="s">
        <v>111</v>
      </c>
      <c r="AV199" s="12" t="s">
        <v>25</v>
      </c>
      <c r="AW199" s="34" t="s">
        <v>41</v>
      </c>
      <c r="AY199" s="12" t="s">
        <v>65</v>
      </c>
      <c r="AZ199" s="12" t="s">
        <v>111</v>
      </c>
      <c r="BA199" s="12" t="s">
        <v>25</v>
      </c>
      <c r="BB199" s="34" t="s">
        <v>41</v>
      </c>
    </row>
    <row r="200" ht="15.5" spans="21:54">
      <c r="U200" s="12" t="s">
        <v>242</v>
      </c>
      <c r="V200" s="12" t="s">
        <v>317</v>
      </c>
      <c r="W200" s="12">
        <f>SUM(W162:W165)</f>
        <v>0.136112514738083</v>
      </c>
      <c r="X200" s="34" t="s">
        <v>342</v>
      </c>
      <c r="Z200" s="12" t="s">
        <v>244</v>
      </c>
      <c r="AA200" s="12" t="s">
        <v>317</v>
      </c>
      <c r="AB200" s="12">
        <f>SUM(AB162:AB165)</f>
        <v>0.13180496150556</v>
      </c>
      <c r="AC200" s="34" t="s">
        <v>342</v>
      </c>
      <c r="AE200" s="12" t="s">
        <v>246</v>
      </c>
      <c r="AF200" s="12" t="s">
        <v>317</v>
      </c>
      <c r="AG200" s="12">
        <f>SUM(AG162:AG165)</f>
        <v>0.136304932735426</v>
      </c>
      <c r="AH200" s="34" t="s">
        <v>342</v>
      </c>
      <c r="AJ200" s="12" t="s">
        <v>248</v>
      </c>
      <c r="AK200" s="12" t="s">
        <v>317</v>
      </c>
      <c r="AL200" s="12">
        <f>SUM(AL162:AL165)</f>
        <v>0.143100833965125</v>
      </c>
      <c r="AM200" s="34" t="s">
        <v>342</v>
      </c>
      <c r="AO200" s="12" t="s">
        <v>240</v>
      </c>
      <c r="AP200" s="12" t="s">
        <v>317</v>
      </c>
      <c r="AQ200" s="12">
        <f>SUM(AQ162:AQ165)</f>
        <v>0.148405743054261</v>
      </c>
      <c r="AR200" s="34" t="s">
        <v>342</v>
      </c>
      <c r="AT200" s="12" t="s">
        <v>238</v>
      </c>
      <c r="AU200" s="12" t="s">
        <v>317</v>
      </c>
      <c r="AV200" s="12">
        <f>SUM(AV162:AV165)</f>
        <v>0.114356659142212</v>
      </c>
      <c r="AW200" s="34" t="s">
        <v>342</v>
      </c>
      <c r="AY200" s="12" t="s">
        <v>236</v>
      </c>
      <c r="AZ200" s="12" t="s">
        <v>317</v>
      </c>
      <c r="BA200" s="12">
        <f>SUM(BA162:BA165)</f>
        <v>0.134400424478245</v>
      </c>
      <c r="BB200" s="34" t="s">
        <v>342</v>
      </c>
    </row>
    <row r="201" ht="15.5" spans="21:54">
      <c r="U201" s="12" t="s">
        <v>242</v>
      </c>
      <c r="V201" s="12" t="s">
        <v>318</v>
      </c>
      <c r="W201" s="12">
        <v>0</v>
      </c>
      <c r="X201" s="34" t="s">
        <v>342</v>
      </c>
      <c r="Z201" s="12" t="s">
        <v>244</v>
      </c>
      <c r="AA201" s="12" t="s">
        <v>318</v>
      </c>
      <c r="AB201" s="12">
        <v>0</v>
      </c>
      <c r="AC201" s="34" t="s">
        <v>342</v>
      </c>
      <c r="AE201" s="12" t="s">
        <v>246</v>
      </c>
      <c r="AF201" s="12" t="s">
        <v>318</v>
      </c>
      <c r="AG201" s="12">
        <v>0</v>
      </c>
      <c r="AH201" s="34" t="s">
        <v>342</v>
      </c>
      <c r="AJ201" s="12" t="s">
        <v>248</v>
      </c>
      <c r="AK201" s="12" t="s">
        <v>318</v>
      </c>
      <c r="AL201" s="12">
        <v>0</v>
      </c>
      <c r="AM201" s="34" t="s">
        <v>342</v>
      </c>
      <c r="AO201" s="12" t="s">
        <v>240</v>
      </c>
      <c r="AP201" s="12" t="s">
        <v>318</v>
      </c>
      <c r="AQ201" s="12">
        <v>0</v>
      </c>
      <c r="AR201" s="34" t="s">
        <v>342</v>
      </c>
      <c r="AT201" s="12" t="s">
        <v>238</v>
      </c>
      <c r="AU201" s="12" t="s">
        <v>318</v>
      </c>
      <c r="AV201" s="12">
        <v>0</v>
      </c>
      <c r="AW201" s="34" t="s">
        <v>342</v>
      </c>
      <c r="AY201" s="12" t="s">
        <v>236</v>
      </c>
      <c r="AZ201" s="12" t="s">
        <v>318</v>
      </c>
      <c r="BA201" s="12">
        <v>0</v>
      </c>
      <c r="BB201" s="34" t="s">
        <v>342</v>
      </c>
    </row>
    <row r="202" ht="15.5" spans="21:54">
      <c r="U202" s="12" t="s">
        <v>242</v>
      </c>
      <c r="V202" s="12" t="s">
        <v>319</v>
      </c>
      <c r="W202" s="12">
        <v>0</v>
      </c>
      <c r="X202" s="34" t="s">
        <v>342</v>
      </c>
      <c r="Z202" s="12" t="s">
        <v>244</v>
      </c>
      <c r="AA202" s="12" t="s">
        <v>319</v>
      </c>
      <c r="AB202" s="12">
        <v>0</v>
      </c>
      <c r="AC202" s="34" t="s">
        <v>342</v>
      </c>
      <c r="AE202" s="12" t="s">
        <v>246</v>
      </c>
      <c r="AF202" s="12" t="s">
        <v>319</v>
      </c>
      <c r="AG202" s="12">
        <v>0</v>
      </c>
      <c r="AH202" s="34" t="s">
        <v>342</v>
      </c>
      <c r="AJ202" s="12" t="s">
        <v>248</v>
      </c>
      <c r="AK202" s="12" t="s">
        <v>319</v>
      </c>
      <c r="AL202" s="12">
        <v>0</v>
      </c>
      <c r="AM202" s="34" t="s">
        <v>342</v>
      </c>
      <c r="AO202" s="12" t="s">
        <v>240</v>
      </c>
      <c r="AP202" s="12" t="s">
        <v>319</v>
      </c>
      <c r="AQ202" s="12">
        <v>0</v>
      </c>
      <c r="AR202" s="34" t="s">
        <v>342</v>
      </c>
      <c r="AT202" s="12" t="s">
        <v>238</v>
      </c>
      <c r="AU202" s="12" t="s">
        <v>319</v>
      </c>
      <c r="AV202" s="12">
        <v>0</v>
      </c>
      <c r="AW202" s="34" t="s">
        <v>342</v>
      </c>
      <c r="AY202" s="12" t="s">
        <v>236</v>
      </c>
      <c r="AZ202" s="12" t="s">
        <v>319</v>
      </c>
      <c r="BA202" s="12">
        <v>0</v>
      </c>
      <c r="BB202" s="34" t="s">
        <v>342</v>
      </c>
    </row>
    <row r="203" ht="15.5" spans="21:54">
      <c r="U203" s="12" t="s">
        <v>242</v>
      </c>
      <c r="V203" s="12" t="s">
        <v>320</v>
      </c>
      <c r="W203" s="12">
        <v>0</v>
      </c>
      <c r="X203" s="34" t="s">
        <v>342</v>
      </c>
      <c r="Z203" s="12" t="s">
        <v>244</v>
      </c>
      <c r="AA203" s="12" t="s">
        <v>320</v>
      </c>
      <c r="AB203" s="12">
        <v>0</v>
      </c>
      <c r="AC203" s="34" t="s">
        <v>342</v>
      </c>
      <c r="AE203" s="12" t="s">
        <v>246</v>
      </c>
      <c r="AF203" s="12" t="s">
        <v>320</v>
      </c>
      <c r="AG203" s="12">
        <v>0</v>
      </c>
      <c r="AH203" s="34" t="s">
        <v>342</v>
      </c>
      <c r="AJ203" s="12" t="s">
        <v>248</v>
      </c>
      <c r="AK203" s="12" t="s">
        <v>320</v>
      </c>
      <c r="AL203" s="12">
        <v>0</v>
      </c>
      <c r="AM203" s="34" t="s">
        <v>342</v>
      </c>
      <c r="AO203" s="12" t="s">
        <v>240</v>
      </c>
      <c r="AP203" s="12" t="s">
        <v>320</v>
      </c>
      <c r="AQ203" s="12">
        <v>0</v>
      </c>
      <c r="AR203" s="34" t="s">
        <v>342</v>
      </c>
      <c r="AT203" s="12" t="s">
        <v>238</v>
      </c>
      <c r="AU203" s="12" t="s">
        <v>320</v>
      </c>
      <c r="AV203" s="12">
        <v>0</v>
      </c>
      <c r="AW203" s="34" t="s">
        <v>342</v>
      </c>
      <c r="AY203" s="12" t="s">
        <v>236</v>
      </c>
      <c r="AZ203" s="12" t="s">
        <v>320</v>
      </c>
      <c r="BA203" s="12">
        <v>0</v>
      </c>
      <c r="BB203" s="34" t="s">
        <v>342</v>
      </c>
    </row>
    <row r="210" spans="21:54">
      <c r="V210" s="12" t="s">
        <v>316</v>
      </c>
      <c r="AA210" s="12" t="s">
        <v>316</v>
      </c>
      <c r="AF210" s="12" t="s">
        <v>316</v>
      </c>
      <c r="AK210" s="12" t="s">
        <v>316</v>
      </c>
      <c r="AP210" s="12" t="s">
        <v>316</v>
      </c>
      <c r="AU210" s="12" t="s">
        <v>316</v>
      </c>
      <c r="AZ210" s="12" t="s">
        <v>316</v>
      </c>
    </row>
    <row r="211" ht="15.5" spans="21:54">
      <c r="U211" s="12" t="s">
        <v>65</v>
      </c>
      <c r="V211" s="12" t="s">
        <v>111</v>
      </c>
      <c r="W211" s="12" t="s">
        <v>25</v>
      </c>
      <c r="X211" s="34" t="s">
        <v>41</v>
      </c>
      <c r="Z211" s="12" t="s">
        <v>65</v>
      </c>
      <c r="AA211" s="12" t="s">
        <v>111</v>
      </c>
      <c r="AB211" s="12" t="s">
        <v>25</v>
      </c>
      <c r="AC211" s="34" t="s">
        <v>41</v>
      </c>
      <c r="AE211" s="12" t="s">
        <v>65</v>
      </c>
      <c r="AF211" s="12" t="s">
        <v>111</v>
      </c>
      <c r="AG211" s="12" t="s">
        <v>25</v>
      </c>
      <c r="AH211" s="34" t="s">
        <v>41</v>
      </c>
      <c r="AJ211" s="12" t="s">
        <v>65</v>
      </c>
      <c r="AK211" s="12" t="s">
        <v>111</v>
      </c>
      <c r="AL211" s="12" t="s">
        <v>25</v>
      </c>
      <c r="AM211" s="34" t="s">
        <v>41</v>
      </c>
      <c r="AO211" s="12" t="s">
        <v>65</v>
      </c>
      <c r="AP211" s="12" t="s">
        <v>111</v>
      </c>
      <c r="AQ211" s="12" t="s">
        <v>25</v>
      </c>
      <c r="AR211" s="34" t="s">
        <v>41</v>
      </c>
      <c r="AT211" s="12" t="s">
        <v>65</v>
      </c>
      <c r="AU211" s="12" t="s">
        <v>111</v>
      </c>
      <c r="AV211" s="12" t="s">
        <v>25</v>
      </c>
      <c r="AW211" s="34" t="s">
        <v>41</v>
      </c>
      <c r="AY211" s="12" t="s">
        <v>65</v>
      </c>
      <c r="AZ211" s="12" t="s">
        <v>111</v>
      </c>
      <c r="BA211" s="12" t="s">
        <v>25</v>
      </c>
      <c r="BB211" s="34" t="s">
        <v>41</v>
      </c>
    </row>
    <row r="212" ht="15.5" spans="21:54">
      <c r="U212" s="12" t="s">
        <v>255</v>
      </c>
      <c r="V212" s="12" t="s">
        <v>317</v>
      </c>
      <c r="W212" s="12">
        <f>SUM(W174:W177)</f>
        <v>0.147818763685363</v>
      </c>
      <c r="X212" s="34" t="s">
        <v>342</v>
      </c>
      <c r="Z212" s="12" t="s">
        <v>257</v>
      </c>
      <c r="AA212" s="12" t="s">
        <v>317</v>
      </c>
      <c r="AB212" s="12">
        <f>SUM(AB174:AB177)</f>
        <v>0.143182207014542</v>
      </c>
      <c r="AC212" s="34" t="s">
        <v>342</v>
      </c>
      <c r="AE212" s="12" t="s">
        <v>259</v>
      </c>
      <c r="AF212" s="12" t="s">
        <v>317</v>
      </c>
      <c r="AG212" s="12">
        <f>SUM(AG174:AG177)</f>
        <v>0.148430493273543</v>
      </c>
      <c r="AH212" s="34" t="s">
        <v>342</v>
      </c>
      <c r="AJ212" s="12" t="s">
        <v>261</v>
      </c>
      <c r="AK212" s="12" t="s">
        <v>317</v>
      </c>
      <c r="AL212" s="12">
        <f>SUM(AL174:AL177)</f>
        <v>0.15117513267627</v>
      </c>
      <c r="AM212" s="34" t="s">
        <v>342</v>
      </c>
      <c r="AO212" s="12" t="s">
        <v>253</v>
      </c>
      <c r="AP212" s="12" t="s">
        <v>317</v>
      </c>
      <c r="AQ212" s="12">
        <f>SUM(AQ174:AQ177)</f>
        <v>0.156349058362857</v>
      </c>
      <c r="AR212" s="34" t="s">
        <v>342</v>
      </c>
      <c r="AT212" s="12" t="s">
        <v>252</v>
      </c>
      <c r="AU212" s="12" t="s">
        <v>317</v>
      </c>
      <c r="AV212" s="12">
        <f>SUM(AV174:AV177)</f>
        <v>0.124529721595184</v>
      </c>
      <c r="AW212" s="34" t="s">
        <v>342</v>
      </c>
      <c r="AY212" s="12" t="s">
        <v>250</v>
      </c>
      <c r="AZ212" s="12" t="s">
        <v>317</v>
      </c>
      <c r="BA212" s="12">
        <f>SUM(BA174:BA177)</f>
        <v>0.146356561726212</v>
      </c>
      <c r="BB212" s="34" t="s">
        <v>342</v>
      </c>
    </row>
    <row r="213" ht="15.5" spans="21:54">
      <c r="U213" s="12" t="s">
        <v>255</v>
      </c>
      <c r="V213" s="12" t="s">
        <v>318</v>
      </c>
      <c r="W213" s="12">
        <v>0</v>
      </c>
      <c r="X213" s="34" t="s">
        <v>342</v>
      </c>
      <c r="Z213" s="12" t="s">
        <v>257</v>
      </c>
      <c r="AA213" s="12" t="s">
        <v>318</v>
      </c>
      <c r="AB213" s="12">
        <v>0</v>
      </c>
      <c r="AC213" s="34" t="s">
        <v>342</v>
      </c>
      <c r="AE213" s="12" t="s">
        <v>259</v>
      </c>
      <c r="AF213" s="12" t="s">
        <v>318</v>
      </c>
      <c r="AG213" s="12">
        <v>0</v>
      </c>
      <c r="AH213" s="34" t="s">
        <v>342</v>
      </c>
      <c r="AJ213" s="12" t="s">
        <v>261</v>
      </c>
      <c r="AK213" s="12" t="s">
        <v>318</v>
      </c>
      <c r="AL213" s="12">
        <v>0</v>
      </c>
      <c r="AM213" s="34" t="s">
        <v>342</v>
      </c>
      <c r="AO213" s="12" t="s">
        <v>253</v>
      </c>
      <c r="AP213" s="12" t="s">
        <v>318</v>
      </c>
      <c r="AQ213" s="12">
        <v>0</v>
      </c>
      <c r="AR213" s="34" t="s">
        <v>342</v>
      </c>
      <c r="AT213" s="12" t="s">
        <v>252</v>
      </c>
      <c r="AU213" s="12" t="s">
        <v>318</v>
      </c>
      <c r="AV213" s="12">
        <v>0</v>
      </c>
      <c r="AW213" s="34" t="s">
        <v>342</v>
      </c>
      <c r="AY213" s="12" t="s">
        <v>250</v>
      </c>
      <c r="AZ213" s="12" t="s">
        <v>318</v>
      </c>
      <c r="BA213" s="12">
        <v>0</v>
      </c>
      <c r="BB213" s="34" t="s">
        <v>342</v>
      </c>
    </row>
    <row r="214" ht="15.5" spans="21:54">
      <c r="U214" s="12" t="s">
        <v>255</v>
      </c>
      <c r="V214" s="12" t="s">
        <v>319</v>
      </c>
      <c r="W214" s="12">
        <v>0</v>
      </c>
      <c r="X214" s="34" t="s">
        <v>342</v>
      </c>
      <c r="Z214" s="12" t="s">
        <v>257</v>
      </c>
      <c r="AA214" s="12" t="s">
        <v>319</v>
      </c>
      <c r="AB214" s="12">
        <v>0</v>
      </c>
      <c r="AC214" s="34" t="s">
        <v>342</v>
      </c>
      <c r="AE214" s="12" t="s">
        <v>259</v>
      </c>
      <c r="AF214" s="12" t="s">
        <v>319</v>
      </c>
      <c r="AG214" s="12">
        <v>0</v>
      </c>
      <c r="AH214" s="34" t="s">
        <v>342</v>
      </c>
      <c r="AJ214" s="12" t="s">
        <v>261</v>
      </c>
      <c r="AK214" s="12" t="s">
        <v>319</v>
      </c>
      <c r="AL214" s="12">
        <v>0</v>
      </c>
      <c r="AM214" s="34" t="s">
        <v>342</v>
      </c>
      <c r="AO214" s="12" t="s">
        <v>253</v>
      </c>
      <c r="AP214" s="12" t="s">
        <v>319</v>
      </c>
      <c r="AQ214" s="12">
        <v>0</v>
      </c>
      <c r="AR214" s="34" t="s">
        <v>342</v>
      </c>
      <c r="AT214" s="12" t="s">
        <v>252</v>
      </c>
      <c r="AU214" s="12" t="s">
        <v>319</v>
      </c>
      <c r="AV214" s="12">
        <v>0</v>
      </c>
      <c r="AW214" s="34" t="s">
        <v>342</v>
      </c>
      <c r="AY214" s="12" t="s">
        <v>250</v>
      </c>
      <c r="AZ214" s="12" t="s">
        <v>319</v>
      </c>
      <c r="BA214" s="12">
        <v>0</v>
      </c>
      <c r="BB214" s="34" t="s">
        <v>342</v>
      </c>
    </row>
    <row r="215" ht="15.5" spans="21:54">
      <c r="U215" s="12" t="s">
        <v>255</v>
      </c>
      <c r="V215" s="12" t="s">
        <v>320</v>
      </c>
      <c r="W215" s="12">
        <v>0</v>
      </c>
      <c r="X215" s="34" t="s">
        <v>342</v>
      </c>
      <c r="Z215" s="12" t="s">
        <v>257</v>
      </c>
      <c r="AA215" s="12" t="s">
        <v>320</v>
      </c>
      <c r="AB215" s="12">
        <v>0</v>
      </c>
      <c r="AC215" s="34" t="s">
        <v>342</v>
      </c>
      <c r="AE215" s="12" t="s">
        <v>259</v>
      </c>
      <c r="AF215" s="12" t="s">
        <v>320</v>
      </c>
      <c r="AG215" s="12">
        <v>0</v>
      </c>
      <c r="AH215" s="34" t="s">
        <v>342</v>
      </c>
      <c r="AJ215" s="12" t="s">
        <v>261</v>
      </c>
      <c r="AK215" s="12" t="s">
        <v>320</v>
      </c>
      <c r="AL215" s="12">
        <v>0</v>
      </c>
      <c r="AM215" s="34" t="s">
        <v>342</v>
      </c>
      <c r="AO215" s="12" t="s">
        <v>253</v>
      </c>
      <c r="AP215" s="12" t="s">
        <v>320</v>
      </c>
      <c r="AQ215" s="12">
        <v>0</v>
      </c>
      <c r="AR215" s="34" t="s">
        <v>342</v>
      </c>
      <c r="AT215" s="12" t="s">
        <v>252</v>
      </c>
      <c r="AU215" s="12" t="s">
        <v>320</v>
      </c>
      <c r="AV215" s="12">
        <v>0</v>
      </c>
      <c r="AW215" s="34" t="s">
        <v>342</v>
      </c>
      <c r="AY215" s="12" t="s">
        <v>250</v>
      </c>
      <c r="AZ215" s="12" t="s">
        <v>320</v>
      </c>
      <c r="BA215" s="12">
        <v>0</v>
      </c>
      <c r="BB215" s="34" t="s">
        <v>342</v>
      </c>
    </row>
    <row r="221" spans="21:54">
      <c r="V221" s="12" t="s">
        <v>316</v>
      </c>
      <c r="AA221" s="12" t="s">
        <v>316</v>
      </c>
      <c r="AF221" s="12" t="s">
        <v>316</v>
      </c>
      <c r="AK221" s="12" t="s">
        <v>316</v>
      </c>
      <c r="AP221" s="12" t="s">
        <v>316</v>
      </c>
      <c r="AU221" s="12" t="s">
        <v>316</v>
      </c>
      <c r="AZ221" s="12" t="s">
        <v>316</v>
      </c>
    </row>
    <row r="222" ht="15.5" spans="21:54">
      <c r="U222" s="12" t="s">
        <v>65</v>
      </c>
      <c r="V222" s="12" t="s">
        <v>111</v>
      </c>
      <c r="W222" s="12" t="s">
        <v>25</v>
      </c>
      <c r="X222" s="34" t="s">
        <v>41</v>
      </c>
      <c r="Z222" s="12" t="s">
        <v>65</v>
      </c>
      <c r="AA222" s="12" t="s">
        <v>111</v>
      </c>
      <c r="AB222" s="12" t="s">
        <v>25</v>
      </c>
      <c r="AC222" s="34" t="s">
        <v>41</v>
      </c>
      <c r="AE222" s="12" t="s">
        <v>65</v>
      </c>
      <c r="AF222" s="12" t="s">
        <v>111</v>
      </c>
      <c r="AG222" s="12" t="s">
        <v>25</v>
      </c>
      <c r="AH222" s="34" t="s">
        <v>41</v>
      </c>
      <c r="AJ222" s="12" t="s">
        <v>65</v>
      </c>
      <c r="AK222" s="12" t="s">
        <v>111</v>
      </c>
      <c r="AL222" s="12" t="s">
        <v>25</v>
      </c>
      <c r="AM222" s="34" t="s">
        <v>41</v>
      </c>
      <c r="AO222" s="12" t="s">
        <v>65</v>
      </c>
      <c r="AP222" s="12" t="s">
        <v>111</v>
      </c>
      <c r="AQ222" s="12" t="s">
        <v>25</v>
      </c>
      <c r="AR222" s="34" t="s">
        <v>41</v>
      </c>
      <c r="AT222" s="12" t="s">
        <v>65</v>
      </c>
      <c r="AU222" s="12" t="s">
        <v>111</v>
      </c>
      <c r="AV222" s="12" t="s">
        <v>25</v>
      </c>
      <c r="AW222" s="34" t="s">
        <v>41</v>
      </c>
      <c r="AY222" s="12" t="s">
        <v>65</v>
      </c>
      <c r="AZ222" s="12" t="s">
        <v>111</v>
      </c>
      <c r="BA222" s="12" t="s">
        <v>25</v>
      </c>
      <c r="BB222" s="34" t="s">
        <v>41</v>
      </c>
    </row>
    <row r="223" ht="15.5" spans="21:54">
      <c r="U223" s="12" t="s">
        <v>268</v>
      </c>
      <c r="V223" s="12" t="s">
        <v>317</v>
      </c>
      <c r="W223" s="12">
        <f>SUM(W185:W188)</f>
        <v>0.105086744146876</v>
      </c>
      <c r="X223" s="34" t="s">
        <v>342</v>
      </c>
      <c r="Z223" s="12" t="s">
        <v>270</v>
      </c>
      <c r="AA223" s="12" t="s">
        <v>317</v>
      </c>
      <c r="AB223" s="12">
        <f>SUM(AB185:AB188)</f>
        <v>0.103319076133447</v>
      </c>
      <c r="AC223" s="34" t="s">
        <v>342</v>
      </c>
      <c r="AE223" s="12" t="s">
        <v>272</v>
      </c>
      <c r="AF223" s="12" t="s">
        <v>317</v>
      </c>
      <c r="AG223" s="12">
        <f>SUM(AG185:AG188)</f>
        <v>0.107497757847534</v>
      </c>
      <c r="AH223" s="34" t="s">
        <v>342</v>
      </c>
      <c r="AJ223" s="12" t="s">
        <v>273</v>
      </c>
      <c r="AK223" s="12" t="s">
        <v>317</v>
      </c>
      <c r="AL223" s="12">
        <f>SUM(AL185:AL188)</f>
        <v>0.108965125094769</v>
      </c>
      <c r="AM223" s="34" t="s">
        <v>342</v>
      </c>
      <c r="AO223" s="12" t="s">
        <v>267</v>
      </c>
      <c r="AP223" s="12" t="s">
        <v>317</v>
      </c>
      <c r="AQ223" s="12">
        <f>SUM(AQ185:AQ188)</f>
        <v>0.109416371433899</v>
      </c>
      <c r="AR223" s="34" t="s">
        <v>342</v>
      </c>
      <c r="AT223" s="12" t="s">
        <v>265</v>
      </c>
      <c r="AU223" s="12" t="s">
        <v>317</v>
      </c>
      <c r="AV223" s="12">
        <f>SUM(AV185:AV188)</f>
        <v>0.0901881113619263</v>
      </c>
      <c r="AW223" s="34" t="s">
        <v>342</v>
      </c>
      <c r="AY223" s="12" t="s">
        <v>263</v>
      </c>
      <c r="AZ223" s="12" t="s">
        <v>317</v>
      </c>
      <c r="BA223" s="12">
        <f>SUM(BA185:BA188)</f>
        <v>0.105995755217545</v>
      </c>
      <c r="BB223" s="34" t="s">
        <v>342</v>
      </c>
    </row>
    <row r="224" ht="15.5" spans="21:54">
      <c r="U224" s="12" t="s">
        <v>268</v>
      </c>
      <c r="V224" s="12" t="s">
        <v>318</v>
      </c>
      <c r="W224" s="12">
        <v>0</v>
      </c>
      <c r="X224" s="34" t="s">
        <v>342</v>
      </c>
      <c r="Z224" s="12" t="s">
        <v>270</v>
      </c>
      <c r="AA224" s="12" t="s">
        <v>318</v>
      </c>
      <c r="AB224" s="12">
        <v>0</v>
      </c>
      <c r="AC224" s="34" t="s">
        <v>342</v>
      </c>
      <c r="AE224" s="12" t="s">
        <v>272</v>
      </c>
      <c r="AF224" s="12" t="s">
        <v>318</v>
      </c>
      <c r="AG224" s="12">
        <v>0</v>
      </c>
      <c r="AH224" s="34" t="s">
        <v>342</v>
      </c>
      <c r="AJ224" s="12" t="s">
        <v>273</v>
      </c>
      <c r="AK224" s="12" t="s">
        <v>318</v>
      </c>
      <c r="AL224" s="12">
        <v>0</v>
      </c>
      <c r="AM224" s="34" t="s">
        <v>342</v>
      </c>
      <c r="AO224" s="12" t="s">
        <v>267</v>
      </c>
      <c r="AP224" s="12" t="s">
        <v>318</v>
      </c>
      <c r="AQ224" s="12">
        <v>0</v>
      </c>
      <c r="AR224" s="34" t="s">
        <v>342</v>
      </c>
      <c r="AT224" s="12" t="s">
        <v>265</v>
      </c>
      <c r="AU224" s="12" t="s">
        <v>318</v>
      </c>
      <c r="AV224" s="12">
        <v>0</v>
      </c>
      <c r="AW224" s="34" t="s">
        <v>342</v>
      </c>
      <c r="AY224" s="12" t="s">
        <v>263</v>
      </c>
      <c r="AZ224" s="12" t="s">
        <v>318</v>
      </c>
      <c r="BA224" s="12">
        <v>0</v>
      </c>
      <c r="BB224" s="34" t="s">
        <v>342</v>
      </c>
    </row>
    <row r="225" ht="15.5" spans="21:54">
      <c r="U225" s="12" t="s">
        <v>268</v>
      </c>
      <c r="V225" s="12" t="s">
        <v>319</v>
      </c>
      <c r="W225" s="12">
        <v>0</v>
      </c>
      <c r="X225" s="34" t="s">
        <v>342</v>
      </c>
      <c r="Z225" s="12" t="s">
        <v>270</v>
      </c>
      <c r="AA225" s="12" t="s">
        <v>319</v>
      </c>
      <c r="AB225" s="12">
        <v>0</v>
      </c>
      <c r="AC225" s="34" t="s">
        <v>342</v>
      </c>
      <c r="AE225" s="12" t="s">
        <v>272</v>
      </c>
      <c r="AF225" s="12" t="s">
        <v>319</v>
      </c>
      <c r="AG225" s="12">
        <v>0</v>
      </c>
      <c r="AH225" s="34" t="s">
        <v>342</v>
      </c>
      <c r="AJ225" s="12" t="s">
        <v>273</v>
      </c>
      <c r="AK225" s="12" t="s">
        <v>319</v>
      </c>
      <c r="AL225" s="12">
        <v>0</v>
      </c>
      <c r="AM225" s="34" t="s">
        <v>342</v>
      </c>
      <c r="AO225" s="12" t="s">
        <v>267</v>
      </c>
      <c r="AP225" s="12" t="s">
        <v>319</v>
      </c>
      <c r="AQ225" s="12">
        <v>0</v>
      </c>
      <c r="AR225" s="34" t="s">
        <v>342</v>
      </c>
      <c r="AT225" s="12" t="s">
        <v>265</v>
      </c>
      <c r="AU225" s="12" t="s">
        <v>319</v>
      </c>
      <c r="AV225" s="12">
        <v>0</v>
      </c>
      <c r="AW225" s="34" t="s">
        <v>342</v>
      </c>
      <c r="AY225" s="12" t="s">
        <v>263</v>
      </c>
      <c r="AZ225" s="12" t="s">
        <v>319</v>
      </c>
      <c r="BA225" s="12">
        <v>0</v>
      </c>
      <c r="BB225" s="34" t="s">
        <v>342</v>
      </c>
    </row>
    <row r="226" ht="15.5" spans="21:54">
      <c r="U226" s="12" t="s">
        <v>268</v>
      </c>
      <c r="V226" s="12" t="s">
        <v>320</v>
      </c>
      <c r="W226" s="12">
        <v>0</v>
      </c>
      <c r="X226" s="34" t="s">
        <v>342</v>
      </c>
      <c r="Z226" s="12" t="s">
        <v>270</v>
      </c>
      <c r="AA226" s="12" t="s">
        <v>320</v>
      </c>
      <c r="AB226" s="12">
        <v>0</v>
      </c>
      <c r="AC226" s="34" t="s">
        <v>342</v>
      </c>
      <c r="AE226" s="12" t="s">
        <v>272</v>
      </c>
      <c r="AF226" s="12" t="s">
        <v>320</v>
      </c>
      <c r="AG226" s="12">
        <v>0</v>
      </c>
      <c r="AH226" s="34" t="s">
        <v>342</v>
      </c>
      <c r="AJ226" s="12" t="s">
        <v>273</v>
      </c>
      <c r="AK226" s="12" t="s">
        <v>320</v>
      </c>
      <c r="AL226" s="12">
        <v>0</v>
      </c>
      <c r="AM226" s="34" t="s">
        <v>342</v>
      </c>
      <c r="AO226" s="12" t="s">
        <v>267</v>
      </c>
      <c r="AP226" s="12" t="s">
        <v>320</v>
      </c>
      <c r="AQ226" s="12">
        <v>0</v>
      </c>
      <c r="AR226" s="34" t="s">
        <v>342</v>
      </c>
      <c r="AT226" s="12" t="s">
        <v>265</v>
      </c>
      <c r="AU226" s="12" t="s">
        <v>320</v>
      </c>
      <c r="AV226" s="12">
        <v>0</v>
      </c>
      <c r="AW226" s="34" t="s">
        <v>342</v>
      </c>
      <c r="AY226" s="12" t="s">
        <v>263</v>
      </c>
      <c r="AZ226" s="12" t="s">
        <v>320</v>
      </c>
      <c r="BA226" s="12">
        <v>0</v>
      </c>
      <c r="BB226" s="34" t="s">
        <v>342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12"/>
    <col min="2" max="2" width="43.8545454545455" style="12" customWidth="1"/>
    <col min="3" max="20" width="8.71818181818182" style="12"/>
    <col min="21" max="21" width="19.2818181818182" style="12" customWidth="1"/>
    <col min="22" max="22" width="25.5727272727273" style="12" customWidth="1"/>
    <col min="23" max="23" width="19.8545454545455" style="12" customWidth="1"/>
    <col min="24" max="29" width="15.2818181818182" style="12"/>
    <col min="30" max="30" width="8.71818181818182" style="12"/>
    <col min="31" max="31" width="14" style="12"/>
    <col min="32" max="38" width="15.2818181818182" style="12"/>
    <col min="39" max="40" width="14" style="12"/>
    <col min="41" max="47" width="15.2818181818182" style="12"/>
    <col min="48" max="53" width="14" style="12"/>
    <col min="54" max="67" width="8.71818181818182" style="12"/>
    <col min="68" max="16384" width="8.71818181818182" style="13"/>
  </cols>
  <sheetData>
    <row r="1" ht="15.5" spans="1:67">
      <c r="A1" s="14" t="s">
        <v>343</v>
      </c>
      <c r="B1" s="14"/>
      <c r="C1" s="14"/>
      <c r="D1" s="14"/>
      <c r="E1" s="14"/>
      <c r="F1" s="14"/>
      <c r="G1" s="14"/>
      <c r="H1" s="14"/>
      <c r="I1" s="14"/>
      <c r="J1" s="14"/>
      <c r="K1" s="15"/>
      <c r="L1" s="15" t="s">
        <v>344</v>
      </c>
      <c r="M1" s="15"/>
      <c r="N1" s="15"/>
      <c r="O1" s="15"/>
      <c r="P1" s="15"/>
      <c r="Q1" s="15"/>
      <c r="R1" s="15"/>
      <c r="S1" s="15"/>
      <c r="T1" s="15"/>
      <c r="U1" s="15"/>
      <c r="V1" s="15"/>
      <c r="W1" s="15" t="s">
        <v>345</v>
      </c>
      <c r="X1" s="15"/>
      <c r="Y1" s="15"/>
      <c r="Z1" s="15"/>
      <c r="AA1" s="15"/>
      <c r="AB1" s="16" t="s">
        <v>346</v>
      </c>
      <c r="AC1" s="16"/>
      <c r="AD1" s="15"/>
      <c r="AE1" s="15"/>
      <c r="AF1" s="15" t="s">
        <v>347</v>
      </c>
      <c r="AG1" s="15"/>
      <c r="AH1" s="15"/>
      <c r="AI1" s="15"/>
      <c r="AJ1" s="15"/>
      <c r="AK1" s="15"/>
      <c r="AL1" s="15"/>
      <c r="AM1" s="15"/>
      <c r="AN1" s="15"/>
      <c r="AO1" s="15" t="s">
        <v>348</v>
      </c>
      <c r="AP1" s="15"/>
      <c r="AQ1" s="15"/>
      <c r="AR1" s="15"/>
      <c r="AS1" s="15"/>
      <c r="AT1" s="15"/>
      <c r="AU1" s="15"/>
      <c r="AZ1" s="14" t="s">
        <v>343</v>
      </c>
      <c r="BA1" s="14"/>
      <c r="BB1" s="14"/>
      <c r="BC1" s="14"/>
      <c r="BD1" s="14"/>
      <c r="BE1" s="14"/>
      <c r="BF1" s="14"/>
      <c r="BG1" s="14"/>
      <c r="BH1" s="14"/>
      <c r="BI1" s="14"/>
      <c r="BJ1" s="15"/>
      <c r="BK1" s="15"/>
      <c r="BL1" s="15"/>
      <c r="BM1" s="15"/>
      <c r="BN1" s="15"/>
      <c r="BO1" s="15"/>
    </row>
    <row r="2" ht="30" spans="1:67">
      <c r="A2" s="14" t="s">
        <v>322</v>
      </c>
      <c r="B2" s="14" t="s">
        <v>349</v>
      </c>
      <c r="C2" s="14" t="s">
        <v>324</v>
      </c>
      <c r="D2" s="14"/>
      <c r="E2" s="14"/>
      <c r="F2" s="14"/>
      <c r="G2" s="14"/>
      <c r="H2" s="14"/>
      <c r="I2" s="14"/>
      <c r="J2" s="14"/>
      <c r="K2" s="15"/>
      <c r="L2" s="15"/>
      <c r="M2" s="15"/>
      <c r="N2" s="15"/>
      <c r="O2" s="15"/>
      <c r="P2" s="15"/>
      <c r="Q2" s="15"/>
      <c r="R2" s="15"/>
      <c r="S2" s="15"/>
      <c r="T2" s="15"/>
      <c r="U2" s="15"/>
      <c r="V2" s="17" t="s">
        <v>350</v>
      </c>
      <c r="W2" s="15"/>
      <c r="X2" s="15"/>
      <c r="Y2" s="15"/>
      <c r="Z2" s="15"/>
      <c r="AA2" s="15"/>
      <c r="AB2" s="15"/>
      <c r="AC2" s="15"/>
      <c r="AD2" s="15"/>
      <c r="AE2" s="15"/>
      <c r="AF2" s="15"/>
      <c r="AG2" s="15"/>
      <c r="AH2" s="15"/>
      <c r="AI2" s="15"/>
      <c r="AJ2" s="15"/>
      <c r="AK2" s="15"/>
      <c r="AL2" s="15"/>
      <c r="AM2" s="15"/>
      <c r="AN2" s="15"/>
      <c r="AO2" s="15"/>
      <c r="AP2" s="15"/>
      <c r="AQ2" s="15"/>
      <c r="AR2" s="15"/>
      <c r="AS2" s="15"/>
      <c r="AT2" s="15"/>
      <c r="AU2" s="15"/>
      <c r="AZ2" s="14" t="s">
        <v>322</v>
      </c>
      <c r="BA2" s="14" t="s">
        <v>349</v>
      </c>
      <c r="BB2" s="14" t="s">
        <v>324</v>
      </c>
      <c r="BC2" s="14"/>
      <c r="BD2" s="14"/>
      <c r="BE2" s="14"/>
      <c r="BF2" s="14"/>
      <c r="BG2" s="14"/>
      <c r="BH2" s="14"/>
      <c r="BI2" s="14"/>
      <c r="BJ2" s="15"/>
      <c r="BK2" s="15"/>
      <c r="BL2" s="15"/>
      <c r="BM2" s="15"/>
      <c r="BN2" s="15"/>
      <c r="BO2" s="15"/>
    </row>
    <row r="3" ht="30" spans="1:67">
      <c r="A3" s="14"/>
      <c r="B3" s="14"/>
      <c r="C3" s="18" t="s">
        <v>325</v>
      </c>
      <c r="D3" s="15" t="s">
        <v>326</v>
      </c>
      <c r="E3" s="15" t="s">
        <v>327</v>
      </c>
      <c r="F3" s="19" t="s">
        <v>328</v>
      </c>
      <c r="G3" s="15" t="s">
        <v>329</v>
      </c>
      <c r="H3" s="15" t="s">
        <v>330</v>
      </c>
      <c r="I3" s="15" t="s">
        <v>331</v>
      </c>
      <c r="J3" s="15" t="s">
        <v>332</v>
      </c>
      <c r="K3" s="15"/>
      <c r="L3" s="20" t="s">
        <v>325</v>
      </c>
      <c r="M3" s="15" t="s">
        <v>326</v>
      </c>
      <c r="N3" s="15" t="s">
        <v>327</v>
      </c>
      <c r="O3" s="15" t="s">
        <v>328</v>
      </c>
      <c r="P3" s="15" t="s">
        <v>329</v>
      </c>
      <c r="Q3" s="15" t="s">
        <v>330</v>
      </c>
      <c r="R3" s="15" t="s">
        <v>331</v>
      </c>
      <c r="S3" s="15" t="s">
        <v>332</v>
      </c>
      <c r="T3" s="15"/>
      <c r="U3" s="15"/>
      <c r="V3" s="17" t="s">
        <v>351</v>
      </c>
      <c r="W3" s="15" t="s">
        <v>326</v>
      </c>
      <c r="X3" s="15" t="s">
        <v>327</v>
      </c>
      <c r="Y3" s="19" t="s">
        <v>328</v>
      </c>
      <c r="Z3" s="15" t="s">
        <v>329</v>
      </c>
      <c r="AA3" s="15" t="s">
        <v>330</v>
      </c>
      <c r="AB3" s="21" t="s">
        <v>331</v>
      </c>
      <c r="AC3" s="21" t="s">
        <v>332</v>
      </c>
      <c r="AD3" s="15"/>
      <c r="AE3" s="15"/>
      <c r="AF3" s="15" t="s">
        <v>326</v>
      </c>
      <c r="AG3" s="15" t="s">
        <v>327</v>
      </c>
      <c r="AH3" s="19" t="s">
        <v>328</v>
      </c>
      <c r="AI3" s="15" t="s">
        <v>329</v>
      </c>
      <c r="AJ3" s="15" t="s">
        <v>330</v>
      </c>
      <c r="AK3" s="21" t="s">
        <v>331</v>
      </c>
      <c r="AL3" s="21" t="s">
        <v>332</v>
      </c>
      <c r="AM3" s="15"/>
      <c r="AN3" s="15"/>
      <c r="AO3" s="15" t="s">
        <v>326</v>
      </c>
      <c r="AP3" s="15" t="s">
        <v>327</v>
      </c>
      <c r="AQ3" s="19" t="s">
        <v>328</v>
      </c>
      <c r="AR3" s="15" t="s">
        <v>329</v>
      </c>
      <c r="AS3" s="15" t="s">
        <v>330</v>
      </c>
      <c r="AT3" s="21" t="s">
        <v>331</v>
      </c>
      <c r="AU3" s="21" t="s">
        <v>332</v>
      </c>
      <c r="AZ3" s="14"/>
      <c r="BA3" s="14"/>
      <c r="BB3" s="18" t="s">
        <v>325</v>
      </c>
      <c r="BC3" s="15" t="s">
        <v>326</v>
      </c>
      <c r="BD3" s="15" t="s">
        <v>327</v>
      </c>
      <c r="BE3" s="19" t="s">
        <v>328</v>
      </c>
      <c r="BF3" s="15" t="s">
        <v>329</v>
      </c>
      <c r="BG3" s="15" t="s">
        <v>330</v>
      </c>
      <c r="BH3" s="15" t="s">
        <v>331</v>
      </c>
      <c r="BI3" s="15" t="s">
        <v>332</v>
      </c>
      <c r="BJ3" s="15"/>
      <c r="BK3" s="20"/>
      <c r="BL3" s="15"/>
      <c r="BM3" s="15"/>
      <c r="BN3" s="15"/>
      <c r="BO3" s="15"/>
    </row>
    <row r="4" ht="15.5" spans="1:67">
      <c r="A4" s="14" t="s">
        <v>333</v>
      </c>
      <c r="B4" s="22" t="s">
        <v>334</v>
      </c>
      <c r="C4" s="23">
        <f t="shared" ref="C4:J4" si="0">BB4/1000</f>
        <v>0.8374</v>
      </c>
      <c r="D4" s="23">
        <f t="shared" si="0"/>
        <v>0.8081</v>
      </c>
      <c r="E4" s="23">
        <f t="shared" si="0"/>
        <v>0.7705</v>
      </c>
      <c r="F4" s="23">
        <f t="shared" si="0"/>
        <v>0.76</v>
      </c>
      <c r="G4" s="23">
        <f t="shared" si="0"/>
        <v>0.7551</v>
      </c>
      <c r="H4" s="23">
        <f t="shared" si="0"/>
        <v>0.796</v>
      </c>
      <c r="I4" s="23">
        <f t="shared" si="0"/>
        <v>0.76</v>
      </c>
      <c r="J4" s="23">
        <f t="shared" si="0"/>
        <v>0.76</v>
      </c>
      <c r="K4" s="15"/>
      <c r="L4" s="20"/>
      <c r="M4" s="24">
        <v>5.937</v>
      </c>
      <c r="N4" s="24">
        <v>5.845</v>
      </c>
      <c r="O4" s="24">
        <v>5.575</v>
      </c>
      <c r="P4" s="24">
        <v>5.276</v>
      </c>
      <c r="Q4" s="24">
        <v>5.363</v>
      </c>
      <c r="R4" s="24">
        <v>6.645</v>
      </c>
      <c r="S4" s="24">
        <v>5.654</v>
      </c>
      <c r="T4" s="24"/>
      <c r="U4" s="14" t="s">
        <v>333</v>
      </c>
      <c r="V4" s="22" t="s">
        <v>334</v>
      </c>
      <c r="W4" s="25">
        <f t="shared" ref="W4:AC4" si="1">D4/M4</f>
        <v>0.136112514738083</v>
      </c>
      <c r="X4" s="25">
        <f t="shared" si="1"/>
        <v>0.131822070145423</v>
      </c>
      <c r="Y4" s="25">
        <f t="shared" si="1"/>
        <v>0.136322869955157</v>
      </c>
      <c r="Z4" s="25">
        <f t="shared" si="1"/>
        <v>0.143119787717968</v>
      </c>
      <c r="AA4" s="25">
        <f t="shared" si="1"/>
        <v>0.148424389334328</v>
      </c>
      <c r="AB4" s="26">
        <f t="shared" si="1"/>
        <v>0.114371708051166</v>
      </c>
      <c r="AC4" s="26">
        <f t="shared" si="1"/>
        <v>0.134418111071808</v>
      </c>
      <c r="AD4" s="15"/>
      <c r="AE4" s="15"/>
      <c r="AF4" s="25">
        <f t="shared" ref="AF4:AF12" si="2">W4</f>
        <v>0.136112514738083</v>
      </c>
      <c r="AG4" s="25">
        <f t="shared" ref="AG4:AG12" si="3">X4</f>
        <v>0.131822070145423</v>
      </c>
      <c r="AH4" s="25">
        <f t="shared" ref="AH4:AH12" si="4">Y4</f>
        <v>0.136322869955157</v>
      </c>
      <c r="AI4" s="25">
        <f t="shared" ref="AI4:AI12" si="5">Z4</f>
        <v>0.143119787717968</v>
      </c>
      <c r="AJ4" s="25">
        <f t="shared" ref="AJ4:AJ12" si="6">AA4</f>
        <v>0.148424389334328</v>
      </c>
      <c r="AK4" s="27">
        <f t="shared" ref="AK4:AK12" si="7">AB4*1.15</f>
        <v>0.131527464258841</v>
      </c>
      <c r="AL4" s="27">
        <f t="shared" ref="AL4:AL12" si="8">AC4*1.15</f>
        <v>0.154580827732579</v>
      </c>
      <c r="AM4" s="15"/>
      <c r="AN4" s="15"/>
      <c r="AO4" s="25">
        <f t="shared" ref="AO4:AO12" si="9">W4</f>
        <v>0.136112514738083</v>
      </c>
      <c r="AP4" s="25">
        <f t="shared" ref="AP4:AP12" si="10">X4</f>
        <v>0.131822070145423</v>
      </c>
      <c r="AQ4" s="25">
        <f t="shared" ref="AQ4:AQ12" si="11">Y4</f>
        <v>0.136322869955157</v>
      </c>
      <c r="AR4" s="25">
        <f t="shared" ref="AR4:AR12" si="12">Z4</f>
        <v>0.143119787717968</v>
      </c>
      <c r="AS4" s="25">
        <f t="shared" ref="AS4:AS12" si="13">AA4</f>
        <v>0.148424389334328</v>
      </c>
      <c r="AT4" s="27">
        <f t="shared" ref="AT4:AT12" si="14">AB4*0.85</f>
        <v>0.0972159518434914</v>
      </c>
      <c r="AU4" s="27">
        <f t="shared" ref="AU4:AU12" si="15">AC4*0.85</f>
        <v>0.114255394411036</v>
      </c>
      <c r="AZ4" s="14" t="s">
        <v>333</v>
      </c>
      <c r="BA4" s="22" t="s">
        <v>334</v>
      </c>
      <c r="BB4" s="23">
        <v>837.4</v>
      </c>
      <c r="BC4" s="25">
        <v>808.1</v>
      </c>
      <c r="BD4" s="25">
        <v>770.5</v>
      </c>
      <c r="BE4" s="25">
        <v>760</v>
      </c>
      <c r="BF4" s="25">
        <v>755.1</v>
      </c>
      <c r="BG4" s="25">
        <v>796</v>
      </c>
      <c r="BH4" s="25">
        <v>760</v>
      </c>
      <c r="BI4" s="25">
        <v>760</v>
      </c>
      <c r="BJ4" s="15"/>
      <c r="BK4" s="20"/>
      <c r="BL4" s="24"/>
      <c r="BM4" s="24"/>
      <c r="BN4" s="24"/>
      <c r="BO4" s="24"/>
    </row>
    <row r="5" ht="15.5" spans="1:67">
      <c r="A5" s="14"/>
      <c r="B5" s="22" t="s">
        <v>335</v>
      </c>
      <c r="C5" s="23">
        <f t="shared" ref="C5:J5" si="16">BB5/1000</f>
        <v>0.7701</v>
      </c>
      <c r="D5" s="23">
        <f t="shared" si="16"/>
        <v>0.7457</v>
      </c>
      <c r="E5" s="23">
        <f t="shared" si="16"/>
        <v>0.7115</v>
      </c>
      <c r="F5" s="23">
        <f t="shared" si="16"/>
        <v>0.7021</v>
      </c>
      <c r="G5" s="23">
        <f t="shared" si="16"/>
        <v>0.6948</v>
      </c>
      <c r="H5" s="23">
        <f t="shared" si="16"/>
        <v>0.7338</v>
      </c>
      <c r="I5" s="23">
        <f t="shared" si="16"/>
        <v>0.7021</v>
      </c>
      <c r="J5" s="23">
        <f t="shared" si="16"/>
        <v>0.7021</v>
      </c>
      <c r="K5" s="15"/>
      <c r="L5" s="15"/>
      <c r="M5" s="28">
        <v>5.937</v>
      </c>
      <c r="N5" s="28">
        <v>5.845</v>
      </c>
      <c r="O5" s="28">
        <v>5.575</v>
      </c>
      <c r="P5" s="28">
        <v>5.276</v>
      </c>
      <c r="Q5" s="28">
        <v>5.363</v>
      </c>
      <c r="R5" s="28">
        <v>6.645</v>
      </c>
      <c r="S5" s="28">
        <v>5.654</v>
      </c>
      <c r="T5" s="28"/>
      <c r="U5" s="14"/>
      <c r="V5" s="22" t="s">
        <v>335</v>
      </c>
      <c r="W5" s="25">
        <f t="shared" ref="W5:AC5" si="17">D5/M5</f>
        <v>0.125602155971029</v>
      </c>
      <c r="X5" s="25">
        <f t="shared" si="17"/>
        <v>0.121727972626176</v>
      </c>
      <c r="Y5" s="25">
        <f t="shared" si="17"/>
        <v>0.125937219730942</v>
      </c>
      <c r="Z5" s="25">
        <f t="shared" si="17"/>
        <v>0.131690674753601</v>
      </c>
      <c r="AA5" s="25">
        <f t="shared" si="17"/>
        <v>0.136826403132575</v>
      </c>
      <c r="AB5" s="26">
        <f t="shared" si="17"/>
        <v>0.105658389766742</v>
      </c>
      <c r="AC5" s="26">
        <f t="shared" si="17"/>
        <v>0.124177573399363</v>
      </c>
      <c r="AD5" s="15"/>
      <c r="AE5" s="15"/>
      <c r="AF5" s="25">
        <f t="shared" si="2"/>
        <v>0.125602155971029</v>
      </c>
      <c r="AG5" s="25">
        <f t="shared" si="3"/>
        <v>0.121727972626176</v>
      </c>
      <c r="AH5" s="25">
        <f t="shared" si="4"/>
        <v>0.125937219730942</v>
      </c>
      <c r="AI5" s="25">
        <f t="shared" si="5"/>
        <v>0.131690674753601</v>
      </c>
      <c r="AJ5" s="25">
        <f t="shared" si="6"/>
        <v>0.136826403132575</v>
      </c>
      <c r="AK5" s="27">
        <f t="shared" si="7"/>
        <v>0.121507148231753</v>
      </c>
      <c r="AL5" s="27">
        <f t="shared" si="8"/>
        <v>0.142804209409268</v>
      </c>
      <c r="AM5" s="15"/>
      <c r="AN5" s="15"/>
      <c r="AO5" s="25">
        <f t="shared" si="9"/>
        <v>0.125602155971029</v>
      </c>
      <c r="AP5" s="25">
        <f t="shared" si="10"/>
        <v>0.121727972626176</v>
      </c>
      <c r="AQ5" s="25">
        <f t="shared" si="11"/>
        <v>0.125937219730942</v>
      </c>
      <c r="AR5" s="25">
        <f t="shared" si="12"/>
        <v>0.131690674753601</v>
      </c>
      <c r="AS5" s="25">
        <f t="shared" si="13"/>
        <v>0.136826403132575</v>
      </c>
      <c r="AT5" s="27">
        <f t="shared" si="14"/>
        <v>0.0898096313017306</v>
      </c>
      <c r="AU5" s="27">
        <f t="shared" si="15"/>
        <v>0.105550937389459</v>
      </c>
      <c r="AZ5" s="14"/>
      <c r="BA5" s="22" t="s">
        <v>335</v>
      </c>
      <c r="BB5" s="23">
        <v>770.1</v>
      </c>
      <c r="BC5" s="25">
        <v>745.7</v>
      </c>
      <c r="BD5" s="25">
        <v>711.5</v>
      </c>
      <c r="BE5" s="25">
        <v>702.1</v>
      </c>
      <c r="BF5" s="25">
        <v>694.8</v>
      </c>
      <c r="BG5" s="25">
        <v>733.8</v>
      </c>
      <c r="BH5" s="25">
        <v>702.1</v>
      </c>
      <c r="BI5" s="25">
        <v>702.1</v>
      </c>
      <c r="BJ5" s="15"/>
      <c r="BK5" s="15"/>
      <c r="BL5" s="28"/>
      <c r="BM5" s="28"/>
      <c r="BN5" s="28"/>
      <c r="BO5" s="28"/>
    </row>
    <row r="6" ht="15.5" spans="1:67">
      <c r="A6" s="14"/>
      <c r="B6" s="22" t="s">
        <v>336</v>
      </c>
      <c r="C6" s="23">
        <f t="shared" ref="C6:J6" si="18">BB6/1000</f>
        <v>0.1986</v>
      </c>
      <c r="D6" s="23">
        <f t="shared" si="18"/>
        <v>0.1717</v>
      </c>
      <c r="E6" s="23">
        <f t="shared" si="18"/>
        <v>0.1611</v>
      </c>
      <c r="F6" s="23">
        <f t="shared" si="18"/>
        <v>0.1579</v>
      </c>
      <c r="G6" s="23">
        <f t="shared" si="18"/>
        <v>0.1521</v>
      </c>
      <c r="H6" s="23">
        <f t="shared" si="18"/>
        <v>0.1588</v>
      </c>
      <c r="I6" s="23">
        <f t="shared" si="18"/>
        <v>0.1579</v>
      </c>
      <c r="J6" s="23">
        <f t="shared" si="18"/>
        <v>0.1579</v>
      </c>
      <c r="K6" s="15"/>
      <c r="L6" s="15"/>
      <c r="M6" s="28">
        <v>5.937</v>
      </c>
      <c r="N6" s="28">
        <v>5.845</v>
      </c>
      <c r="O6" s="28">
        <v>5.575</v>
      </c>
      <c r="P6" s="28">
        <v>5.276</v>
      </c>
      <c r="Q6" s="28">
        <v>5.363</v>
      </c>
      <c r="R6" s="28">
        <v>6.645</v>
      </c>
      <c r="S6" s="28">
        <v>5.654</v>
      </c>
      <c r="T6" s="28"/>
      <c r="U6" s="14"/>
      <c r="V6" s="22" t="s">
        <v>336</v>
      </c>
      <c r="W6" s="25">
        <f t="shared" ref="W6:AC6" si="19">D6/M6</f>
        <v>0.0289203301330638</v>
      </c>
      <c r="X6" s="25">
        <f t="shared" si="19"/>
        <v>0.0275620188195039</v>
      </c>
      <c r="Y6" s="25">
        <f t="shared" si="19"/>
        <v>0.028322869955157</v>
      </c>
      <c r="Z6" s="25">
        <f t="shared" si="19"/>
        <v>0.0288286580742987</v>
      </c>
      <c r="AA6" s="25">
        <f t="shared" si="19"/>
        <v>0.0296102927465971</v>
      </c>
      <c r="AB6" s="26">
        <f t="shared" si="19"/>
        <v>0.0237622272385252</v>
      </c>
      <c r="AC6" s="26">
        <f t="shared" si="19"/>
        <v>0.0279271312345242</v>
      </c>
      <c r="AD6" s="15"/>
      <c r="AE6" s="15"/>
      <c r="AF6" s="25">
        <f t="shared" si="2"/>
        <v>0.0289203301330638</v>
      </c>
      <c r="AG6" s="25">
        <f t="shared" si="3"/>
        <v>0.0275620188195039</v>
      </c>
      <c r="AH6" s="25">
        <f t="shared" si="4"/>
        <v>0.028322869955157</v>
      </c>
      <c r="AI6" s="25">
        <f t="shared" si="5"/>
        <v>0.0288286580742987</v>
      </c>
      <c r="AJ6" s="25">
        <f t="shared" si="6"/>
        <v>0.0296102927465971</v>
      </c>
      <c r="AK6" s="27">
        <f t="shared" si="7"/>
        <v>0.027326561324304</v>
      </c>
      <c r="AL6" s="27">
        <f t="shared" si="8"/>
        <v>0.0321162009197029</v>
      </c>
      <c r="AM6" s="15"/>
      <c r="AN6" s="15"/>
      <c r="AO6" s="25">
        <f t="shared" si="9"/>
        <v>0.0289203301330638</v>
      </c>
      <c r="AP6" s="25">
        <f t="shared" si="10"/>
        <v>0.0275620188195039</v>
      </c>
      <c r="AQ6" s="25">
        <f t="shared" si="11"/>
        <v>0.028322869955157</v>
      </c>
      <c r="AR6" s="25">
        <f t="shared" si="12"/>
        <v>0.0288286580742987</v>
      </c>
      <c r="AS6" s="25">
        <f t="shared" si="13"/>
        <v>0.0296102927465971</v>
      </c>
      <c r="AT6" s="27">
        <f t="shared" si="14"/>
        <v>0.0201978931527464</v>
      </c>
      <c r="AU6" s="27">
        <f t="shared" si="15"/>
        <v>0.0237380615493456</v>
      </c>
      <c r="AZ6" s="14"/>
      <c r="BA6" s="22" t="s">
        <v>336</v>
      </c>
      <c r="BB6" s="23">
        <v>198.6</v>
      </c>
      <c r="BC6" s="25">
        <v>171.7</v>
      </c>
      <c r="BD6" s="25">
        <v>161.1</v>
      </c>
      <c r="BE6" s="25">
        <v>157.9</v>
      </c>
      <c r="BF6" s="25">
        <v>152.1</v>
      </c>
      <c r="BG6" s="25">
        <v>158.8</v>
      </c>
      <c r="BH6" s="25">
        <v>157.9</v>
      </c>
      <c r="BI6" s="25">
        <v>157.9</v>
      </c>
      <c r="BJ6" s="15"/>
      <c r="BK6" s="15"/>
      <c r="BL6" s="28"/>
      <c r="BM6" s="28"/>
      <c r="BN6" s="28"/>
      <c r="BO6" s="28"/>
    </row>
    <row r="7" ht="15.5" spans="1:67">
      <c r="A7" s="14"/>
      <c r="B7" s="22" t="s">
        <v>337</v>
      </c>
      <c r="C7" s="23">
        <f t="shared" ref="C7:J7" si="20">BB7/1000</f>
        <v>0.487</v>
      </c>
      <c r="D7" s="23">
        <f t="shared" si="20"/>
        <v>0.4967</v>
      </c>
      <c r="E7" s="23">
        <f t="shared" si="20"/>
        <v>0.4758</v>
      </c>
      <c r="F7" s="23">
        <f t="shared" si="20"/>
        <v>0.4705</v>
      </c>
      <c r="G7" s="23">
        <f t="shared" si="20"/>
        <v>0.4665</v>
      </c>
      <c r="H7" s="23">
        <f t="shared" si="20"/>
        <v>0.496</v>
      </c>
      <c r="I7" s="23">
        <f t="shared" si="20"/>
        <v>0.4705</v>
      </c>
      <c r="J7" s="23">
        <f t="shared" si="20"/>
        <v>0.4705</v>
      </c>
      <c r="K7" s="15"/>
      <c r="L7" s="15"/>
      <c r="M7" s="28">
        <v>5.937</v>
      </c>
      <c r="N7" s="28">
        <v>5.845</v>
      </c>
      <c r="O7" s="28">
        <v>5.575</v>
      </c>
      <c r="P7" s="28">
        <v>5.276</v>
      </c>
      <c r="Q7" s="28">
        <v>5.363</v>
      </c>
      <c r="R7" s="28">
        <v>6.645</v>
      </c>
      <c r="S7" s="28">
        <v>5.654</v>
      </c>
      <c r="T7" s="28"/>
      <c r="U7" s="14"/>
      <c r="V7" s="22" t="s">
        <v>337</v>
      </c>
      <c r="W7" s="25">
        <f t="shared" ref="W7:AC7" si="21">D7/M7</f>
        <v>0.0836617820448038</v>
      </c>
      <c r="X7" s="25">
        <f t="shared" si="21"/>
        <v>0.0814029084687767</v>
      </c>
      <c r="Y7" s="25">
        <f t="shared" si="21"/>
        <v>0.0843946188340807</v>
      </c>
      <c r="Z7" s="25">
        <f t="shared" si="21"/>
        <v>0.0884192570128886</v>
      </c>
      <c r="AA7" s="25">
        <f t="shared" si="21"/>
        <v>0.092485549132948</v>
      </c>
      <c r="AB7" s="26">
        <f t="shared" si="21"/>
        <v>0.0708051166290444</v>
      </c>
      <c r="AC7" s="26">
        <f t="shared" si="21"/>
        <v>0.0832154227095861</v>
      </c>
      <c r="AD7" s="15"/>
      <c r="AE7" s="15"/>
      <c r="AF7" s="25">
        <f t="shared" si="2"/>
        <v>0.0836617820448038</v>
      </c>
      <c r="AG7" s="25">
        <f t="shared" si="3"/>
        <v>0.0814029084687767</v>
      </c>
      <c r="AH7" s="25">
        <f t="shared" si="4"/>
        <v>0.0843946188340807</v>
      </c>
      <c r="AI7" s="25">
        <f t="shared" si="5"/>
        <v>0.0884192570128886</v>
      </c>
      <c r="AJ7" s="25">
        <f t="shared" si="6"/>
        <v>0.092485549132948</v>
      </c>
      <c r="AK7" s="27">
        <f t="shared" si="7"/>
        <v>0.0814258841234011</v>
      </c>
      <c r="AL7" s="27">
        <f t="shared" si="8"/>
        <v>0.0956977361160241</v>
      </c>
      <c r="AM7" s="15"/>
      <c r="AN7" s="15"/>
      <c r="AO7" s="25">
        <f t="shared" si="9"/>
        <v>0.0836617820448038</v>
      </c>
      <c r="AP7" s="25">
        <f t="shared" si="10"/>
        <v>0.0814029084687767</v>
      </c>
      <c r="AQ7" s="25">
        <f t="shared" si="11"/>
        <v>0.0843946188340807</v>
      </c>
      <c r="AR7" s="25">
        <f t="shared" si="12"/>
        <v>0.0884192570128886</v>
      </c>
      <c r="AS7" s="25">
        <f t="shared" si="13"/>
        <v>0.092485549132948</v>
      </c>
      <c r="AT7" s="27">
        <f t="shared" si="14"/>
        <v>0.0601843491346877</v>
      </c>
      <c r="AU7" s="27">
        <f t="shared" si="15"/>
        <v>0.0707331093031482</v>
      </c>
      <c r="AZ7" s="14"/>
      <c r="BA7" s="22" t="s">
        <v>337</v>
      </c>
      <c r="BB7" s="23">
        <v>487</v>
      </c>
      <c r="BC7" s="25">
        <v>496.7</v>
      </c>
      <c r="BD7" s="25">
        <v>475.8</v>
      </c>
      <c r="BE7" s="25">
        <v>470.5</v>
      </c>
      <c r="BF7" s="25">
        <v>466.5</v>
      </c>
      <c r="BG7" s="25">
        <v>496</v>
      </c>
      <c r="BH7" s="25">
        <v>470.5</v>
      </c>
      <c r="BI7" s="25">
        <v>470.5</v>
      </c>
      <c r="BJ7" s="15"/>
      <c r="BK7" s="15"/>
      <c r="BL7" s="28"/>
      <c r="BM7" s="28"/>
      <c r="BN7" s="28"/>
      <c r="BO7" s="28"/>
    </row>
    <row r="8" ht="15.5" spans="1:67">
      <c r="A8" s="14"/>
      <c r="B8" s="22" t="s">
        <v>338</v>
      </c>
      <c r="C8" s="23">
        <f t="shared" ref="C8:J8" si="22">BB8/1000</f>
        <v>0.0845</v>
      </c>
      <c r="D8" s="23">
        <f t="shared" si="22"/>
        <v>0.0773</v>
      </c>
      <c r="E8" s="23">
        <f t="shared" si="22"/>
        <v>0.0745</v>
      </c>
      <c r="F8" s="23">
        <f t="shared" si="22"/>
        <v>0.0736</v>
      </c>
      <c r="G8" s="23">
        <f t="shared" si="22"/>
        <v>0.0761</v>
      </c>
      <c r="H8" s="23">
        <f t="shared" si="22"/>
        <v>0.0789</v>
      </c>
      <c r="I8" s="23">
        <f t="shared" si="22"/>
        <v>0.0736</v>
      </c>
      <c r="J8" s="23">
        <f t="shared" si="22"/>
        <v>0.0736</v>
      </c>
      <c r="K8" s="15"/>
      <c r="L8" s="15"/>
      <c r="M8" s="28">
        <v>5.937</v>
      </c>
      <c r="N8" s="28">
        <v>5.845</v>
      </c>
      <c r="O8" s="28">
        <v>5.575</v>
      </c>
      <c r="P8" s="28">
        <v>5.276</v>
      </c>
      <c r="Q8" s="28">
        <v>5.363</v>
      </c>
      <c r="R8" s="28">
        <v>6.645</v>
      </c>
      <c r="S8" s="28">
        <v>5.654</v>
      </c>
      <c r="T8" s="28"/>
      <c r="U8" s="14"/>
      <c r="V8" s="22" t="s">
        <v>338</v>
      </c>
      <c r="W8" s="25">
        <f t="shared" ref="W8:AC8" si="23">D8/M8</f>
        <v>0.0130200437931615</v>
      </c>
      <c r="X8" s="25">
        <f t="shared" si="23"/>
        <v>0.0127459366980325</v>
      </c>
      <c r="Y8" s="25">
        <f t="shared" si="23"/>
        <v>0.0132017937219731</v>
      </c>
      <c r="Z8" s="25">
        <f t="shared" si="23"/>
        <v>0.0144238059135709</v>
      </c>
      <c r="AA8" s="25">
        <f t="shared" si="23"/>
        <v>0.0147119149729629</v>
      </c>
      <c r="AB8" s="26">
        <f t="shared" si="23"/>
        <v>0.0110759969902182</v>
      </c>
      <c r="AC8" s="26">
        <f t="shared" si="23"/>
        <v>0.0130173328616908</v>
      </c>
      <c r="AD8" s="15"/>
      <c r="AE8" s="15"/>
      <c r="AF8" s="25">
        <f t="shared" si="2"/>
        <v>0.0130200437931615</v>
      </c>
      <c r="AG8" s="25">
        <f t="shared" si="3"/>
        <v>0.0127459366980325</v>
      </c>
      <c r="AH8" s="25">
        <f t="shared" si="4"/>
        <v>0.0132017937219731</v>
      </c>
      <c r="AI8" s="25">
        <f t="shared" si="5"/>
        <v>0.0144238059135709</v>
      </c>
      <c r="AJ8" s="25">
        <f t="shared" si="6"/>
        <v>0.0147119149729629</v>
      </c>
      <c r="AK8" s="27">
        <f t="shared" si="7"/>
        <v>0.0127373965387509</v>
      </c>
      <c r="AL8" s="27">
        <f t="shared" si="8"/>
        <v>0.0149699327909445</v>
      </c>
      <c r="AM8" s="15"/>
      <c r="AN8" s="15"/>
      <c r="AO8" s="25">
        <f t="shared" si="9"/>
        <v>0.0130200437931615</v>
      </c>
      <c r="AP8" s="25">
        <f t="shared" si="10"/>
        <v>0.0127459366980325</v>
      </c>
      <c r="AQ8" s="25">
        <f t="shared" si="11"/>
        <v>0.0132017937219731</v>
      </c>
      <c r="AR8" s="25">
        <f t="shared" si="12"/>
        <v>0.0144238059135709</v>
      </c>
      <c r="AS8" s="25">
        <f t="shared" si="13"/>
        <v>0.0147119149729629</v>
      </c>
      <c r="AT8" s="27">
        <f t="shared" si="14"/>
        <v>0.00941459744168548</v>
      </c>
      <c r="AU8" s="27">
        <f t="shared" si="15"/>
        <v>0.0110647329324372</v>
      </c>
      <c r="AZ8" s="14"/>
      <c r="BA8" s="22" t="s">
        <v>338</v>
      </c>
      <c r="BB8" s="23">
        <v>84.5</v>
      </c>
      <c r="BC8" s="25">
        <v>77.3</v>
      </c>
      <c r="BD8" s="25">
        <v>74.5</v>
      </c>
      <c r="BE8" s="25">
        <v>73.6</v>
      </c>
      <c r="BF8" s="25">
        <v>76.1</v>
      </c>
      <c r="BG8" s="25">
        <v>78.9</v>
      </c>
      <c r="BH8" s="25">
        <v>73.6</v>
      </c>
      <c r="BI8" s="25">
        <v>73.6</v>
      </c>
      <c r="BJ8" s="15"/>
      <c r="BK8" s="15"/>
      <c r="BL8" s="28"/>
      <c r="BM8" s="28"/>
      <c r="BN8" s="28"/>
      <c r="BO8" s="28"/>
    </row>
    <row r="9" ht="15.5" spans="1:67">
      <c r="A9" s="14" t="s">
        <v>339</v>
      </c>
      <c r="B9" s="22" t="s">
        <v>334</v>
      </c>
      <c r="C9" s="23">
        <f t="shared" ref="C9:J9" si="24">BB9/1000</f>
        <v>0.855</v>
      </c>
      <c r="D9" s="23">
        <f t="shared" si="24"/>
        <v>0.8241</v>
      </c>
      <c r="E9" s="23">
        <f t="shared" si="24"/>
        <v>0.7857</v>
      </c>
      <c r="F9" s="23">
        <f t="shared" si="24"/>
        <v>0.775</v>
      </c>
      <c r="G9" s="23">
        <f t="shared" si="24"/>
        <v>0.7702</v>
      </c>
      <c r="H9" s="23">
        <f t="shared" si="24"/>
        <v>0.8116</v>
      </c>
      <c r="I9" s="23">
        <f t="shared" si="24"/>
        <v>0.775</v>
      </c>
      <c r="J9" s="23">
        <f t="shared" si="24"/>
        <v>0.775</v>
      </c>
      <c r="K9" s="15"/>
      <c r="L9" s="15"/>
      <c r="M9" s="28">
        <v>5.937</v>
      </c>
      <c r="N9" s="28">
        <v>5.845</v>
      </c>
      <c r="O9" s="28">
        <v>5.575</v>
      </c>
      <c r="P9" s="28">
        <v>5.276</v>
      </c>
      <c r="Q9" s="28">
        <v>5.363</v>
      </c>
      <c r="R9" s="28">
        <v>6.645</v>
      </c>
      <c r="S9" s="28">
        <v>5.654</v>
      </c>
      <c r="T9" s="28"/>
      <c r="U9" s="14" t="s">
        <v>339</v>
      </c>
      <c r="V9" s="22" t="s">
        <v>334</v>
      </c>
      <c r="W9" s="25">
        <f t="shared" ref="W9:AC9" si="25">D9/M9</f>
        <v>0.138807478524507</v>
      </c>
      <c r="X9" s="25">
        <f t="shared" si="25"/>
        <v>0.134422583404619</v>
      </c>
      <c r="Y9" s="25">
        <f t="shared" si="25"/>
        <v>0.139013452914798</v>
      </c>
      <c r="Z9" s="25">
        <f t="shared" si="25"/>
        <v>0.145981804397271</v>
      </c>
      <c r="AA9" s="25">
        <f t="shared" si="25"/>
        <v>0.1513332090248</v>
      </c>
      <c r="AB9" s="26">
        <f t="shared" si="25"/>
        <v>0.116629044394281</v>
      </c>
      <c r="AC9" s="26">
        <f t="shared" si="25"/>
        <v>0.13707110010612</v>
      </c>
      <c r="AD9" s="15"/>
      <c r="AE9" s="15"/>
      <c r="AF9" s="25">
        <f t="shared" si="2"/>
        <v>0.138807478524507</v>
      </c>
      <c r="AG9" s="25">
        <f t="shared" si="3"/>
        <v>0.134422583404619</v>
      </c>
      <c r="AH9" s="25">
        <f t="shared" si="4"/>
        <v>0.139013452914798</v>
      </c>
      <c r="AI9" s="25">
        <f t="shared" si="5"/>
        <v>0.145981804397271</v>
      </c>
      <c r="AJ9" s="25">
        <f t="shared" si="6"/>
        <v>0.1513332090248</v>
      </c>
      <c r="AK9" s="27">
        <f t="shared" si="7"/>
        <v>0.134123401053424</v>
      </c>
      <c r="AL9" s="27">
        <f t="shared" si="8"/>
        <v>0.157631765122037</v>
      </c>
      <c r="AM9" s="15"/>
      <c r="AN9" s="15"/>
      <c r="AO9" s="25">
        <f t="shared" si="9"/>
        <v>0.138807478524507</v>
      </c>
      <c r="AP9" s="25">
        <f t="shared" si="10"/>
        <v>0.134422583404619</v>
      </c>
      <c r="AQ9" s="25">
        <f t="shared" si="11"/>
        <v>0.139013452914798</v>
      </c>
      <c r="AR9" s="25">
        <f t="shared" si="12"/>
        <v>0.145981804397271</v>
      </c>
      <c r="AS9" s="25">
        <f t="shared" si="13"/>
        <v>0.1513332090248</v>
      </c>
      <c r="AT9" s="27">
        <f t="shared" si="14"/>
        <v>0.0991346877351392</v>
      </c>
      <c r="AU9" s="27">
        <f t="shared" si="15"/>
        <v>0.116510435090202</v>
      </c>
      <c r="AZ9" s="14" t="s">
        <v>339</v>
      </c>
      <c r="BA9" s="22" t="s">
        <v>334</v>
      </c>
      <c r="BB9" s="23">
        <v>855</v>
      </c>
      <c r="BC9" s="25">
        <v>824.1</v>
      </c>
      <c r="BD9" s="25">
        <v>785.7</v>
      </c>
      <c r="BE9" s="25">
        <v>775</v>
      </c>
      <c r="BF9" s="25">
        <v>770.2</v>
      </c>
      <c r="BG9" s="25">
        <v>811.6</v>
      </c>
      <c r="BH9" s="25">
        <v>775</v>
      </c>
      <c r="BI9" s="25">
        <v>775</v>
      </c>
      <c r="BJ9" s="15"/>
      <c r="BK9" s="15"/>
      <c r="BL9" s="28"/>
      <c r="BM9" s="28"/>
      <c r="BN9" s="28"/>
      <c r="BO9" s="28"/>
    </row>
    <row r="10" ht="15.5" spans="1:67">
      <c r="A10" s="14"/>
      <c r="B10" s="22" t="s">
        <v>335</v>
      </c>
      <c r="C10" s="23">
        <f t="shared" ref="C10:J10" si="26">BB10/1000</f>
        <v>0.7888</v>
      </c>
      <c r="D10" s="23">
        <f t="shared" si="26"/>
        <v>0.7626</v>
      </c>
      <c r="E10" s="23">
        <f t="shared" si="26"/>
        <v>0.7275</v>
      </c>
      <c r="F10" s="23">
        <f t="shared" si="26"/>
        <v>0.7179</v>
      </c>
      <c r="G10" s="23">
        <f t="shared" si="26"/>
        <v>0.7107</v>
      </c>
      <c r="H10" s="23">
        <f t="shared" si="26"/>
        <v>0.7503</v>
      </c>
      <c r="I10" s="23">
        <f t="shared" si="26"/>
        <v>0.7179</v>
      </c>
      <c r="J10" s="23">
        <f t="shared" si="26"/>
        <v>0.7179</v>
      </c>
      <c r="K10" s="15"/>
      <c r="L10" s="15"/>
      <c r="M10" s="28">
        <v>5.937</v>
      </c>
      <c r="N10" s="28">
        <v>5.845</v>
      </c>
      <c r="O10" s="28">
        <v>5.575</v>
      </c>
      <c r="P10" s="28">
        <v>5.276</v>
      </c>
      <c r="Q10" s="28">
        <v>5.363</v>
      </c>
      <c r="R10" s="28">
        <v>6.645</v>
      </c>
      <c r="S10" s="28">
        <v>5.654</v>
      </c>
      <c r="T10" s="28"/>
      <c r="U10" s="14"/>
      <c r="V10" s="22" t="s">
        <v>335</v>
      </c>
      <c r="W10" s="25">
        <f t="shared" ref="W10:AC10" si="27">D10/M10</f>
        <v>0.12844871147044</v>
      </c>
      <c r="X10" s="25">
        <f t="shared" si="27"/>
        <v>0.124465355004277</v>
      </c>
      <c r="Y10" s="25">
        <f t="shared" si="27"/>
        <v>0.12877130044843</v>
      </c>
      <c r="Z10" s="25">
        <f t="shared" si="27"/>
        <v>0.134704321455648</v>
      </c>
      <c r="AA10" s="25">
        <f t="shared" si="27"/>
        <v>0.139903039343651</v>
      </c>
      <c r="AB10" s="26">
        <f t="shared" si="27"/>
        <v>0.10803611738149</v>
      </c>
      <c r="AC10" s="26">
        <f t="shared" si="27"/>
        <v>0.126972055182172</v>
      </c>
      <c r="AD10" s="15"/>
      <c r="AE10" s="15"/>
      <c r="AF10" s="25">
        <f t="shared" si="2"/>
        <v>0.12844871147044</v>
      </c>
      <c r="AG10" s="25">
        <f t="shared" si="3"/>
        <v>0.124465355004277</v>
      </c>
      <c r="AH10" s="25">
        <f t="shared" si="4"/>
        <v>0.12877130044843</v>
      </c>
      <c r="AI10" s="25">
        <f t="shared" si="5"/>
        <v>0.134704321455648</v>
      </c>
      <c r="AJ10" s="25">
        <f t="shared" si="6"/>
        <v>0.139903039343651</v>
      </c>
      <c r="AK10" s="27">
        <f t="shared" si="7"/>
        <v>0.124241534988713</v>
      </c>
      <c r="AL10" s="27">
        <f t="shared" si="8"/>
        <v>0.146017863459498</v>
      </c>
      <c r="AM10" s="15"/>
      <c r="AN10" s="15"/>
      <c r="AO10" s="25">
        <f t="shared" si="9"/>
        <v>0.12844871147044</v>
      </c>
      <c r="AP10" s="25">
        <f t="shared" si="10"/>
        <v>0.124465355004277</v>
      </c>
      <c r="AQ10" s="25">
        <f t="shared" si="11"/>
        <v>0.12877130044843</v>
      </c>
      <c r="AR10" s="25">
        <f t="shared" si="12"/>
        <v>0.134704321455648</v>
      </c>
      <c r="AS10" s="25">
        <f t="shared" si="13"/>
        <v>0.139903039343651</v>
      </c>
      <c r="AT10" s="27">
        <f t="shared" si="14"/>
        <v>0.0918306997742664</v>
      </c>
      <c r="AU10" s="27">
        <f t="shared" si="15"/>
        <v>0.107926246904846</v>
      </c>
      <c r="AZ10" s="14"/>
      <c r="BA10" s="22" t="s">
        <v>335</v>
      </c>
      <c r="BB10" s="23">
        <v>788.8</v>
      </c>
      <c r="BC10" s="25">
        <v>762.6</v>
      </c>
      <c r="BD10" s="25">
        <v>727.5</v>
      </c>
      <c r="BE10" s="25">
        <v>717.9</v>
      </c>
      <c r="BF10" s="25">
        <v>710.7</v>
      </c>
      <c r="BG10" s="25">
        <v>750.3</v>
      </c>
      <c r="BH10" s="25">
        <v>717.9</v>
      </c>
      <c r="BI10" s="25">
        <v>717.9</v>
      </c>
      <c r="BJ10" s="15"/>
      <c r="BK10" s="15"/>
      <c r="BL10" s="28"/>
      <c r="BM10" s="28"/>
      <c r="BN10" s="28"/>
      <c r="BO10" s="28"/>
    </row>
    <row r="11" ht="15.5" spans="1:67">
      <c r="A11" s="14"/>
      <c r="B11" s="22" t="s">
        <v>336</v>
      </c>
      <c r="C11" s="23">
        <f t="shared" ref="C11:J11" si="28">BB11/1000</f>
        <v>0.2381</v>
      </c>
      <c r="D11" s="23">
        <f t="shared" si="28"/>
        <v>0.2075</v>
      </c>
      <c r="E11" s="23">
        <f t="shared" si="28"/>
        <v>0.1951</v>
      </c>
      <c r="F11" s="23">
        <f t="shared" si="28"/>
        <v>0.1916</v>
      </c>
      <c r="G11" s="23">
        <f t="shared" si="28"/>
        <v>0.186</v>
      </c>
      <c r="H11" s="23">
        <f t="shared" si="28"/>
        <v>0.1938</v>
      </c>
      <c r="I11" s="23">
        <f t="shared" si="28"/>
        <v>0.1916</v>
      </c>
      <c r="J11" s="23">
        <f t="shared" si="28"/>
        <v>0.1916</v>
      </c>
      <c r="K11" s="15"/>
      <c r="L11" s="15"/>
      <c r="M11" s="28">
        <v>5.937</v>
      </c>
      <c r="N11" s="28">
        <v>5.845</v>
      </c>
      <c r="O11" s="28">
        <v>5.575</v>
      </c>
      <c r="P11" s="28">
        <v>5.276</v>
      </c>
      <c r="Q11" s="28">
        <v>5.363</v>
      </c>
      <c r="R11" s="28">
        <v>6.645</v>
      </c>
      <c r="S11" s="28">
        <v>5.654</v>
      </c>
      <c r="T11" s="28"/>
      <c r="U11" s="14"/>
      <c r="V11" s="22" t="s">
        <v>336</v>
      </c>
      <c r="W11" s="25">
        <f t="shared" ref="W11:AC11" si="29">D11/M11</f>
        <v>0.0349503116051878</v>
      </c>
      <c r="X11" s="25">
        <f t="shared" si="29"/>
        <v>0.0333789563729684</v>
      </c>
      <c r="Y11" s="25">
        <f t="shared" si="29"/>
        <v>0.0343677130044843</v>
      </c>
      <c r="Z11" s="25">
        <f t="shared" si="29"/>
        <v>0.035253980288097</v>
      </c>
      <c r="AA11" s="25">
        <f t="shared" si="29"/>
        <v>0.0361364907700914</v>
      </c>
      <c r="AB11" s="26">
        <f t="shared" si="29"/>
        <v>0.0288337095560572</v>
      </c>
      <c r="AC11" s="26">
        <f t="shared" si="29"/>
        <v>0.0338875132649452</v>
      </c>
      <c r="AD11" s="15"/>
      <c r="AE11" s="15"/>
      <c r="AF11" s="25">
        <f t="shared" si="2"/>
        <v>0.0349503116051878</v>
      </c>
      <c r="AG11" s="25">
        <f t="shared" si="3"/>
        <v>0.0333789563729684</v>
      </c>
      <c r="AH11" s="25">
        <f t="shared" si="4"/>
        <v>0.0343677130044843</v>
      </c>
      <c r="AI11" s="25">
        <f t="shared" si="5"/>
        <v>0.035253980288097</v>
      </c>
      <c r="AJ11" s="25">
        <f t="shared" si="6"/>
        <v>0.0361364907700914</v>
      </c>
      <c r="AK11" s="27">
        <f t="shared" si="7"/>
        <v>0.0331587659894658</v>
      </c>
      <c r="AL11" s="27">
        <f t="shared" si="8"/>
        <v>0.0389706402546869</v>
      </c>
      <c r="AM11" s="15"/>
      <c r="AN11" s="15"/>
      <c r="AO11" s="25">
        <f t="shared" si="9"/>
        <v>0.0349503116051878</v>
      </c>
      <c r="AP11" s="25">
        <f t="shared" si="10"/>
        <v>0.0333789563729684</v>
      </c>
      <c r="AQ11" s="25">
        <f t="shared" si="11"/>
        <v>0.0343677130044843</v>
      </c>
      <c r="AR11" s="25">
        <f t="shared" si="12"/>
        <v>0.035253980288097</v>
      </c>
      <c r="AS11" s="25">
        <f t="shared" si="13"/>
        <v>0.0361364907700914</v>
      </c>
      <c r="AT11" s="27">
        <f t="shared" si="14"/>
        <v>0.0245086531226486</v>
      </c>
      <c r="AU11" s="27">
        <f t="shared" si="15"/>
        <v>0.0288043862752034</v>
      </c>
      <c r="AZ11" s="14"/>
      <c r="BA11" s="22" t="s">
        <v>336</v>
      </c>
      <c r="BB11" s="23">
        <v>238.1</v>
      </c>
      <c r="BC11" s="25">
        <v>207.5</v>
      </c>
      <c r="BD11" s="25">
        <v>195.1</v>
      </c>
      <c r="BE11" s="25">
        <v>191.6</v>
      </c>
      <c r="BF11" s="25">
        <v>186</v>
      </c>
      <c r="BG11" s="25">
        <v>193.8</v>
      </c>
      <c r="BH11" s="25">
        <v>191.6</v>
      </c>
      <c r="BI11" s="25">
        <v>191.6</v>
      </c>
      <c r="BJ11" s="15"/>
      <c r="BK11" s="15"/>
      <c r="BL11" s="28"/>
      <c r="BM11" s="28"/>
      <c r="BN11" s="28"/>
      <c r="BO11" s="28"/>
    </row>
    <row r="12" ht="15.5" spans="1:67">
      <c r="A12" s="14"/>
      <c r="B12" s="22" t="s">
        <v>337</v>
      </c>
      <c r="C12" s="23">
        <f t="shared" ref="C12:J12" si="30">BB12/1000</f>
        <v>0.4629</v>
      </c>
      <c r="D12" s="23">
        <f t="shared" si="30"/>
        <v>0.4749</v>
      </c>
      <c r="E12" s="23">
        <f t="shared" si="30"/>
        <v>0.4551</v>
      </c>
      <c r="F12" s="23">
        <f t="shared" si="30"/>
        <v>0.45</v>
      </c>
      <c r="G12" s="23">
        <f t="shared" si="30"/>
        <v>0.4459</v>
      </c>
      <c r="H12" s="23">
        <f t="shared" si="30"/>
        <v>0.4747</v>
      </c>
      <c r="I12" s="23">
        <f t="shared" si="30"/>
        <v>0.45</v>
      </c>
      <c r="J12" s="23">
        <f t="shared" si="30"/>
        <v>0.45</v>
      </c>
      <c r="K12" s="15"/>
      <c r="L12" s="15"/>
      <c r="M12" s="28">
        <v>5.937</v>
      </c>
      <c r="N12" s="28">
        <v>5.845</v>
      </c>
      <c r="O12" s="28">
        <v>5.575</v>
      </c>
      <c r="P12" s="28">
        <v>5.276</v>
      </c>
      <c r="Q12" s="28">
        <v>5.363</v>
      </c>
      <c r="R12" s="28">
        <v>6.645</v>
      </c>
      <c r="S12" s="28">
        <v>5.654</v>
      </c>
      <c r="T12" s="28"/>
      <c r="U12" s="14"/>
      <c r="V12" s="22" t="s">
        <v>337</v>
      </c>
      <c r="W12" s="25">
        <f t="shared" ref="W12:AC12" si="31">D12/M12</f>
        <v>0.0799898938858009</v>
      </c>
      <c r="X12" s="25">
        <f t="shared" si="31"/>
        <v>0.0778614200171086</v>
      </c>
      <c r="Y12" s="25">
        <f t="shared" si="31"/>
        <v>0.0807174887892377</v>
      </c>
      <c r="Z12" s="25">
        <f t="shared" si="31"/>
        <v>0.0845147839272176</v>
      </c>
      <c r="AA12" s="25">
        <f t="shared" si="31"/>
        <v>0.08851389147865</v>
      </c>
      <c r="AB12" s="26">
        <f t="shared" si="31"/>
        <v>0.0677200902934537</v>
      </c>
      <c r="AC12" s="26">
        <f t="shared" si="31"/>
        <v>0.0795896710293598</v>
      </c>
      <c r="AD12" s="15"/>
      <c r="AE12" s="15"/>
      <c r="AF12" s="25">
        <f t="shared" si="2"/>
        <v>0.0799898938858009</v>
      </c>
      <c r="AG12" s="25">
        <f t="shared" si="3"/>
        <v>0.0778614200171086</v>
      </c>
      <c r="AH12" s="25">
        <f t="shared" si="4"/>
        <v>0.0807174887892377</v>
      </c>
      <c r="AI12" s="25">
        <f t="shared" si="5"/>
        <v>0.0845147839272176</v>
      </c>
      <c r="AJ12" s="25">
        <f t="shared" si="6"/>
        <v>0.08851389147865</v>
      </c>
      <c r="AK12" s="27">
        <f t="shared" si="7"/>
        <v>0.0778781038374718</v>
      </c>
      <c r="AL12" s="27">
        <f t="shared" si="8"/>
        <v>0.0915281216837637</v>
      </c>
      <c r="AM12" s="15"/>
      <c r="AN12" s="15"/>
      <c r="AO12" s="25">
        <f t="shared" si="9"/>
        <v>0.0799898938858009</v>
      </c>
      <c r="AP12" s="25">
        <f t="shared" si="10"/>
        <v>0.0778614200171086</v>
      </c>
      <c r="AQ12" s="25">
        <f t="shared" si="11"/>
        <v>0.0807174887892377</v>
      </c>
      <c r="AR12" s="25">
        <f t="shared" si="12"/>
        <v>0.0845147839272176</v>
      </c>
      <c r="AS12" s="25">
        <f t="shared" si="13"/>
        <v>0.08851389147865</v>
      </c>
      <c r="AT12" s="27">
        <f t="shared" si="14"/>
        <v>0.0575620767494357</v>
      </c>
      <c r="AU12" s="27">
        <f t="shared" si="15"/>
        <v>0.0676512203749558</v>
      </c>
      <c r="AZ12" s="14"/>
      <c r="BA12" s="22" t="s">
        <v>337</v>
      </c>
      <c r="BB12" s="23">
        <v>462.9</v>
      </c>
      <c r="BC12" s="25">
        <v>474.9</v>
      </c>
      <c r="BD12" s="25">
        <v>455.1</v>
      </c>
      <c r="BE12" s="25">
        <v>450</v>
      </c>
      <c r="BF12" s="25">
        <v>445.9</v>
      </c>
      <c r="BG12" s="25">
        <v>474.7</v>
      </c>
      <c r="BH12" s="25">
        <v>450</v>
      </c>
      <c r="BI12" s="25">
        <v>450</v>
      </c>
      <c r="BJ12" s="15"/>
      <c r="BK12" s="15"/>
      <c r="BL12" s="28"/>
      <c r="BM12" s="28"/>
      <c r="BN12" s="28"/>
      <c r="BO12" s="28"/>
    </row>
    <row r="13" ht="15.5" spans="1:67">
      <c r="A13" s="14"/>
      <c r="B13" s="22" t="s">
        <v>338</v>
      </c>
      <c r="C13" s="23">
        <f t="shared" ref="C13:J13" si="32">BB13/1000</f>
        <v>0.0877</v>
      </c>
      <c r="D13" s="23">
        <f t="shared" si="32"/>
        <v>0.0802</v>
      </c>
      <c r="E13" s="23">
        <f t="shared" si="32"/>
        <v>0.0772</v>
      </c>
      <c r="F13" s="23">
        <f t="shared" si="32"/>
        <v>0.0763</v>
      </c>
      <c r="G13" s="23">
        <f t="shared" si="32"/>
        <v>0.0789</v>
      </c>
      <c r="H13" s="23">
        <f t="shared" si="32"/>
        <v>0.0817</v>
      </c>
      <c r="I13" s="23">
        <f t="shared" si="32"/>
        <v>0.0763</v>
      </c>
      <c r="J13" s="23">
        <f t="shared" si="32"/>
        <v>0.0763</v>
      </c>
      <c r="K13" s="15"/>
      <c r="L13" s="15"/>
      <c r="M13" s="28">
        <v>5.937</v>
      </c>
      <c r="N13" s="28">
        <v>5.845</v>
      </c>
      <c r="O13" s="28">
        <v>5.575</v>
      </c>
      <c r="P13" s="28">
        <v>5.276</v>
      </c>
      <c r="Q13" s="28">
        <v>5.363</v>
      </c>
      <c r="R13" s="28">
        <v>6.645</v>
      </c>
      <c r="S13" s="28">
        <v>5.654</v>
      </c>
      <c r="T13" s="28"/>
      <c r="U13" s="14"/>
      <c r="V13" s="22" t="s">
        <v>338</v>
      </c>
      <c r="W13" s="25">
        <f t="shared" ref="W13:AC13" si="33">D13/M13</f>
        <v>0.0135085059794509</v>
      </c>
      <c r="X13" s="25">
        <f t="shared" si="33"/>
        <v>0.013207869974337</v>
      </c>
      <c r="Y13" s="25">
        <f t="shared" si="33"/>
        <v>0.0136860986547085</v>
      </c>
      <c r="Z13" s="25">
        <f t="shared" si="33"/>
        <v>0.0149545109931767</v>
      </c>
      <c r="AA13" s="25">
        <f t="shared" si="33"/>
        <v>0.0152340108148424</v>
      </c>
      <c r="AB13" s="26">
        <f t="shared" si="33"/>
        <v>0.0114823175319789</v>
      </c>
      <c r="AC13" s="26">
        <f t="shared" si="33"/>
        <v>0.013494870887867</v>
      </c>
      <c r="AD13" s="15"/>
      <c r="AE13" s="15"/>
      <c r="AF13" s="25">
        <f t="shared" ref="AF13:AJ13" si="34">W13</f>
        <v>0.0135085059794509</v>
      </c>
      <c r="AG13" s="25">
        <f t="shared" si="34"/>
        <v>0.013207869974337</v>
      </c>
      <c r="AH13" s="25">
        <f t="shared" si="34"/>
        <v>0.0136860986547085</v>
      </c>
      <c r="AI13" s="25">
        <f t="shared" si="34"/>
        <v>0.0149545109931767</v>
      </c>
      <c r="AJ13" s="25">
        <f t="shared" si="34"/>
        <v>0.0152340108148424</v>
      </c>
      <c r="AK13" s="27">
        <f t="shared" ref="AK13:AK18" si="35">AB13*1.15</f>
        <v>0.0132046651617758</v>
      </c>
      <c r="AL13" s="27">
        <f t="shared" ref="AL13:AL18" si="36">AC13*1.15</f>
        <v>0.015519101521047</v>
      </c>
      <c r="AM13" s="15"/>
      <c r="AN13" s="15"/>
      <c r="AO13" s="25">
        <f t="shared" ref="AO13:AS13" si="37">W13</f>
        <v>0.0135085059794509</v>
      </c>
      <c r="AP13" s="25">
        <f t="shared" si="37"/>
        <v>0.013207869974337</v>
      </c>
      <c r="AQ13" s="25">
        <f t="shared" si="37"/>
        <v>0.0136860986547085</v>
      </c>
      <c r="AR13" s="25">
        <f t="shared" si="37"/>
        <v>0.0149545109931767</v>
      </c>
      <c r="AS13" s="25">
        <f t="shared" si="37"/>
        <v>0.0152340108148424</v>
      </c>
      <c r="AT13" s="27">
        <f t="shared" ref="AT13:AT18" si="38">AB13*0.85</f>
        <v>0.00975996990218209</v>
      </c>
      <c r="AU13" s="27">
        <f t="shared" ref="AU13:AU18" si="39">AC13*0.85</f>
        <v>0.0114706402546869</v>
      </c>
      <c r="AZ13" s="14"/>
      <c r="BA13" s="22" t="s">
        <v>338</v>
      </c>
      <c r="BB13" s="23">
        <v>87.7</v>
      </c>
      <c r="BC13" s="25">
        <v>80.2</v>
      </c>
      <c r="BD13" s="25">
        <v>77.2</v>
      </c>
      <c r="BE13" s="25">
        <v>76.3</v>
      </c>
      <c r="BF13" s="25">
        <v>78.9</v>
      </c>
      <c r="BG13" s="25">
        <v>81.7</v>
      </c>
      <c r="BH13" s="25">
        <v>76.3</v>
      </c>
      <c r="BI13" s="25">
        <v>76.3</v>
      </c>
      <c r="BJ13" s="15"/>
      <c r="BK13" s="15"/>
      <c r="BL13" s="28"/>
      <c r="BM13" s="28"/>
      <c r="BN13" s="28"/>
      <c r="BO13" s="28"/>
    </row>
    <row r="14" ht="15.5" spans="1:67">
      <c r="A14" s="14" t="s">
        <v>11</v>
      </c>
      <c r="B14" s="22" t="s">
        <v>334</v>
      </c>
      <c r="C14" s="23">
        <f t="shared" ref="C14:J14" si="40">BB14/1000</f>
        <v>0.8705</v>
      </c>
      <c r="D14" s="23">
        <f t="shared" si="40"/>
        <v>0.8381</v>
      </c>
      <c r="E14" s="23">
        <f t="shared" si="40"/>
        <v>0.799</v>
      </c>
      <c r="F14" s="23">
        <f t="shared" si="40"/>
        <v>0.7882</v>
      </c>
      <c r="G14" s="23">
        <f t="shared" si="40"/>
        <v>0.7835</v>
      </c>
      <c r="H14" s="23">
        <f t="shared" si="40"/>
        <v>0.8253</v>
      </c>
      <c r="I14" s="23">
        <f t="shared" si="40"/>
        <v>0.7882</v>
      </c>
      <c r="J14" s="23">
        <f t="shared" si="40"/>
        <v>0.7882</v>
      </c>
      <c r="K14" s="15"/>
      <c r="L14" s="15"/>
      <c r="M14" s="28">
        <v>5.937</v>
      </c>
      <c r="N14" s="28">
        <v>5.845</v>
      </c>
      <c r="O14" s="28">
        <v>5.575</v>
      </c>
      <c r="P14" s="28">
        <v>5.276</v>
      </c>
      <c r="Q14" s="28">
        <v>5.363</v>
      </c>
      <c r="R14" s="28">
        <v>6.645</v>
      </c>
      <c r="S14" s="28">
        <v>5.654</v>
      </c>
      <c r="T14" s="28"/>
      <c r="U14" s="14" t="s">
        <v>11</v>
      </c>
      <c r="V14" s="22" t="s">
        <v>334</v>
      </c>
      <c r="W14" s="25">
        <f t="shared" ref="W14:AC14" si="41">D14/M14</f>
        <v>0.141165571837628</v>
      </c>
      <c r="X14" s="25">
        <f t="shared" si="41"/>
        <v>0.136698032506416</v>
      </c>
      <c r="Y14" s="25">
        <f t="shared" si="41"/>
        <v>0.141381165919283</v>
      </c>
      <c r="Z14" s="25">
        <f t="shared" si="41"/>
        <v>0.148502653525398</v>
      </c>
      <c r="AA14" s="25">
        <f t="shared" si="41"/>
        <v>0.153887749393996</v>
      </c>
      <c r="AB14" s="26">
        <f t="shared" si="41"/>
        <v>0.118615500376223</v>
      </c>
      <c r="AC14" s="26">
        <f t="shared" si="41"/>
        <v>0.139405730456314</v>
      </c>
      <c r="AD14" s="15"/>
      <c r="AE14" s="15"/>
      <c r="AF14" s="25">
        <f t="shared" ref="AF14:AJ14" si="42">W14</f>
        <v>0.141165571837628</v>
      </c>
      <c r="AG14" s="25">
        <f t="shared" si="42"/>
        <v>0.136698032506416</v>
      </c>
      <c r="AH14" s="25">
        <f t="shared" si="42"/>
        <v>0.141381165919283</v>
      </c>
      <c r="AI14" s="25">
        <f t="shared" si="42"/>
        <v>0.148502653525398</v>
      </c>
      <c r="AJ14" s="25">
        <f t="shared" si="42"/>
        <v>0.153887749393996</v>
      </c>
      <c r="AK14" s="27">
        <f t="shared" si="35"/>
        <v>0.136407825432656</v>
      </c>
      <c r="AL14" s="27">
        <f t="shared" si="36"/>
        <v>0.160316590024761</v>
      </c>
      <c r="AM14" s="15"/>
      <c r="AN14" s="15"/>
      <c r="AO14" s="25">
        <f t="shared" ref="AO14:AS14" si="43">W14</f>
        <v>0.141165571837628</v>
      </c>
      <c r="AP14" s="25">
        <f t="shared" si="43"/>
        <v>0.136698032506416</v>
      </c>
      <c r="AQ14" s="25">
        <f t="shared" si="43"/>
        <v>0.141381165919283</v>
      </c>
      <c r="AR14" s="25">
        <f t="shared" si="43"/>
        <v>0.148502653525398</v>
      </c>
      <c r="AS14" s="25">
        <f t="shared" si="43"/>
        <v>0.153887749393996</v>
      </c>
      <c r="AT14" s="27">
        <f t="shared" si="38"/>
        <v>0.100823175319789</v>
      </c>
      <c r="AU14" s="27">
        <f t="shared" si="39"/>
        <v>0.118494870887867</v>
      </c>
      <c r="AZ14" s="14" t="s">
        <v>11</v>
      </c>
      <c r="BA14" s="22" t="s">
        <v>334</v>
      </c>
      <c r="BB14" s="23">
        <v>870.5</v>
      </c>
      <c r="BC14" s="25">
        <v>838.1</v>
      </c>
      <c r="BD14" s="25">
        <v>799</v>
      </c>
      <c r="BE14" s="25">
        <v>788.2</v>
      </c>
      <c r="BF14" s="25">
        <v>783.5</v>
      </c>
      <c r="BG14" s="25">
        <v>825.3</v>
      </c>
      <c r="BH14" s="25">
        <v>788.2</v>
      </c>
      <c r="BI14" s="25">
        <v>788.2</v>
      </c>
      <c r="BJ14" s="15"/>
      <c r="BK14" s="15"/>
      <c r="BL14" s="28"/>
      <c r="BM14" s="28"/>
      <c r="BN14" s="28"/>
      <c r="BO14" s="28"/>
    </row>
    <row r="15" ht="15.5" spans="1:67">
      <c r="A15" s="14"/>
      <c r="B15" s="22" t="s">
        <v>335</v>
      </c>
      <c r="C15" s="23">
        <f t="shared" ref="C15:J15" si="44">BB15/1000</f>
        <v>0.8012</v>
      </c>
      <c r="D15" s="23">
        <f t="shared" si="44"/>
        <v>0.7738</v>
      </c>
      <c r="E15" s="23">
        <f t="shared" si="44"/>
        <v>0.7382</v>
      </c>
      <c r="F15" s="23">
        <f t="shared" si="44"/>
        <v>0.7285</v>
      </c>
      <c r="G15" s="23">
        <f t="shared" si="44"/>
        <v>0.7214</v>
      </c>
      <c r="H15" s="23">
        <f t="shared" si="44"/>
        <v>0.7613</v>
      </c>
      <c r="I15" s="23">
        <f t="shared" si="44"/>
        <v>0.7285</v>
      </c>
      <c r="J15" s="23">
        <f t="shared" si="44"/>
        <v>0.7285</v>
      </c>
      <c r="K15" s="15"/>
      <c r="L15" s="15"/>
      <c r="M15" s="28">
        <v>5.937</v>
      </c>
      <c r="N15" s="28">
        <v>5.845</v>
      </c>
      <c r="O15" s="28">
        <v>5.575</v>
      </c>
      <c r="P15" s="28">
        <v>5.276</v>
      </c>
      <c r="Q15" s="28">
        <v>5.363</v>
      </c>
      <c r="R15" s="28">
        <v>6.645</v>
      </c>
      <c r="S15" s="28">
        <v>5.654</v>
      </c>
      <c r="T15" s="28"/>
      <c r="U15" s="14"/>
      <c r="V15" s="22" t="s">
        <v>335</v>
      </c>
      <c r="W15" s="25">
        <f t="shared" ref="W15:AC15" si="45">D15/M15</f>
        <v>0.130335186120936</v>
      </c>
      <c r="X15" s="25">
        <f t="shared" si="45"/>
        <v>0.126295979469632</v>
      </c>
      <c r="Y15" s="25">
        <f t="shared" si="45"/>
        <v>0.13067264573991</v>
      </c>
      <c r="Z15" s="25">
        <f t="shared" si="45"/>
        <v>0.136732373009856</v>
      </c>
      <c r="AA15" s="25">
        <f t="shared" si="45"/>
        <v>0.141954130151035</v>
      </c>
      <c r="AB15" s="26">
        <f t="shared" si="45"/>
        <v>0.109631301730625</v>
      </c>
      <c r="AC15" s="26">
        <f t="shared" si="45"/>
        <v>0.128846834099752</v>
      </c>
      <c r="AD15" s="15"/>
      <c r="AE15" s="15"/>
      <c r="AF15" s="25">
        <f t="shared" ref="AF15:AJ15" si="46">W15</f>
        <v>0.130335186120936</v>
      </c>
      <c r="AG15" s="25">
        <f t="shared" si="46"/>
        <v>0.126295979469632</v>
      </c>
      <c r="AH15" s="25">
        <f t="shared" si="46"/>
        <v>0.13067264573991</v>
      </c>
      <c r="AI15" s="25">
        <f t="shared" si="46"/>
        <v>0.136732373009856</v>
      </c>
      <c r="AJ15" s="25">
        <f t="shared" si="46"/>
        <v>0.141954130151035</v>
      </c>
      <c r="AK15" s="27">
        <f t="shared" si="35"/>
        <v>0.126075996990218</v>
      </c>
      <c r="AL15" s="27">
        <f t="shared" si="36"/>
        <v>0.148173859214715</v>
      </c>
      <c r="AM15" s="15"/>
      <c r="AN15" s="15"/>
      <c r="AO15" s="25">
        <f t="shared" ref="AO15:AS15" si="47">W15</f>
        <v>0.130335186120936</v>
      </c>
      <c r="AP15" s="25">
        <f t="shared" si="47"/>
        <v>0.126295979469632</v>
      </c>
      <c r="AQ15" s="25">
        <f t="shared" si="47"/>
        <v>0.13067264573991</v>
      </c>
      <c r="AR15" s="25">
        <f t="shared" si="47"/>
        <v>0.136732373009856</v>
      </c>
      <c r="AS15" s="25">
        <f t="shared" si="47"/>
        <v>0.141954130151035</v>
      </c>
      <c r="AT15" s="27">
        <f t="shared" si="38"/>
        <v>0.0931866064710309</v>
      </c>
      <c r="AU15" s="27">
        <f t="shared" si="39"/>
        <v>0.10951980898479</v>
      </c>
      <c r="AZ15" s="14"/>
      <c r="BA15" s="22" t="s">
        <v>335</v>
      </c>
      <c r="BB15" s="23">
        <v>801.2</v>
      </c>
      <c r="BC15" s="25">
        <v>773.8</v>
      </c>
      <c r="BD15" s="25">
        <v>738.2</v>
      </c>
      <c r="BE15" s="25">
        <v>728.5</v>
      </c>
      <c r="BF15" s="25">
        <v>721.4</v>
      </c>
      <c r="BG15" s="25">
        <v>761.3</v>
      </c>
      <c r="BH15" s="25">
        <v>728.5</v>
      </c>
      <c r="BI15" s="25">
        <v>728.5</v>
      </c>
      <c r="BJ15" s="15"/>
      <c r="BK15" s="15"/>
      <c r="BL15" s="28"/>
      <c r="BM15" s="28"/>
      <c r="BN15" s="28"/>
      <c r="BO15" s="28"/>
    </row>
    <row r="16" ht="15.5" spans="1:67">
      <c r="A16" s="14"/>
      <c r="B16" s="22" t="s">
        <v>336</v>
      </c>
      <c r="C16" s="23">
        <f t="shared" ref="C16:J16" si="48">BB16/1000</f>
        <v>0.3021</v>
      </c>
      <c r="D16" s="23">
        <f t="shared" si="48"/>
        <v>0.2654</v>
      </c>
      <c r="E16" s="23">
        <f t="shared" si="48"/>
        <v>0.2502</v>
      </c>
      <c r="F16" s="23">
        <f t="shared" si="48"/>
        <v>0.246</v>
      </c>
      <c r="G16" s="23">
        <f t="shared" si="48"/>
        <v>0.2408</v>
      </c>
      <c r="H16" s="23">
        <f t="shared" si="48"/>
        <v>0.2506</v>
      </c>
      <c r="I16" s="23">
        <f t="shared" si="48"/>
        <v>0.246</v>
      </c>
      <c r="J16" s="23">
        <f t="shared" si="48"/>
        <v>0.246</v>
      </c>
      <c r="K16" s="15"/>
      <c r="L16" s="15"/>
      <c r="M16" s="28">
        <v>5.937</v>
      </c>
      <c r="N16" s="28">
        <v>5.845</v>
      </c>
      <c r="O16" s="28">
        <v>5.575</v>
      </c>
      <c r="P16" s="28">
        <v>5.276</v>
      </c>
      <c r="Q16" s="28">
        <v>5.363</v>
      </c>
      <c r="R16" s="28">
        <v>6.645</v>
      </c>
      <c r="S16" s="28">
        <v>5.654</v>
      </c>
      <c r="T16" s="28"/>
      <c r="U16" s="14"/>
      <c r="V16" s="22" t="s">
        <v>336</v>
      </c>
      <c r="W16" s="25">
        <f t="shared" ref="W16:AC16" si="49">D16/M16</f>
        <v>0.0447027118073101</v>
      </c>
      <c r="X16" s="25">
        <f t="shared" si="49"/>
        <v>0.0428058169375535</v>
      </c>
      <c r="Y16" s="25">
        <f t="shared" si="49"/>
        <v>0.0441255605381166</v>
      </c>
      <c r="Z16" s="25">
        <f t="shared" si="49"/>
        <v>0.0456406368460955</v>
      </c>
      <c r="AA16" s="25">
        <f t="shared" si="49"/>
        <v>0.0467275778482193</v>
      </c>
      <c r="AB16" s="26">
        <f t="shared" si="49"/>
        <v>0.037020316027088</v>
      </c>
      <c r="AC16" s="26">
        <f t="shared" si="49"/>
        <v>0.0435090201627167</v>
      </c>
      <c r="AD16" s="15"/>
      <c r="AE16" s="15"/>
      <c r="AF16" s="25">
        <f t="shared" ref="AF16:AJ16" si="50">W16</f>
        <v>0.0447027118073101</v>
      </c>
      <c r="AG16" s="25">
        <f t="shared" si="50"/>
        <v>0.0428058169375535</v>
      </c>
      <c r="AH16" s="25">
        <f t="shared" si="50"/>
        <v>0.0441255605381166</v>
      </c>
      <c r="AI16" s="25">
        <f t="shared" si="50"/>
        <v>0.0456406368460955</v>
      </c>
      <c r="AJ16" s="25">
        <f t="shared" si="50"/>
        <v>0.0467275778482193</v>
      </c>
      <c r="AK16" s="27">
        <f t="shared" si="35"/>
        <v>0.0425733634311512</v>
      </c>
      <c r="AL16" s="27">
        <f t="shared" si="36"/>
        <v>0.0500353731871242</v>
      </c>
      <c r="AM16" s="15"/>
      <c r="AN16" s="15"/>
      <c r="AO16" s="25">
        <f t="shared" ref="AO16:AS16" si="51">W16</f>
        <v>0.0447027118073101</v>
      </c>
      <c r="AP16" s="25">
        <f t="shared" si="51"/>
        <v>0.0428058169375535</v>
      </c>
      <c r="AQ16" s="25">
        <f t="shared" si="51"/>
        <v>0.0441255605381166</v>
      </c>
      <c r="AR16" s="25">
        <f t="shared" si="51"/>
        <v>0.0456406368460955</v>
      </c>
      <c r="AS16" s="25">
        <f t="shared" si="51"/>
        <v>0.0467275778482193</v>
      </c>
      <c r="AT16" s="27">
        <f t="shared" si="38"/>
        <v>0.0314672686230248</v>
      </c>
      <c r="AU16" s="27">
        <f t="shared" si="39"/>
        <v>0.0369826671383092</v>
      </c>
      <c r="AZ16" s="14"/>
      <c r="BA16" s="22" t="s">
        <v>336</v>
      </c>
      <c r="BB16" s="23">
        <v>302.1</v>
      </c>
      <c r="BC16" s="25">
        <v>265.4</v>
      </c>
      <c r="BD16" s="25">
        <v>250.2</v>
      </c>
      <c r="BE16" s="25">
        <v>246</v>
      </c>
      <c r="BF16" s="25">
        <v>240.8</v>
      </c>
      <c r="BG16" s="25">
        <v>250.6</v>
      </c>
      <c r="BH16" s="25">
        <v>246</v>
      </c>
      <c r="BI16" s="25">
        <v>246</v>
      </c>
      <c r="BJ16" s="15"/>
      <c r="BK16" s="15"/>
      <c r="BL16" s="28"/>
      <c r="BM16" s="28"/>
      <c r="BN16" s="28"/>
      <c r="BO16" s="28"/>
    </row>
    <row r="17" ht="15.5" spans="1:67">
      <c r="A17" s="14"/>
      <c r="B17" s="22" t="s">
        <v>337</v>
      </c>
      <c r="C17" s="23">
        <f t="shared" ref="C17:J17" si="52">BB17/1000</f>
        <v>0.4137</v>
      </c>
      <c r="D17" s="23">
        <f t="shared" si="52"/>
        <v>0.4304</v>
      </c>
      <c r="E17" s="23">
        <f t="shared" si="52"/>
        <v>0.4127</v>
      </c>
      <c r="F17" s="23">
        <f t="shared" si="52"/>
        <v>0.4081</v>
      </c>
      <c r="G17" s="23">
        <f t="shared" si="52"/>
        <v>0.4037</v>
      </c>
      <c r="H17" s="23">
        <f t="shared" si="52"/>
        <v>0.4311</v>
      </c>
      <c r="I17" s="23">
        <f t="shared" si="52"/>
        <v>0.4081</v>
      </c>
      <c r="J17" s="23">
        <f t="shared" si="52"/>
        <v>0.4081</v>
      </c>
      <c r="K17" s="15"/>
      <c r="L17" s="15"/>
      <c r="M17" s="28">
        <v>5.937</v>
      </c>
      <c r="N17" s="28">
        <v>5.845</v>
      </c>
      <c r="O17" s="28">
        <v>5.575</v>
      </c>
      <c r="P17" s="28">
        <v>5.276</v>
      </c>
      <c r="Q17" s="28">
        <v>5.363</v>
      </c>
      <c r="R17" s="28">
        <v>6.645</v>
      </c>
      <c r="S17" s="28">
        <v>5.654</v>
      </c>
      <c r="T17" s="28"/>
      <c r="U17" s="14"/>
      <c r="V17" s="22" t="s">
        <v>337</v>
      </c>
      <c r="W17" s="25">
        <f t="shared" ref="W17:AC17" si="53">D17/M17</f>
        <v>0.0724945258548088</v>
      </c>
      <c r="X17" s="25">
        <f t="shared" si="53"/>
        <v>0.0706073567151412</v>
      </c>
      <c r="Y17" s="25">
        <f t="shared" si="53"/>
        <v>0.0732017937219731</v>
      </c>
      <c r="Z17" s="25">
        <f t="shared" si="53"/>
        <v>0.076516300227445</v>
      </c>
      <c r="AA17" s="25">
        <f t="shared" si="53"/>
        <v>0.0803841133693828</v>
      </c>
      <c r="AB17" s="26">
        <f t="shared" si="53"/>
        <v>0.0614145974416855</v>
      </c>
      <c r="AC17" s="26">
        <f t="shared" si="53"/>
        <v>0.0721789883268483</v>
      </c>
      <c r="AD17" s="15"/>
      <c r="AE17" s="15"/>
      <c r="AF17" s="25">
        <f t="shared" ref="AF17:AJ17" si="54">W17</f>
        <v>0.0724945258548088</v>
      </c>
      <c r="AG17" s="25">
        <f t="shared" si="54"/>
        <v>0.0706073567151412</v>
      </c>
      <c r="AH17" s="25">
        <f t="shared" si="54"/>
        <v>0.0732017937219731</v>
      </c>
      <c r="AI17" s="25">
        <f t="shared" si="54"/>
        <v>0.076516300227445</v>
      </c>
      <c r="AJ17" s="25">
        <f t="shared" si="54"/>
        <v>0.0803841133693828</v>
      </c>
      <c r="AK17" s="27">
        <f t="shared" si="35"/>
        <v>0.0706267870579383</v>
      </c>
      <c r="AL17" s="27">
        <f t="shared" si="36"/>
        <v>0.0830058365758755</v>
      </c>
      <c r="AM17" s="15"/>
      <c r="AN17" s="15"/>
      <c r="AO17" s="25">
        <f t="shared" ref="AO17:AS17" si="55">W17</f>
        <v>0.0724945258548088</v>
      </c>
      <c r="AP17" s="25">
        <f t="shared" si="55"/>
        <v>0.0706073567151412</v>
      </c>
      <c r="AQ17" s="25">
        <f t="shared" si="55"/>
        <v>0.0732017937219731</v>
      </c>
      <c r="AR17" s="25">
        <f t="shared" si="55"/>
        <v>0.076516300227445</v>
      </c>
      <c r="AS17" s="25">
        <f t="shared" si="55"/>
        <v>0.0803841133693828</v>
      </c>
      <c r="AT17" s="27">
        <f t="shared" si="38"/>
        <v>0.0522024078254327</v>
      </c>
      <c r="AU17" s="27">
        <f t="shared" si="39"/>
        <v>0.061352140077821</v>
      </c>
      <c r="AZ17" s="14"/>
      <c r="BA17" s="22" t="s">
        <v>337</v>
      </c>
      <c r="BB17" s="23">
        <v>413.7</v>
      </c>
      <c r="BC17" s="25">
        <v>430.4</v>
      </c>
      <c r="BD17" s="25">
        <v>412.7</v>
      </c>
      <c r="BE17" s="25">
        <v>408.1</v>
      </c>
      <c r="BF17" s="25">
        <v>403.7</v>
      </c>
      <c r="BG17" s="25">
        <v>431.1</v>
      </c>
      <c r="BH17" s="25">
        <v>408.1</v>
      </c>
      <c r="BI17" s="25">
        <v>408.1</v>
      </c>
      <c r="BJ17" s="15"/>
      <c r="BK17" s="15"/>
      <c r="BL17" s="28"/>
      <c r="BM17" s="28"/>
      <c r="BN17" s="28"/>
      <c r="BO17" s="28"/>
    </row>
    <row r="18" ht="15.5" spans="1:67">
      <c r="A18" s="14"/>
      <c r="B18" s="22" t="s">
        <v>338</v>
      </c>
      <c r="C18" s="23">
        <f t="shared" ref="C18:J18" si="56">BB18/1000</f>
        <v>0.0853</v>
      </c>
      <c r="D18" s="23">
        <f t="shared" si="56"/>
        <v>0.0781</v>
      </c>
      <c r="E18" s="23">
        <f t="shared" si="56"/>
        <v>0.0752</v>
      </c>
      <c r="F18" s="23">
        <f t="shared" si="56"/>
        <v>0.0743</v>
      </c>
      <c r="G18" s="23">
        <f t="shared" si="56"/>
        <v>0.0768</v>
      </c>
      <c r="H18" s="23">
        <f t="shared" si="56"/>
        <v>0.0797</v>
      </c>
      <c r="I18" s="23">
        <f t="shared" si="56"/>
        <v>0.0743</v>
      </c>
      <c r="J18" s="23">
        <f t="shared" si="56"/>
        <v>0.0743</v>
      </c>
      <c r="K18" s="15"/>
      <c r="L18" s="15"/>
      <c r="M18" s="28">
        <v>5.937</v>
      </c>
      <c r="N18" s="28">
        <v>5.845</v>
      </c>
      <c r="O18" s="28">
        <v>5.575</v>
      </c>
      <c r="P18" s="28">
        <v>5.276</v>
      </c>
      <c r="Q18" s="28">
        <v>5.363</v>
      </c>
      <c r="R18" s="28">
        <v>6.645</v>
      </c>
      <c r="S18" s="28">
        <v>5.654</v>
      </c>
      <c r="T18" s="28"/>
      <c r="U18" s="14"/>
      <c r="V18" s="22" t="s">
        <v>338</v>
      </c>
      <c r="W18" s="25">
        <f t="shared" ref="W18:AC18" si="57">D18/M18</f>
        <v>0.0131547919824827</v>
      </c>
      <c r="X18" s="25">
        <f t="shared" si="57"/>
        <v>0.0128656971770744</v>
      </c>
      <c r="Y18" s="25">
        <f t="shared" si="57"/>
        <v>0.0133273542600897</v>
      </c>
      <c r="Z18" s="25">
        <f t="shared" si="57"/>
        <v>0.0145564821834723</v>
      </c>
      <c r="AA18" s="25">
        <f t="shared" si="57"/>
        <v>0.0148610852134999</v>
      </c>
      <c r="AB18" s="26">
        <f t="shared" si="57"/>
        <v>0.0111813393528969</v>
      </c>
      <c r="AC18" s="26">
        <f t="shared" si="57"/>
        <v>0.0131411390166254</v>
      </c>
      <c r="AD18" s="15"/>
      <c r="AE18" s="15"/>
      <c r="AF18" s="25">
        <f t="shared" ref="AF18:AJ18" si="58">W18</f>
        <v>0.0131547919824827</v>
      </c>
      <c r="AG18" s="25">
        <f t="shared" si="58"/>
        <v>0.0128656971770744</v>
      </c>
      <c r="AH18" s="25">
        <f t="shared" si="58"/>
        <v>0.0133273542600897</v>
      </c>
      <c r="AI18" s="25">
        <f t="shared" si="58"/>
        <v>0.0145564821834723</v>
      </c>
      <c r="AJ18" s="25">
        <f t="shared" si="58"/>
        <v>0.0148610852134999</v>
      </c>
      <c r="AK18" s="27">
        <f t="shared" si="35"/>
        <v>0.0128585402558315</v>
      </c>
      <c r="AL18" s="27">
        <f t="shared" si="36"/>
        <v>0.0151123098691192</v>
      </c>
      <c r="AM18" s="15"/>
      <c r="AN18" s="15"/>
      <c r="AO18" s="25">
        <f t="shared" ref="AO18:AS18" si="59">W18</f>
        <v>0.0131547919824827</v>
      </c>
      <c r="AP18" s="25">
        <f t="shared" si="59"/>
        <v>0.0128656971770744</v>
      </c>
      <c r="AQ18" s="25">
        <f t="shared" si="59"/>
        <v>0.0133273542600897</v>
      </c>
      <c r="AR18" s="25">
        <f t="shared" si="59"/>
        <v>0.0145564821834723</v>
      </c>
      <c r="AS18" s="25">
        <f t="shared" si="59"/>
        <v>0.0148610852134999</v>
      </c>
      <c r="AT18" s="27">
        <f t="shared" si="38"/>
        <v>0.00950413844996238</v>
      </c>
      <c r="AU18" s="27">
        <f t="shared" si="39"/>
        <v>0.0111699681641316</v>
      </c>
      <c r="AZ18" s="14"/>
      <c r="BA18" s="22" t="s">
        <v>338</v>
      </c>
      <c r="BB18" s="23">
        <v>85.3</v>
      </c>
      <c r="BC18" s="25">
        <v>78.1</v>
      </c>
      <c r="BD18" s="25">
        <v>75.2</v>
      </c>
      <c r="BE18" s="25">
        <v>74.3</v>
      </c>
      <c r="BF18" s="25">
        <v>76.8</v>
      </c>
      <c r="BG18" s="25">
        <v>79.7</v>
      </c>
      <c r="BH18" s="25">
        <v>74.3</v>
      </c>
      <c r="BI18" s="25">
        <v>74.3</v>
      </c>
      <c r="BJ18" s="15"/>
      <c r="BK18" s="15"/>
      <c r="BL18" s="28"/>
      <c r="BM18" s="28"/>
      <c r="BN18" s="28"/>
      <c r="BO18" s="28"/>
    </row>
    <row r="19" ht="15.5" spans="1:67">
      <c r="A19" s="15"/>
      <c r="B19" s="15"/>
      <c r="C19" s="18"/>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Z19" s="15"/>
      <c r="BA19" s="15"/>
      <c r="BB19" s="18"/>
      <c r="BC19" s="15"/>
      <c r="BD19" s="15"/>
      <c r="BE19" s="15"/>
      <c r="BF19" s="15"/>
      <c r="BG19" s="15"/>
      <c r="BH19" s="15"/>
      <c r="BI19" s="15"/>
      <c r="BJ19" s="15"/>
      <c r="BK19" s="15"/>
      <c r="BL19" s="15"/>
      <c r="BM19" s="15"/>
      <c r="BN19" s="15"/>
      <c r="BO19" s="15"/>
    </row>
    <row r="20" ht="15.5" spans="1:67">
      <c r="A20" s="15"/>
      <c r="B20" s="15"/>
      <c r="C20" s="18"/>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Z20" s="15"/>
      <c r="BA20" s="15"/>
      <c r="BB20" s="18"/>
      <c r="BC20" s="15"/>
      <c r="BD20" s="15"/>
      <c r="BE20" s="15"/>
      <c r="BF20" s="15"/>
      <c r="BG20" s="15"/>
      <c r="BH20" s="15"/>
      <c r="BI20" s="15"/>
      <c r="BJ20" s="15"/>
      <c r="BK20" s="15"/>
      <c r="BL20" s="15"/>
      <c r="BM20" s="15"/>
      <c r="BN20" s="15"/>
      <c r="BO20" s="15"/>
    </row>
    <row r="21" ht="15.5" spans="1:67">
      <c r="A21" s="14" t="s">
        <v>352</v>
      </c>
      <c r="B21" s="14"/>
      <c r="C21" s="14"/>
      <c r="D21" s="14"/>
      <c r="E21" s="14"/>
      <c r="F21" s="14"/>
      <c r="G21" s="14"/>
      <c r="H21" s="14"/>
      <c r="I21" s="14"/>
      <c r="J21" s="14"/>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Z21" s="14" t="s">
        <v>352</v>
      </c>
      <c r="BA21" s="14"/>
      <c r="BB21" s="14"/>
      <c r="BC21" s="14"/>
      <c r="BD21" s="14"/>
      <c r="BE21" s="14"/>
      <c r="BF21" s="14"/>
      <c r="BG21" s="14"/>
      <c r="BH21" s="14"/>
      <c r="BI21" s="14"/>
      <c r="BJ21" s="15"/>
      <c r="BK21" s="15"/>
      <c r="BL21" s="15"/>
      <c r="BM21" s="15"/>
      <c r="BN21" s="15"/>
      <c r="BO21" s="15"/>
    </row>
    <row r="22" ht="15.5" spans="1:67">
      <c r="A22" s="14" t="s">
        <v>322</v>
      </c>
      <c r="B22" s="14" t="s">
        <v>353</v>
      </c>
      <c r="C22" s="14" t="s">
        <v>324</v>
      </c>
      <c r="D22" s="14"/>
      <c r="E22" s="14"/>
      <c r="F22" s="14"/>
      <c r="G22" s="14"/>
      <c r="H22" s="14"/>
      <c r="I22" s="14"/>
      <c r="J22" s="14"/>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Z22" s="14" t="s">
        <v>322</v>
      </c>
      <c r="BA22" s="14" t="s">
        <v>353</v>
      </c>
      <c r="BB22" s="14" t="s">
        <v>324</v>
      </c>
      <c r="BC22" s="14"/>
      <c r="BD22" s="14"/>
      <c r="BE22" s="14"/>
      <c r="BF22" s="14"/>
      <c r="BG22" s="14"/>
      <c r="BH22" s="14"/>
      <c r="BI22" s="14"/>
      <c r="BJ22" s="15"/>
      <c r="BK22" s="15"/>
      <c r="BL22" s="15"/>
      <c r="BM22" s="15"/>
      <c r="BN22" s="15"/>
      <c r="BO22" s="15"/>
    </row>
    <row r="23" ht="30" spans="1:67">
      <c r="A23" s="14"/>
      <c r="B23" s="14"/>
      <c r="C23" s="18" t="s">
        <v>325</v>
      </c>
      <c r="D23" s="15" t="s">
        <v>326</v>
      </c>
      <c r="E23" s="15" t="s">
        <v>327</v>
      </c>
      <c r="F23" s="19" t="s">
        <v>328</v>
      </c>
      <c r="G23" s="15" t="s">
        <v>329</v>
      </c>
      <c r="H23" s="15" t="s">
        <v>330</v>
      </c>
      <c r="I23" s="15" t="s">
        <v>331</v>
      </c>
      <c r="J23" s="15" t="s">
        <v>332</v>
      </c>
      <c r="K23" s="15"/>
      <c r="L23" s="15"/>
      <c r="M23" s="15" t="s">
        <v>326</v>
      </c>
      <c r="N23" s="15" t="s">
        <v>327</v>
      </c>
      <c r="O23" s="15" t="s">
        <v>328</v>
      </c>
      <c r="P23" s="15" t="s">
        <v>329</v>
      </c>
      <c r="Q23" s="15" t="s">
        <v>330</v>
      </c>
      <c r="R23" s="15" t="s">
        <v>331</v>
      </c>
      <c r="S23" s="15" t="s">
        <v>332</v>
      </c>
      <c r="T23" s="15"/>
      <c r="U23" s="15"/>
      <c r="V23" s="17" t="s">
        <v>351</v>
      </c>
      <c r="W23" s="15" t="s">
        <v>326</v>
      </c>
      <c r="X23" s="15" t="s">
        <v>327</v>
      </c>
      <c r="Y23" s="19" t="s">
        <v>328</v>
      </c>
      <c r="Z23" s="15" t="s">
        <v>329</v>
      </c>
      <c r="AA23" s="15" t="s">
        <v>330</v>
      </c>
      <c r="AB23" s="21" t="s">
        <v>331</v>
      </c>
      <c r="AC23" s="21" t="s">
        <v>332</v>
      </c>
      <c r="AD23" s="15"/>
      <c r="AE23" s="15"/>
      <c r="AF23" s="15" t="s">
        <v>326</v>
      </c>
      <c r="AG23" s="15" t="s">
        <v>327</v>
      </c>
      <c r="AH23" s="19" t="s">
        <v>328</v>
      </c>
      <c r="AI23" s="15" t="s">
        <v>329</v>
      </c>
      <c r="AJ23" s="15" t="s">
        <v>330</v>
      </c>
      <c r="AK23" s="21" t="s">
        <v>331</v>
      </c>
      <c r="AL23" s="21" t="s">
        <v>332</v>
      </c>
      <c r="AM23" s="15"/>
      <c r="AN23" s="15"/>
      <c r="AO23" s="15" t="s">
        <v>326</v>
      </c>
      <c r="AP23" s="15" t="s">
        <v>327</v>
      </c>
      <c r="AQ23" s="19" t="s">
        <v>328</v>
      </c>
      <c r="AR23" s="15" t="s">
        <v>329</v>
      </c>
      <c r="AS23" s="15" t="s">
        <v>330</v>
      </c>
      <c r="AT23" s="21" t="s">
        <v>331</v>
      </c>
      <c r="AU23" s="21" t="s">
        <v>332</v>
      </c>
      <c r="AZ23" s="14"/>
      <c r="BA23" s="14"/>
      <c r="BB23" s="18" t="s">
        <v>325</v>
      </c>
      <c r="BC23" s="15" t="s">
        <v>326</v>
      </c>
      <c r="BD23" s="15" t="s">
        <v>327</v>
      </c>
      <c r="BE23" s="19" t="s">
        <v>328</v>
      </c>
      <c r="BF23" s="15" t="s">
        <v>329</v>
      </c>
      <c r="BG23" s="15" t="s">
        <v>330</v>
      </c>
      <c r="BH23" s="15" t="s">
        <v>331</v>
      </c>
      <c r="BI23" s="15" t="s">
        <v>332</v>
      </c>
      <c r="BJ23" s="15"/>
      <c r="BK23" s="15"/>
      <c r="BL23" s="15"/>
      <c r="BM23" s="15"/>
      <c r="BN23" s="15"/>
      <c r="BO23" s="15"/>
    </row>
    <row r="24" ht="15.5" spans="1:67">
      <c r="A24" s="14" t="s">
        <v>333</v>
      </c>
      <c r="B24" s="22" t="s">
        <v>334</v>
      </c>
      <c r="C24" s="23">
        <f t="shared" ref="C24:J24" si="60">BB24/1000</f>
        <v>0.8898</v>
      </c>
      <c r="D24" s="23">
        <f t="shared" si="60"/>
        <v>0.8432</v>
      </c>
      <c r="E24" s="23">
        <f t="shared" si="60"/>
        <v>0.8038</v>
      </c>
      <c r="F24" s="23">
        <f t="shared" si="60"/>
        <v>0.7946</v>
      </c>
      <c r="G24" s="23">
        <f t="shared" si="60"/>
        <v>0.7665</v>
      </c>
      <c r="H24" s="23">
        <f t="shared" si="60"/>
        <v>0.8066</v>
      </c>
      <c r="I24" s="23">
        <f t="shared" si="60"/>
        <v>0.7946</v>
      </c>
      <c r="J24" s="23">
        <f t="shared" si="60"/>
        <v>0.7946</v>
      </c>
      <c r="K24" s="15"/>
      <c r="L24" s="15"/>
      <c r="M24" s="24">
        <v>5.937</v>
      </c>
      <c r="N24" s="24">
        <v>5.845</v>
      </c>
      <c r="O24" s="24">
        <v>5.575</v>
      </c>
      <c r="P24" s="24">
        <v>5.276</v>
      </c>
      <c r="Q24" s="24">
        <v>5.363</v>
      </c>
      <c r="R24" s="24">
        <v>6.645</v>
      </c>
      <c r="S24" s="24">
        <v>5.654</v>
      </c>
      <c r="T24" s="24"/>
      <c r="U24" s="14" t="s">
        <v>333</v>
      </c>
      <c r="V24" s="22" t="s">
        <v>334</v>
      </c>
      <c r="W24" s="25">
        <f t="shared" ref="W24:AC24" si="61">D24/M24</f>
        <v>0.142024591544551</v>
      </c>
      <c r="X24" s="25">
        <f t="shared" si="61"/>
        <v>0.137519247219846</v>
      </c>
      <c r="Y24" s="25">
        <f t="shared" si="61"/>
        <v>0.142529147982063</v>
      </c>
      <c r="Z24" s="25">
        <f t="shared" si="61"/>
        <v>0.145280515542077</v>
      </c>
      <c r="AA24" s="25">
        <f t="shared" si="61"/>
        <v>0.150400895021443</v>
      </c>
      <c r="AB24" s="26">
        <f t="shared" si="61"/>
        <v>0.119578630549285</v>
      </c>
      <c r="AC24" s="26">
        <f t="shared" si="61"/>
        <v>0.140537672444287</v>
      </c>
      <c r="AD24" s="15"/>
      <c r="AE24" s="15"/>
      <c r="AF24" s="25">
        <f t="shared" ref="AF24:AJ24" si="62">W24</f>
        <v>0.142024591544551</v>
      </c>
      <c r="AG24" s="25">
        <f t="shared" si="62"/>
        <v>0.137519247219846</v>
      </c>
      <c r="AH24" s="25">
        <f t="shared" si="62"/>
        <v>0.142529147982063</v>
      </c>
      <c r="AI24" s="25">
        <f t="shared" si="62"/>
        <v>0.145280515542077</v>
      </c>
      <c r="AJ24" s="25">
        <f t="shared" si="62"/>
        <v>0.150400895021443</v>
      </c>
      <c r="AK24" s="27">
        <f t="shared" ref="AK24:AK38" si="63">AB24*1.15</f>
        <v>0.137515425131678</v>
      </c>
      <c r="AL24" s="27">
        <f t="shared" ref="AL24:AL38" si="64">AC24*1.15</f>
        <v>0.16161832331093</v>
      </c>
      <c r="AM24" s="15"/>
      <c r="AN24" s="15"/>
      <c r="AO24" s="25">
        <f t="shared" ref="AO24:AS24" si="65">W24</f>
        <v>0.142024591544551</v>
      </c>
      <c r="AP24" s="25">
        <f t="shared" si="65"/>
        <v>0.137519247219846</v>
      </c>
      <c r="AQ24" s="25">
        <f t="shared" si="65"/>
        <v>0.142529147982063</v>
      </c>
      <c r="AR24" s="25">
        <f t="shared" si="65"/>
        <v>0.145280515542077</v>
      </c>
      <c r="AS24" s="25">
        <f t="shared" si="65"/>
        <v>0.150400895021443</v>
      </c>
      <c r="AT24" s="27">
        <f t="shared" ref="AT24:AT38" si="66">AB24*0.85</f>
        <v>0.101641835966892</v>
      </c>
      <c r="AU24" s="27">
        <f t="shared" ref="AU24:AU38" si="67">AC24*0.85</f>
        <v>0.119457021577644</v>
      </c>
      <c r="AZ24" s="14" t="s">
        <v>333</v>
      </c>
      <c r="BA24" s="22" t="s">
        <v>334</v>
      </c>
      <c r="BB24" s="23">
        <v>889.8</v>
      </c>
      <c r="BC24" s="25">
        <v>843.2</v>
      </c>
      <c r="BD24" s="25">
        <v>803.8</v>
      </c>
      <c r="BE24" s="25">
        <v>794.6</v>
      </c>
      <c r="BF24" s="25">
        <v>766.5</v>
      </c>
      <c r="BG24" s="25">
        <v>806.6</v>
      </c>
      <c r="BH24" s="25">
        <v>794.6</v>
      </c>
      <c r="BI24" s="25">
        <v>794.6</v>
      </c>
      <c r="BJ24" s="15"/>
      <c r="BK24" s="15"/>
      <c r="BL24" s="24"/>
      <c r="BM24" s="24"/>
      <c r="BN24" s="24"/>
      <c r="BO24" s="24"/>
    </row>
    <row r="25" ht="15.5" spans="1:67">
      <c r="A25" s="14"/>
      <c r="B25" s="22" t="s">
        <v>335</v>
      </c>
      <c r="C25" s="23">
        <f t="shared" ref="C25:J25" si="68">BB25/1000</f>
        <v>0.8124</v>
      </c>
      <c r="D25" s="23">
        <f t="shared" si="68"/>
        <v>0.7746</v>
      </c>
      <c r="E25" s="23">
        <f t="shared" si="68"/>
        <v>0.739</v>
      </c>
      <c r="F25" s="23">
        <f t="shared" si="68"/>
        <v>0.7307</v>
      </c>
      <c r="G25" s="23">
        <f t="shared" si="68"/>
        <v>0.7045</v>
      </c>
      <c r="H25" s="23">
        <f t="shared" si="68"/>
        <v>0.7424</v>
      </c>
      <c r="I25" s="23">
        <f t="shared" si="68"/>
        <v>0.7307</v>
      </c>
      <c r="J25" s="23">
        <f t="shared" si="68"/>
        <v>0.7307</v>
      </c>
      <c r="K25" s="15"/>
      <c r="L25" s="15"/>
      <c r="M25" s="28">
        <v>5.937</v>
      </c>
      <c r="N25" s="28">
        <v>5.845</v>
      </c>
      <c r="O25" s="28">
        <v>5.575</v>
      </c>
      <c r="P25" s="28">
        <v>5.276</v>
      </c>
      <c r="Q25" s="28">
        <v>5.363</v>
      </c>
      <c r="R25" s="28">
        <v>6.645</v>
      </c>
      <c r="S25" s="28">
        <v>5.654</v>
      </c>
      <c r="T25" s="28"/>
      <c r="U25" s="14"/>
      <c r="V25" s="22" t="s">
        <v>335</v>
      </c>
      <c r="W25" s="25">
        <f t="shared" ref="W25:AC25" si="69">D25/M25</f>
        <v>0.130469934310258</v>
      </c>
      <c r="X25" s="25">
        <f t="shared" si="69"/>
        <v>0.126432848588537</v>
      </c>
      <c r="Y25" s="25">
        <f t="shared" si="69"/>
        <v>0.131067264573991</v>
      </c>
      <c r="Z25" s="25">
        <f t="shared" si="69"/>
        <v>0.133529188779378</v>
      </c>
      <c r="AA25" s="25">
        <f t="shared" si="69"/>
        <v>0.138429983218348</v>
      </c>
      <c r="AB25" s="26">
        <f t="shared" si="69"/>
        <v>0.109962377727615</v>
      </c>
      <c r="AC25" s="26">
        <f t="shared" si="69"/>
        <v>0.129235939158118</v>
      </c>
      <c r="AD25" s="15"/>
      <c r="AE25" s="15"/>
      <c r="AF25" s="25">
        <f t="shared" ref="AF25:AJ25" si="70">W25</f>
        <v>0.130469934310258</v>
      </c>
      <c r="AG25" s="25">
        <f t="shared" si="70"/>
        <v>0.126432848588537</v>
      </c>
      <c r="AH25" s="25">
        <f t="shared" si="70"/>
        <v>0.131067264573991</v>
      </c>
      <c r="AI25" s="25">
        <f t="shared" si="70"/>
        <v>0.133529188779378</v>
      </c>
      <c r="AJ25" s="25">
        <f t="shared" si="70"/>
        <v>0.138429983218348</v>
      </c>
      <c r="AK25" s="27">
        <f t="shared" si="63"/>
        <v>0.126456734386757</v>
      </c>
      <c r="AL25" s="27">
        <f t="shared" si="64"/>
        <v>0.148621330031836</v>
      </c>
      <c r="AM25" s="15"/>
      <c r="AN25" s="15"/>
      <c r="AO25" s="25">
        <f t="shared" ref="AO25:AS25" si="71">W25</f>
        <v>0.130469934310258</v>
      </c>
      <c r="AP25" s="25">
        <f t="shared" si="71"/>
        <v>0.126432848588537</v>
      </c>
      <c r="AQ25" s="25">
        <f t="shared" si="71"/>
        <v>0.131067264573991</v>
      </c>
      <c r="AR25" s="25">
        <f t="shared" si="71"/>
        <v>0.133529188779378</v>
      </c>
      <c r="AS25" s="25">
        <f t="shared" si="71"/>
        <v>0.138429983218348</v>
      </c>
      <c r="AT25" s="27">
        <f t="shared" si="66"/>
        <v>0.0934680210684725</v>
      </c>
      <c r="AU25" s="27">
        <f t="shared" si="67"/>
        <v>0.1098505482844</v>
      </c>
      <c r="AZ25" s="14"/>
      <c r="BA25" s="22" t="s">
        <v>335</v>
      </c>
      <c r="BB25" s="23">
        <v>812.4</v>
      </c>
      <c r="BC25" s="25">
        <v>774.6</v>
      </c>
      <c r="BD25" s="25">
        <v>739</v>
      </c>
      <c r="BE25" s="25">
        <v>730.7</v>
      </c>
      <c r="BF25" s="25">
        <v>704.5</v>
      </c>
      <c r="BG25" s="25">
        <v>742.4</v>
      </c>
      <c r="BH25" s="25">
        <v>730.7</v>
      </c>
      <c r="BI25" s="25">
        <v>730.7</v>
      </c>
      <c r="BJ25" s="15"/>
      <c r="BK25" s="15"/>
      <c r="BL25" s="28"/>
      <c r="BM25" s="28"/>
      <c r="BN25" s="28"/>
      <c r="BO25" s="28"/>
    </row>
    <row r="26" ht="15.5" spans="1:67">
      <c r="A26" s="14"/>
      <c r="B26" s="22" t="s">
        <v>336</v>
      </c>
      <c r="C26" s="23">
        <f t="shared" ref="C26:J26" si="72">BB26/1000</f>
        <v>0.1699</v>
      </c>
      <c r="D26" s="23">
        <f t="shared" si="72"/>
        <v>0.1497</v>
      </c>
      <c r="E26" s="23">
        <f t="shared" si="72"/>
        <v>0.1418</v>
      </c>
      <c r="F26" s="23">
        <f t="shared" si="72"/>
        <v>0.1399</v>
      </c>
      <c r="G26" s="23">
        <f t="shared" si="72"/>
        <v>0.1359</v>
      </c>
      <c r="H26" s="23">
        <f t="shared" si="72"/>
        <v>0.1408</v>
      </c>
      <c r="I26" s="23">
        <f t="shared" si="72"/>
        <v>0.1399</v>
      </c>
      <c r="J26" s="23">
        <f t="shared" si="72"/>
        <v>0.1399</v>
      </c>
      <c r="K26" s="15"/>
      <c r="L26" s="15"/>
      <c r="M26" s="28">
        <v>5.937</v>
      </c>
      <c r="N26" s="28">
        <v>5.845</v>
      </c>
      <c r="O26" s="28">
        <v>5.575</v>
      </c>
      <c r="P26" s="28">
        <v>5.276</v>
      </c>
      <c r="Q26" s="28">
        <v>5.363</v>
      </c>
      <c r="R26" s="28">
        <v>6.645</v>
      </c>
      <c r="S26" s="28">
        <v>5.654</v>
      </c>
      <c r="T26" s="28"/>
      <c r="U26" s="14"/>
      <c r="V26" s="22" t="s">
        <v>336</v>
      </c>
      <c r="W26" s="25">
        <f t="shared" ref="W26:AC26" si="73">D26/M26</f>
        <v>0.0252147549267307</v>
      </c>
      <c r="X26" s="25">
        <f t="shared" si="73"/>
        <v>0.0242600513259196</v>
      </c>
      <c r="Y26" s="25">
        <f t="shared" si="73"/>
        <v>0.0250941704035874</v>
      </c>
      <c r="Z26" s="25">
        <f t="shared" si="73"/>
        <v>0.0257581501137225</v>
      </c>
      <c r="AA26" s="25">
        <f t="shared" si="73"/>
        <v>0.0262539623345143</v>
      </c>
      <c r="AB26" s="26">
        <f t="shared" si="73"/>
        <v>0.0210534236267871</v>
      </c>
      <c r="AC26" s="26">
        <f t="shared" si="73"/>
        <v>0.0247435443933498</v>
      </c>
      <c r="AD26" s="15"/>
      <c r="AE26" s="15"/>
      <c r="AF26" s="25">
        <f t="shared" ref="AF26:AJ26" si="74">W26</f>
        <v>0.0252147549267307</v>
      </c>
      <c r="AG26" s="25">
        <f t="shared" si="74"/>
        <v>0.0242600513259196</v>
      </c>
      <c r="AH26" s="25">
        <f t="shared" si="74"/>
        <v>0.0250941704035874</v>
      </c>
      <c r="AI26" s="25">
        <f t="shared" si="74"/>
        <v>0.0257581501137225</v>
      </c>
      <c r="AJ26" s="25">
        <f t="shared" si="74"/>
        <v>0.0262539623345143</v>
      </c>
      <c r="AK26" s="27">
        <f t="shared" si="63"/>
        <v>0.0242114371708051</v>
      </c>
      <c r="AL26" s="27">
        <f t="shared" si="64"/>
        <v>0.0284550760523523</v>
      </c>
      <c r="AM26" s="15"/>
      <c r="AN26" s="15"/>
      <c r="AO26" s="25">
        <f t="shared" ref="AO26:AS26" si="75">W26</f>
        <v>0.0252147549267307</v>
      </c>
      <c r="AP26" s="25">
        <f t="shared" si="75"/>
        <v>0.0242600513259196</v>
      </c>
      <c r="AQ26" s="25">
        <f t="shared" si="75"/>
        <v>0.0250941704035874</v>
      </c>
      <c r="AR26" s="25">
        <f t="shared" si="75"/>
        <v>0.0257581501137225</v>
      </c>
      <c r="AS26" s="25">
        <f t="shared" si="75"/>
        <v>0.0262539623345143</v>
      </c>
      <c r="AT26" s="27">
        <f t="shared" si="66"/>
        <v>0.017895410082769</v>
      </c>
      <c r="AU26" s="27">
        <f t="shared" si="67"/>
        <v>0.0210320127343474</v>
      </c>
      <c r="AZ26" s="14"/>
      <c r="BA26" s="22" t="s">
        <v>336</v>
      </c>
      <c r="BB26" s="23">
        <v>169.9</v>
      </c>
      <c r="BC26" s="25">
        <v>149.7</v>
      </c>
      <c r="BD26" s="25">
        <v>141.8</v>
      </c>
      <c r="BE26" s="25">
        <v>139.9</v>
      </c>
      <c r="BF26" s="25">
        <v>135.9</v>
      </c>
      <c r="BG26" s="25">
        <v>140.8</v>
      </c>
      <c r="BH26" s="25">
        <v>139.9</v>
      </c>
      <c r="BI26" s="25">
        <v>139.9</v>
      </c>
      <c r="BJ26" s="15"/>
      <c r="BK26" s="15"/>
      <c r="BL26" s="28"/>
      <c r="BM26" s="28"/>
      <c r="BN26" s="28"/>
      <c r="BO26" s="28"/>
    </row>
    <row r="27" ht="15.5" spans="1:67">
      <c r="A27" s="14"/>
      <c r="B27" s="22" t="s">
        <v>337</v>
      </c>
      <c r="C27" s="23">
        <f t="shared" ref="C27:J27" si="76">BB27/1000</f>
        <v>0.5978</v>
      </c>
      <c r="D27" s="23">
        <f t="shared" si="76"/>
        <v>0.5807</v>
      </c>
      <c r="E27" s="23">
        <f t="shared" si="76"/>
        <v>0.554</v>
      </c>
      <c r="F27" s="23">
        <f t="shared" si="76"/>
        <v>0.5478</v>
      </c>
      <c r="G27" s="23">
        <f t="shared" si="76"/>
        <v>0.526</v>
      </c>
      <c r="H27" s="23">
        <f t="shared" si="76"/>
        <v>0.5575</v>
      </c>
      <c r="I27" s="23">
        <f t="shared" si="76"/>
        <v>0.5478</v>
      </c>
      <c r="J27" s="23">
        <f t="shared" si="76"/>
        <v>0.5478</v>
      </c>
      <c r="K27" s="15"/>
      <c r="L27" s="15"/>
      <c r="M27" s="28">
        <v>5.937</v>
      </c>
      <c r="N27" s="28">
        <v>5.845</v>
      </c>
      <c r="O27" s="28">
        <v>5.575</v>
      </c>
      <c r="P27" s="28">
        <v>5.276</v>
      </c>
      <c r="Q27" s="28">
        <v>5.363</v>
      </c>
      <c r="R27" s="28">
        <v>6.645</v>
      </c>
      <c r="S27" s="28">
        <v>5.654</v>
      </c>
      <c r="T27" s="28"/>
      <c r="U27" s="14"/>
      <c r="V27" s="22" t="s">
        <v>337</v>
      </c>
      <c r="W27" s="25">
        <f t="shared" ref="W27:AC27" si="77">D27/M27</f>
        <v>0.0978103419235304</v>
      </c>
      <c r="X27" s="25">
        <f t="shared" si="77"/>
        <v>0.0947818648417451</v>
      </c>
      <c r="Y27" s="25">
        <f t="shared" si="77"/>
        <v>0.0982600896860986</v>
      </c>
      <c r="Z27" s="25">
        <f t="shared" si="77"/>
        <v>0.099696739954511</v>
      </c>
      <c r="AA27" s="25">
        <f t="shared" si="77"/>
        <v>0.103953011374231</v>
      </c>
      <c r="AB27" s="26">
        <f t="shared" si="77"/>
        <v>0.0824379232505643</v>
      </c>
      <c r="AC27" s="26">
        <f t="shared" si="77"/>
        <v>0.0968871595330739</v>
      </c>
      <c r="AD27" s="15"/>
      <c r="AE27" s="15"/>
      <c r="AF27" s="25">
        <f t="shared" ref="AF27:AJ27" si="78">W27</f>
        <v>0.0978103419235304</v>
      </c>
      <c r="AG27" s="25">
        <f t="shared" si="78"/>
        <v>0.0947818648417451</v>
      </c>
      <c r="AH27" s="25">
        <f t="shared" si="78"/>
        <v>0.0982600896860986</v>
      </c>
      <c r="AI27" s="25">
        <f t="shared" si="78"/>
        <v>0.099696739954511</v>
      </c>
      <c r="AJ27" s="25">
        <f t="shared" si="78"/>
        <v>0.103953011374231</v>
      </c>
      <c r="AK27" s="27">
        <f t="shared" si="63"/>
        <v>0.094803611738149</v>
      </c>
      <c r="AL27" s="27">
        <f t="shared" si="64"/>
        <v>0.111420233463035</v>
      </c>
      <c r="AM27" s="15"/>
      <c r="AN27" s="15"/>
      <c r="AO27" s="25">
        <f t="shared" ref="AO27:AS27" si="79">W27</f>
        <v>0.0978103419235304</v>
      </c>
      <c r="AP27" s="25">
        <f t="shared" si="79"/>
        <v>0.0947818648417451</v>
      </c>
      <c r="AQ27" s="25">
        <f t="shared" si="79"/>
        <v>0.0982600896860986</v>
      </c>
      <c r="AR27" s="25">
        <f t="shared" si="79"/>
        <v>0.099696739954511</v>
      </c>
      <c r="AS27" s="25">
        <f t="shared" si="79"/>
        <v>0.103953011374231</v>
      </c>
      <c r="AT27" s="27">
        <f t="shared" si="66"/>
        <v>0.0700722347629797</v>
      </c>
      <c r="AU27" s="27">
        <f t="shared" si="67"/>
        <v>0.0823540856031128</v>
      </c>
      <c r="AZ27" s="14"/>
      <c r="BA27" s="22" t="s">
        <v>337</v>
      </c>
      <c r="BB27" s="23">
        <v>597.8</v>
      </c>
      <c r="BC27" s="25">
        <v>580.7</v>
      </c>
      <c r="BD27" s="25">
        <v>554</v>
      </c>
      <c r="BE27" s="25">
        <v>547.8</v>
      </c>
      <c r="BF27" s="25">
        <v>526</v>
      </c>
      <c r="BG27" s="25">
        <v>557.5</v>
      </c>
      <c r="BH27" s="25">
        <v>547.8</v>
      </c>
      <c r="BI27" s="25">
        <v>547.8</v>
      </c>
      <c r="BJ27" s="15"/>
      <c r="BK27" s="15"/>
      <c r="BL27" s="28"/>
      <c r="BM27" s="28"/>
      <c r="BN27" s="28"/>
      <c r="BO27" s="28"/>
    </row>
    <row r="28" ht="15.5" spans="1:67">
      <c r="A28" s="14"/>
      <c r="B28" s="22" t="s">
        <v>338</v>
      </c>
      <c r="C28" s="23">
        <f t="shared" ref="C28:J28" si="80">BB28/1000</f>
        <v>0.085</v>
      </c>
      <c r="D28" s="23">
        <f t="shared" si="80"/>
        <v>0.0786</v>
      </c>
      <c r="E28" s="23">
        <f t="shared" si="80"/>
        <v>0.0763</v>
      </c>
      <c r="F28" s="23">
        <f t="shared" si="80"/>
        <v>0.0759</v>
      </c>
      <c r="G28" s="23">
        <f t="shared" si="80"/>
        <v>0.0737</v>
      </c>
      <c r="H28" s="23">
        <f t="shared" si="80"/>
        <v>0.076</v>
      </c>
      <c r="I28" s="23">
        <f t="shared" si="80"/>
        <v>0.0759</v>
      </c>
      <c r="J28" s="23">
        <f t="shared" si="80"/>
        <v>0.0759</v>
      </c>
      <c r="K28" s="15"/>
      <c r="L28" s="15"/>
      <c r="M28" s="28">
        <v>5.937</v>
      </c>
      <c r="N28" s="28">
        <v>5.845</v>
      </c>
      <c r="O28" s="28">
        <v>5.575</v>
      </c>
      <c r="P28" s="28">
        <v>5.276</v>
      </c>
      <c r="Q28" s="28">
        <v>5.363</v>
      </c>
      <c r="R28" s="28">
        <v>6.645</v>
      </c>
      <c r="S28" s="28">
        <v>5.654</v>
      </c>
      <c r="T28" s="28"/>
      <c r="U28" s="14"/>
      <c r="V28" s="22" t="s">
        <v>338</v>
      </c>
      <c r="W28" s="25">
        <f t="shared" ref="W28:AC28" si="81">D28/M28</f>
        <v>0.0132390096008085</v>
      </c>
      <c r="X28" s="25">
        <f t="shared" si="81"/>
        <v>0.0130538922155689</v>
      </c>
      <c r="Y28" s="25">
        <f t="shared" si="81"/>
        <v>0.0136143497757848</v>
      </c>
      <c r="Z28" s="25">
        <f t="shared" si="81"/>
        <v>0.0139689158453374</v>
      </c>
      <c r="AA28" s="25">
        <f t="shared" si="81"/>
        <v>0.0141711728510162</v>
      </c>
      <c r="AB28" s="26">
        <f t="shared" si="81"/>
        <v>0.0114221218961625</v>
      </c>
      <c r="AC28" s="26">
        <f t="shared" si="81"/>
        <v>0.0134241245136187</v>
      </c>
      <c r="AD28" s="15"/>
      <c r="AE28" s="15"/>
      <c r="AF28" s="25">
        <f t="shared" ref="AF28:AJ28" si="82">W28</f>
        <v>0.0132390096008085</v>
      </c>
      <c r="AG28" s="25">
        <f t="shared" si="82"/>
        <v>0.0130538922155689</v>
      </c>
      <c r="AH28" s="25">
        <f t="shared" si="82"/>
        <v>0.0136143497757848</v>
      </c>
      <c r="AI28" s="25">
        <f t="shared" si="82"/>
        <v>0.0139689158453374</v>
      </c>
      <c r="AJ28" s="25">
        <f t="shared" si="82"/>
        <v>0.0141711728510162</v>
      </c>
      <c r="AK28" s="27">
        <f t="shared" si="63"/>
        <v>0.0131354401805869</v>
      </c>
      <c r="AL28" s="27">
        <f t="shared" si="64"/>
        <v>0.0154377431906615</v>
      </c>
      <c r="AM28" s="15"/>
      <c r="AN28" s="15"/>
      <c r="AO28" s="25">
        <f t="shared" ref="AO28:AS28" si="83">W28</f>
        <v>0.0132390096008085</v>
      </c>
      <c r="AP28" s="25">
        <f t="shared" si="83"/>
        <v>0.0130538922155689</v>
      </c>
      <c r="AQ28" s="25">
        <f t="shared" si="83"/>
        <v>0.0136143497757848</v>
      </c>
      <c r="AR28" s="25">
        <f t="shared" si="83"/>
        <v>0.0139689158453374</v>
      </c>
      <c r="AS28" s="25">
        <f t="shared" si="83"/>
        <v>0.0141711728510162</v>
      </c>
      <c r="AT28" s="27">
        <f t="shared" si="66"/>
        <v>0.00970880361173815</v>
      </c>
      <c r="AU28" s="27">
        <f t="shared" si="67"/>
        <v>0.0114105058365759</v>
      </c>
      <c r="AZ28" s="14"/>
      <c r="BA28" s="22" t="s">
        <v>338</v>
      </c>
      <c r="BB28" s="23">
        <v>85</v>
      </c>
      <c r="BC28" s="25">
        <v>78.6</v>
      </c>
      <c r="BD28" s="25">
        <v>76.3</v>
      </c>
      <c r="BE28" s="25">
        <v>75.9</v>
      </c>
      <c r="BF28" s="25">
        <v>73.7</v>
      </c>
      <c r="BG28" s="25">
        <v>76</v>
      </c>
      <c r="BH28" s="25">
        <v>75.9</v>
      </c>
      <c r="BI28" s="25">
        <v>75.9</v>
      </c>
      <c r="BJ28" s="15"/>
      <c r="BK28" s="15"/>
      <c r="BL28" s="28"/>
      <c r="BM28" s="28"/>
      <c r="BN28" s="28"/>
      <c r="BO28" s="28"/>
    </row>
    <row r="29" ht="15.5" spans="1:67">
      <c r="A29" s="14" t="s">
        <v>339</v>
      </c>
      <c r="B29" s="22" t="s">
        <v>334</v>
      </c>
      <c r="C29" s="23">
        <f t="shared" ref="C29:J29" si="84">BB29/1000</f>
        <v>0.9068</v>
      </c>
      <c r="D29" s="23">
        <f t="shared" si="84"/>
        <v>0.8586</v>
      </c>
      <c r="E29" s="23">
        <f t="shared" si="84"/>
        <v>0.8184</v>
      </c>
      <c r="F29" s="23">
        <f t="shared" si="84"/>
        <v>0.8091</v>
      </c>
      <c r="G29" s="23">
        <f t="shared" si="84"/>
        <v>0.7811</v>
      </c>
      <c r="H29" s="23">
        <f t="shared" si="84"/>
        <v>0.8217</v>
      </c>
      <c r="I29" s="23">
        <f t="shared" si="84"/>
        <v>0.8091</v>
      </c>
      <c r="J29" s="23">
        <f t="shared" si="84"/>
        <v>0.8091</v>
      </c>
      <c r="K29" s="15"/>
      <c r="L29" s="15"/>
      <c r="M29" s="28">
        <v>5.937</v>
      </c>
      <c r="N29" s="28">
        <v>5.845</v>
      </c>
      <c r="O29" s="28">
        <v>5.575</v>
      </c>
      <c r="P29" s="28">
        <v>5.276</v>
      </c>
      <c r="Q29" s="28">
        <v>5.363</v>
      </c>
      <c r="R29" s="28">
        <v>6.645</v>
      </c>
      <c r="S29" s="28">
        <v>5.654</v>
      </c>
      <c r="T29" s="28"/>
      <c r="U29" s="14" t="s">
        <v>339</v>
      </c>
      <c r="V29" s="22" t="s">
        <v>334</v>
      </c>
      <c r="W29" s="25">
        <f t="shared" ref="W29:AC29" si="85">D29/M29</f>
        <v>0.144618494188984</v>
      </c>
      <c r="X29" s="25">
        <f t="shared" si="85"/>
        <v>0.140017108639863</v>
      </c>
      <c r="Y29" s="25">
        <f t="shared" si="85"/>
        <v>0.145130044843049</v>
      </c>
      <c r="Z29" s="25">
        <f t="shared" si="85"/>
        <v>0.148047763457165</v>
      </c>
      <c r="AA29" s="25">
        <f t="shared" si="85"/>
        <v>0.153216483311579</v>
      </c>
      <c r="AB29" s="26">
        <f t="shared" si="85"/>
        <v>0.12176072234763</v>
      </c>
      <c r="AC29" s="26">
        <f t="shared" si="85"/>
        <v>0.143102228510789</v>
      </c>
      <c r="AD29" s="15"/>
      <c r="AE29" s="15"/>
      <c r="AF29" s="25">
        <f t="shared" ref="AF29:AJ29" si="86">W29</f>
        <v>0.144618494188984</v>
      </c>
      <c r="AG29" s="25">
        <f t="shared" si="86"/>
        <v>0.140017108639863</v>
      </c>
      <c r="AH29" s="25">
        <f t="shared" si="86"/>
        <v>0.145130044843049</v>
      </c>
      <c r="AI29" s="25">
        <f t="shared" si="86"/>
        <v>0.148047763457165</v>
      </c>
      <c r="AJ29" s="25">
        <f t="shared" si="86"/>
        <v>0.153216483311579</v>
      </c>
      <c r="AK29" s="27">
        <f t="shared" si="63"/>
        <v>0.140024830699774</v>
      </c>
      <c r="AL29" s="27">
        <f t="shared" si="64"/>
        <v>0.164567562787407</v>
      </c>
      <c r="AM29" s="15"/>
      <c r="AN29" s="15"/>
      <c r="AO29" s="25">
        <f t="shared" ref="AO29:AS29" si="87">W29</f>
        <v>0.144618494188984</v>
      </c>
      <c r="AP29" s="25">
        <f t="shared" si="87"/>
        <v>0.140017108639863</v>
      </c>
      <c r="AQ29" s="25">
        <f t="shared" si="87"/>
        <v>0.145130044843049</v>
      </c>
      <c r="AR29" s="25">
        <f t="shared" si="87"/>
        <v>0.148047763457165</v>
      </c>
      <c r="AS29" s="25">
        <f t="shared" si="87"/>
        <v>0.153216483311579</v>
      </c>
      <c r="AT29" s="27">
        <f t="shared" si="66"/>
        <v>0.103496613995485</v>
      </c>
      <c r="AU29" s="27">
        <f t="shared" si="67"/>
        <v>0.12163689423417</v>
      </c>
      <c r="AZ29" s="14" t="s">
        <v>339</v>
      </c>
      <c r="BA29" s="22" t="s">
        <v>334</v>
      </c>
      <c r="BB29" s="23">
        <v>906.8</v>
      </c>
      <c r="BC29" s="25">
        <v>858.6</v>
      </c>
      <c r="BD29" s="25">
        <v>818.4</v>
      </c>
      <c r="BE29" s="25">
        <v>809.1</v>
      </c>
      <c r="BF29" s="25">
        <v>781.1</v>
      </c>
      <c r="BG29" s="25">
        <v>821.7</v>
      </c>
      <c r="BH29" s="25">
        <v>809.1</v>
      </c>
      <c r="BI29" s="25">
        <v>809.1</v>
      </c>
      <c r="BJ29" s="15"/>
      <c r="BK29" s="15"/>
      <c r="BL29" s="28"/>
      <c r="BM29" s="28"/>
      <c r="BN29" s="28"/>
      <c r="BO29" s="28"/>
    </row>
    <row r="30" ht="15.5" spans="1:67">
      <c r="A30" s="14"/>
      <c r="B30" s="22" t="s">
        <v>335</v>
      </c>
      <c r="C30" s="23">
        <f t="shared" ref="C30:J30" si="88">BB30/1000</f>
        <v>0.8303</v>
      </c>
      <c r="D30" s="23">
        <f t="shared" si="88"/>
        <v>0.7909</v>
      </c>
      <c r="E30" s="23">
        <f t="shared" si="88"/>
        <v>0.7545</v>
      </c>
      <c r="F30" s="23">
        <f t="shared" si="88"/>
        <v>0.746</v>
      </c>
      <c r="G30" s="23">
        <f t="shared" si="88"/>
        <v>0.7199</v>
      </c>
      <c r="H30" s="23">
        <f t="shared" si="88"/>
        <v>0.7584</v>
      </c>
      <c r="I30" s="23">
        <f t="shared" si="88"/>
        <v>0.746</v>
      </c>
      <c r="J30" s="23">
        <f t="shared" si="88"/>
        <v>0.746</v>
      </c>
      <c r="K30" s="15"/>
      <c r="L30" s="15"/>
      <c r="M30" s="28">
        <v>5.937</v>
      </c>
      <c r="N30" s="28">
        <v>5.845</v>
      </c>
      <c r="O30" s="28">
        <v>5.575</v>
      </c>
      <c r="P30" s="28">
        <v>5.276</v>
      </c>
      <c r="Q30" s="28">
        <v>5.363</v>
      </c>
      <c r="R30" s="28">
        <v>6.645</v>
      </c>
      <c r="S30" s="28">
        <v>5.654</v>
      </c>
      <c r="T30" s="28"/>
      <c r="U30" s="14"/>
      <c r="V30" s="22" t="s">
        <v>335</v>
      </c>
      <c r="W30" s="25">
        <f t="shared" ref="W30:AC30" si="89">D30/M30</f>
        <v>0.133215428667677</v>
      </c>
      <c r="X30" s="25">
        <f t="shared" si="89"/>
        <v>0.129084687767322</v>
      </c>
      <c r="Y30" s="25">
        <f t="shared" si="89"/>
        <v>0.133811659192825</v>
      </c>
      <c r="Z30" s="25">
        <f t="shared" si="89"/>
        <v>0.13644806671721</v>
      </c>
      <c r="AA30" s="25">
        <f t="shared" si="89"/>
        <v>0.141413388029088</v>
      </c>
      <c r="AB30" s="26">
        <f t="shared" si="89"/>
        <v>0.112264860797592</v>
      </c>
      <c r="AC30" s="26">
        <f t="shared" si="89"/>
        <v>0.131941987973116</v>
      </c>
      <c r="AD30" s="15"/>
      <c r="AE30" s="15"/>
      <c r="AF30" s="25">
        <f t="shared" ref="AF30:AJ30" si="90">W30</f>
        <v>0.133215428667677</v>
      </c>
      <c r="AG30" s="25">
        <f t="shared" si="90"/>
        <v>0.129084687767322</v>
      </c>
      <c r="AH30" s="25">
        <f t="shared" si="90"/>
        <v>0.133811659192825</v>
      </c>
      <c r="AI30" s="25">
        <f t="shared" si="90"/>
        <v>0.13644806671721</v>
      </c>
      <c r="AJ30" s="25">
        <f t="shared" si="90"/>
        <v>0.141413388029088</v>
      </c>
      <c r="AK30" s="27">
        <f t="shared" si="63"/>
        <v>0.129104589917231</v>
      </c>
      <c r="AL30" s="27">
        <f t="shared" si="64"/>
        <v>0.151733286169084</v>
      </c>
      <c r="AM30" s="15"/>
      <c r="AN30" s="15"/>
      <c r="AO30" s="25">
        <f t="shared" ref="AO30:AS30" si="91">W30</f>
        <v>0.133215428667677</v>
      </c>
      <c r="AP30" s="25">
        <f t="shared" si="91"/>
        <v>0.129084687767322</v>
      </c>
      <c r="AQ30" s="25">
        <f t="shared" si="91"/>
        <v>0.133811659192825</v>
      </c>
      <c r="AR30" s="25">
        <f t="shared" si="91"/>
        <v>0.13644806671721</v>
      </c>
      <c r="AS30" s="25">
        <f t="shared" si="91"/>
        <v>0.141413388029088</v>
      </c>
      <c r="AT30" s="27">
        <f t="shared" si="66"/>
        <v>0.0954251316779534</v>
      </c>
      <c r="AU30" s="27">
        <f t="shared" si="67"/>
        <v>0.112150689777149</v>
      </c>
      <c r="AZ30" s="14"/>
      <c r="BA30" s="22" t="s">
        <v>335</v>
      </c>
      <c r="BB30" s="23">
        <v>830.3</v>
      </c>
      <c r="BC30" s="25">
        <v>790.9</v>
      </c>
      <c r="BD30" s="25">
        <v>754.5</v>
      </c>
      <c r="BE30" s="25">
        <v>746</v>
      </c>
      <c r="BF30" s="25">
        <v>719.9</v>
      </c>
      <c r="BG30" s="25">
        <v>758.4</v>
      </c>
      <c r="BH30" s="25">
        <v>746</v>
      </c>
      <c r="BI30" s="25">
        <v>746</v>
      </c>
      <c r="BJ30" s="15"/>
      <c r="BK30" s="15"/>
      <c r="BL30" s="28"/>
      <c r="BM30" s="28"/>
      <c r="BN30" s="28"/>
      <c r="BO30" s="28"/>
    </row>
    <row r="31" ht="15.5" spans="1:67">
      <c r="A31" s="14"/>
      <c r="B31" s="22" t="s">
        <v>336</v>
      </c>
      <c r="C31" s="23">
        <f t="shared" ref="C31:J31" si="92">BB31/1000</f>
        <v>0.2079</v>
      </c>
      <c r="D31" s="23">
        <f t="shared" si="92"/>
        <v>0.1842</v>
      </c>
      <c r="E31" s="23">
        <f t="shared" si="92"/>
        <v>0.1746</v>
      </c>
      <c r="F31" s="23">
        <f t="shared" si="92"/>
        <v>0.1724</v>
      </c>
      <c r="G31" s="23">
        <f t="shared" si="92"/>
        <v>0.1687</v>
      </c>
      <c r="H31" s="23">
        <f t="shared" si="92"/>
        <v>0.1747</v>
      </c>
      <c r="I31" s="23">
        <f t="shared" si="92"/>
        <v>0.1724</v>
      </c>
      <c r="J31" s="23">
        <f t="shared" si="92"/>
        <v>0.1724</v>
      </c>
      <c r="K31" s="15"/>
      <c r="L31" s="15"/>
      <c r="M31" s="28">
        <v>5.937</v>
      </c>
      <c r="N31" s="28">
        <v>5.845</v>
      </c>
      <c r="O31" s="28">
        <v>5.575</v>
      </c>
      <c r="P31" s="28">
        <v>5.276</v>
      </c>
      <c r="Q31" s="28">
        <v>5.363</v>
      </c>
      <c r="R31" s="28">
        <v>6.645</v>
      </c>
      <c r="S31" s="28">
        <v>5.654</v>
      </c>
      <c r="T31" s="28"/>
      <c r="U31" s="14"/>
      <c r="V31" s="22" t="s">
        <v>336</v>
      </c>
      <c r="W31" s="25">
        <f t="shared" ref="W31:AC31" si="93">D31/M31</f>
        <v>0.0310257705912077</v>
      </c>
      <c r="X31" s="25">
        <f t="shared" si="93"/>
        <v>0.0298716852010265</v>
      </c>
      <c r="Y31" s="25">
        <f t="shared" si="93"/>
        <v>0.0309237668161435</v>
      </c>
      <c r="Z31" s="25">
        <f t="shared" si="93"/>
        <v>0.0319749810462472</v>
      </c>
      <c r="AA31" s="25">
        <f t="shared" si="93"/>
        <v>0.0325750512772702</v>
      </c>
      <c r="AB31" s="26">
        <f t="shared" si="93"/>
        <v>0.0259443190368698</v>
      </c>
      <c r="AC31" s="26">
        <f t="shared" si="93"/>
        <v>0.0304916873010258</v>
      </c>
      <c r="AD31" s="15"/>
      <c r="AE31" s="15"/>
      <c r="AF31" s="25">
        <f t="shared" ref="AF31:AJ31" si="94">W31</f>
        <v>0.0310257705912077</v>
      </c>
      <c r="AG31" s="25">
        <f t="shared" si="94"/>
        <v>0.0298716852010265</v>
      </c>
      <c r="AH31" s="25">
        <f t="shared" si="94"/>
        <v>0.0309237668161435</v>
      </c>
      <c r="AI31" s="25">
        <f t="shared" si="94"/>
        <v>0.0319749810462472</v>
      </c>
      <c r="AJ31" s="25">
        <f t="shared" si="94"/>
        <v>0.0325750512772702</v>
      </c>
      <c r="AK31" s="27">
        <f t="shared" si="63"/>
        <v>0.0298359668924003</v>
      </c>
      <c r="AL31" s="27">
        <f t="shared" si="64"/>
        <v>0.0350654403961797</v>
      </c>
      <c r="AM31" s="15"/>
      <c r="AN31" s="15"/>
      <c r="AO31" s="25">
        <f t="shared" ref="AO31:AS31" si="95">W31</f>
        <v>0.0310257705912077</v>
      </c>
      <c r="AP31" s="25">
        <f t="shared" si="95"/>
        <v>0.0298716852010265</v>
      </c>
      <c r="AQ31" s="25">
        <f t="shared" si="95"/>
        <v>0.0309237668161435</v>
      </c>
      <c r="AR31" s="25">
        <f t="shared" si="95"/>
        <v>0.0319749810462472</v>
      </c>
      <c r="AS31" s="25">
        <f t="shared" si="95"/>
        <v>0.0325750512772702</v>
      </c>
      <c r="AT31" s="27">
        <f t="shared" si="66"/>
        <v>0.0220526711813394</v>
      </c>
      <c r="AU31" s="27">
        <f t="shared" si="67"/>
        <v>0.0259179342058719</v>
      </c>
      <c r="AZ31" s="14"/>
      <c r="BA31" s="22" t="s">
        <v>336</v>
      </c>
      <c r="BB31" s="23">
        <v>207.9</v>
      </c>
      <c r="BC31" s="25">
        <v>184.2</v>
      </c>
      <c r="BD31" s="25">
        <v>174.6</v>
      </c>
      <c r="BE31" s="25">
        <v>172.4</v>
      </c>
      <c r="BF31" s="25">
        <v>168.7</v>
      </c>
      <c r="BG31" s="25">
        <v>174.7</v>
      </c>
      <c r="BH31" s="25">
        <v>172.4</v>
      </c>
      <c r="BI31" s="25">
        <v>172.4</v>
      </c>
      <c r="BJ31" s="15"/>
      <c r="BK31" s="15"/>
      <c r="BL31" s="28"/>
      <c r="BM31" s="28"/>
      <c r="BN31" s="28"/>
      <c r="BO31" s="28"/>
    </row>
    <row r="32" ht="15.5" spans="1:67">
      <c r="A32" s="14"/>
      <c r="B32" s="22" t="s">
        <v>337</v>
      </c>
      <c r="C32" s="23">
        <f t="shared" ref="C32:J32" si="96">BB32/1000</f>
        <v>0.5747</v>
      </c>
      <c r="D32" s="23">
        <f t="shared" si="96"/>
        <v>0.5597</v>
      </c>
      <c r="E32" s="23">
        <f t="shared" si="96"/>
        <v>0.534</v>
      </c>
      <c r="F32" s="23">
        <f t="shared" si="96"/>
        <v>0.528</v>
      </c>
      <c r="G32" s="23">
        <f t="shared" si="96"/>
        <v>0.5061</v>
      </c>
      <c r="H32" s="23">
        <f t="shared" si="96"/>
        <v>0.5369</v>
      </c>
      <c r="I32" s="23">
        <f t="shared" si="96"/>
        <v>0.528</v>
      </c>
      <c r="J32" s="23">
        <f t="shared" si="96"/>
        <v>0.528</v>
      </c>
      <c r="K32" s="15"/>
      <c r="L32" s="15"/>
      <c r="M32" s="28">
        <v>5.937</v>
      </c>
      <c r="N32" s="28">
        <v>5.845</v>
      </c>
      <c r="O32" s="28">
        <v>5.575</v>
      </c>
      <c r="P32" s="28">
        <v>5.276</v>
      </c>
      <c r="Q32" s="28">
        <v>5.363</v>
      </c>
      <c r="R32" s="28">
        <v>6.645</v>
      </c>
      <c r="S32" s="28">
        <v>5.654</v>
      </c>
      <c r="T32" s="28"/>
      <c r="U32" s="14"/>
      <c r="V32" s="22" t="s">
        <v>337</v>
      </c>
      <c r="W32" s="25">
        <f t="shared" ref="W32:AC32" si="97">D32/M32</f>
        <v>0.0942732019538488</v>
      </c>
      <c r="X32" s="25">
        <f t="shared" si="97"/>
        <v>0.0913601368691189</v>
      </c>
      <c r="Y32" s="25">
        <f t="shared" si="97"/>
        <v>0.0947085201793722</v>
      </c>
      <c r="Z32" s="25">
        <f t="shared" si="97"/>
        <v>0.0959249431387415</v>
      </c>
      <c r="AA32" s="25">
        <f t="shared" si="97"/>
        <v>0.100111877680403</v>
      </c>
      <c r="AB32" s="26">
        <f t="shared" si="97"/>
        <v>0.0794582392776524</v>
      </c>
      <c r="AC32" s="26">
        <f t="shared" si="97"/>
        <v>0.0933852140077821</v>
      </c>
      <c r="AD32" s="15"/>
      <c r="AE32" s="15"/>
      <c r="AF32" s="25">
        <f t="shared" ref="AF32:AJ32" si="98">W32</f>
        <v>0.0942732019538488</v>
      </c>
      <c r="AG32" s="25">
        <f t="shared" si="98"/>
        <v>0.0913601368691189</v>
      </c>
      <c r="AH32" s="25">
        <f t="shared" si="98"/>
        <v>0.0947085201793722</v>
      </c>
      <c r="AI32" s="25">
        <f t="shared" si="98"/>
        <v>0.0959249431387415</v>
      </c>
      <c r="AJ32" s="25">
        <f t="shared" si="98"/>
        <v>0.100111877680403</v>
      </c>
      <c r="AK32" s="27">
        <f t="shared" si="63"/>
        <v>0.0913769751693002</v>
      </c>
      <c r="AL32" s="27">
        <f t="shared" si="64"/>
        <v>0.107392996108949</v>
      </c>
      <c r="AM32" s="15"/>
      <c r="AN32" s="15"/>
      <c r="AO32" s="25">
        <f t="shared" ref="AO32:AS32" si="99">W32</f>
        <v>0.0942732019538488</v>
      </c>
      <c r="AP32" s="25">
        <f t="shared" si="99"/>
        <v>0.0913601368691189</v>
      </c>
      <c r="AQ32" s="25">
        <f t="shared" si="99"/>
        <v>0.0947085201793722</v>
      </c>
      <c r="AR32" s="25">
        <f t="shared" si="99"/>
        <v>0.0959249431387415</v>
      </c>
      <c r="AS32" s="25">
        <f t="shared" si="99"/>
        <v>0.100111877680403</v>
      </c>
      <c r="AT32" s="27">
        <f t="shared" si="66"/>
        <v>0.0675395033860045</v>
      </c>
      <c r="AU32" s="27">
        <f t="shared" si="67"/>
        <v>0.0793774319066148</v>
      </c>
      <c r="AZ32" s="14"/>
      <c r="BA32" s="22" t="s">
        <v>337</v>
      </c>
      <c r="BB32" s="23">
        <v>574.7</v>
      </c>
      <c r="BC32" s="25">
        <v>559.7</v>
      </c>
      <c r="BD32" s="25">
        <v>534</v>
      </c>
      <c r="BE32" s="25">
        <v>528</v>
      </c>
      <c r="BF32" s="25">
        <v>506.1</v>
      </c>
      <c r="BG32" s="25">
        <v>536.9</v>
      </c>
      <c r="BH32" s="25">
        <v>528</v>
      </c>
      <c r="BI32" s="25">
        <v>528</v>
      </c>
      <c r="BJ32" s="15"/>
      <c r="BK32" s="15"/>
      <c r="BL32" s="28"/>
      <c r="BM32" s="28"/>
      <c r="BN32" s="28"/>
      <c r="BO32" s="28"/>
    </row>
    <row r="33" ht="15.5" spans="1:67">
      <c r="A33" s="14"/>
      <c r="B33" s="22" t="s">
        <v>338</v>
      </c>
      <c r="C33" s="23">
        <f t="shared" ref="C33:J33" si="100">BB33/1000</f>
        <v>0.088</v>
      </c>
      <c r="D33" s="23">
        <f t="shared" si="100"/>
        <v>0.0814</v>
      </c>
      <c r="E33" s="23">
        <f t="shared" si="100"/>
        <v>0.079</v>
      </c>
      <c r="F33" s="23">
        <f t="shared" si="100"/>
        <v>0.0785</v>
      </c>
      <c r="G33" s="23">
        <f t="shared" si="100"/>
        <v>0.0764</v>
      </c>
      <c r="H33" s="23">
        <f t="shared" si="100"/>
        <v>0.0787</v>
      </c>
      <c r="I33" s="23">
        <f t="shared" si="100"/>
        <v>0.0785</v>
      </c>
      <c r="J33" s="23">
        <f t="shared" si="100"/>
        <v>0.0785</v>
      </c>
      <c r="K33" s="15"/>
      <c r="L33" s="15"/>
      <c r="M33" s="28">
        <v>5.937</v>
      </c>
      <c r="N33" s="28">
        <v>5.845</v>
      </c>
      <c r="O33" s="28">
        <v>5.575</v>
      </c>
      <c r="P33" s="28">
        <v>5.276</v>
      </c>
      <c r="Q33" s="28">
        <v>5.363</v>
      </c>
      <c r="R33" s="28">
        <v>6.645</v>
      </c>
      <c r="S33" s="28">
        <v>5.654</v>
      </c>
      <c r="T33" s="28"/>
      <c r="U33" s="14"/>
      <c r="V33" s="22" t="s">
        <v>338</v>
      </c>
      <c r="W33" s="25">
        <f t="shared" ref="W33:AC33" si="101">D33/M33</f>
        <v>0.0137106282634327</v>
      </c>
      <c r="X33" s="25">
        <f t="shared" si="101"/>
        <v>0.0135158254918734</v>
      </c>
      <c r="Y33" s="25">
        <f t="shared" si="101"/>
        <v>0.0140807174887892</v>
      </c>
      <c r="Z33" s="25">
        <f t="shared" si="101"/>
        <v>0.0144806671721001</v>
      </c>
      <c r="AA33" s="25">
        <f t="shared" si="101"/>
        <v>0.0146746224128286</v>
      </c>
      <c r="AB33" s="26">
        <f t="shared" si="101"/>
        <v>0.0118133935289691</v>
      </c>
      <c r="AC33" s="26">
        <f t="shared" si="101"/>
        <v>0.0138839759462328</v>
      </c>
      <c r="AD33" s="15"/>
      <c r="AE33" s="15"/>
      <c r="AF33" s="25">
        <f t="shared" ref="AF33:AJ33" si="102">W33</f>
        <v>0.0137106282634327</v>
      </c>
      <c r="AG33" s="25">
        <f t="shared" si="102"/>
        <v>0.0135158254918734</v>
      </c>
      <c r="AH33" s="25">
        <f t="shared" si="102"/>
        <v>0.0140807174887892</v>
      </c>
      <c r="AI33" s="25">
        <f t="shared" si="102"/>
        <v>0.0144806671721001</v>
      </c>
      <c r="AJ33" s="25">
        <f t="shared" si="102"/>
        <v>0.0146746224128286</v>
      </c>
      <c r="AK33" s="27">
        <f t="shared" si="63"/>
        <v>0.0135854025583145</v>
      </c>
      <c r="AL33" s="27">
        <f t="shared" si="64"/>
        <v>0.0159665723381677</v>
      </c>
      <c r="AM33" s="15"/>
      <c r="AN33" s="15"/>
      <c r="AO33" s="25">
        <f t="shared" ref="AO33:AS33" si="103">W33</f>
        <v>0.0137106282634327</v>
      </c>
      <c r="AP33" s="25">
        <f t="shared" si="103"/>
        <v>0.0135158254918734</v>
      </c>
      <c r="AQ33" s="25">
        <f t="shared" si="103"/>
        <v>0.0140807174887892</v>
      </c>
      <c r="AR33" s="25">
        <f t="shared" si="103"/>
        <v>0.0144806671721001</v>
      </c>
      <c r="AS33" s="25">
        <f t="shared" si="103"/>
        <v>0.0146746224128286</v>
      </c>
      <c r="AT33" s="27">
        <f t="shared" si="66"/>
        <v>0.0100413844996238</v>
      </c>
      <c r="AU33" s="27">
        <f t="shared" si="67"/>
        <v>0.0118013795542978</v>
      </c>
      <c r="AZ33" s="14"/>
      <c r="BA33" s="22" t="s">
        <v>338</v>
      </c>
      <c r="BB33" s="23">
        <v>88</v>
      </c>
      <c r="BC33" s="25">
        <v>81.4</v>
      </c>
      <c r="BD33" s="25">
        <v>79</v>
      </c>
      <c r="BE33" s="25">
        <v>78.5</v>
      </c>
      <c r="BF33" s="25">
        <v>76.4</v>
      </c>
      <c r="BG33" s="25">
        <v>78.7</v>
      </c>
      <c r="BH33" s="25">
        <v>78.5</v>
      </c>
      <c r="BI33" s="25">
        <v>78.5</v>
      </c>
      <c r="BJ33" s="15"/>
      <c r="BK33" s="15"/>
      <c r="BL33" s="28"/>
      <c r="BM33" s="28"/>
      <c r="BN33" s="28"/>
      <c r="BO33" s="28"/>
    </row>
    <row r="34" ht="15.5" spans="1:67">
      <c r="A34" s="14" t="s">
        <v>11</v>
      </c>
      <c r="B34" s="22" t="s">
        <v>334</v>
      </c>
      <c r="C34" s="23">
        <f t="shared" ref="C34:J34" si="104">BB34/1000</f>
        <v>0.9217</v>
      </c>
      <c r="D34" s="23">
        <f t="shared" si="104"/>
        <v>0.8721</v>
      </c>
      <c r="E34" s="23">
        <f t="shared" si="104"/>
        <v>0.8313</v>
      </c>
      <c r="F34" s="23">
        <f t="shared" si="104"/>
        <v>0.8218</v>
      </c>
      <c r="G34" s="23">
        <f t="shared" si="104"/>
        <v>0.794</v>
      </c>
      <c r="H34" s="23">
        <f t="shared" si="104"/>
        <v>0.835</v>
      </c>
      <c r="I34" s="23">
        <f t="shared" si="104"/>
        <v>0.8218</v>
      </c>
      <c r="J34" s="23">
        <f t="shared" si="104"/>
        <v>0.8218</v>
      </c>
      <c r="K34" s="15"/>
      <c r="L34" s="15"/>
      <c r="M34" s="28">
        <v>5.937</v>
      </c>
      <c r="N34" s="28">
        <v>5.845</v>
      </c>
      <c r="O34" s="28">
        <v>5.575</v>
      </c>
      <c r="P34" s="28">
        <v>5.276</v>
      </c>
      <c r="Q34" s="28">
        <v>5.363</v>
      </c>
      <c r="R34" s="28">
        <v>6.645</v>
      </c>
      <c r="S34" s="28">
        <v>5.654</v>
      </c>
      <c r="T34" s="28"/>
      <c r="U34" s="14" t="s">
        <v>11</v>
      </c>
      <c r="V34" s="22" t="s">
        <v>334</v>
      </c>
      <c r="W34" s="25">
        <f t="shared" ref="W34:AC34" si="105">D34/M34</f>
        <v>0.14689236988378</v>
      </c>
      <c r="X34" s="25">
        <f t="shared" si="105"/>
        <v>0.142224123182207</v>
      </c>
      <c r="Y34" s="25">
        <f t="shared" si="105"/>
        <v>0.147408071748879</v>
      </c>
      <c r="Z34" s="25">
        <f t="shared" si="105"/>
        <v>0.15049279757392</v>
      </c>
      <c r="AA34" s="25">
        <f t="shared" si="105"/>
        <v>0.155696438560507</v>
      </c>
      <c r="AB34" s="26">
        <f t="shared" si="105"/>
        <v>0.123671933784801</v>
      </c>
      <c r="AC34" s="26">
        <f t="shared" si="105"/>
        <v>0.145348425893173</v>
      </c>
      <c r="AD34" s="15"/>
      <c r="AE34" s="15"/>
      <c r="AF34" s="25">
        <f t="shared" ref="AF34:AJ34" si="106">W34</f>
        <v>0.14689236988378</v>
      </c>
      <c r="AG34" s="25">
        <f t="shared" si="106"/>
        <v>0.142224123182207</v>
      </c>
      <c r="AH34" s="25">
        <f t="shared" si="106"/>
        <v>0.147408071748879</v>
      </c>
      <c r="AI34" s="25">
        <f t="shared" si="106"/>
        <v>0.15049279757392</v>
      </c>
      <c r="AJ34" s="25">
        <f t="shared" si="106"/>
        <v>0.155696438560507</v>
      </c>
      <c r="AK34" s="27">
        <f t="shared" si="63"/>
        <v>0.142222723852521</v>
      </c>
      <c r="AL34" s="27">
        <f t="shared" si="64"/>
        <v>0.167150689777149</v>
      </c>
      <c r="AM34" s="15"/>
      <c r="AN34" s="15"/>
      <c r="AO34" s="25">
        <f t="shared" ref="AO34:AS34" si="107">W34</f>
        <v>0.14689236988378</v>
      </c>
      <c r="AP34" s="25">
        <f t="shared" si="107"/>
        <v>0.142224123182207</v>
      </c>
      <c r="AQ34" s="25">
        <f t="shared" si="107"/>
        <v>0.147408071748879</v>
      </c>
      <c r="AR34" s="25">
        <f t="shared" si="107"/>
        <v>0.15049279757392</v>
      </c>
      <c r="AS34" s="25">
        <f t="shared" si="107"/>
        <v>0.155696438560507</v>
      </c>
      <c r="AT34" s="27">
        <f t="shared" si="66"/>
        <v>0.105121143717081</v>
      </c>
      <c r="AU34" s="27">
        <f t="shared" si="67"/>
        <v>0.123546162009197</v>
      </c>
      <c r="AZ34" s="14" t="s">
        <v>11</v>
      </c>
      <c r="BA34" s="22" t="s">
        <v>334</v>
      </c>
      <c r="BB34" s="23">
        <v>921.7</v>
      </c>
      <c r="BC34" s="25">
        <v>872.1</v>
      </c>
      <c r="BD34" s="25">
        <v>831.3</v>
      </c>
      <c r="BE34" s="25">
        <v>821.8</v>
      </c>
      <c r="BF34" s="25">
        <v>794</v>
      </c>
      <c r="BG34" s="25">
        <v>835</v>
      </c>
      <c r="BH34" s="25">
        <v>821.8</v>
      </c>
      <c r="BI34" s="25">
        <v>821.8</v>
      </c>
      <c r="BJ34" s="15"/>
      <c r="BK34" s="15"/>
      <c r="BL34" s="28"/>
      <c r="BM34" s="28"/>
      <c r="BN34" s="28"/>
      <c r="BO34" s="28"/>
    </row>
    <row r="35" ht="15.5" spans="1:67">
      <c r="A35" s="14"/>
      <c r="B35" s="22" t="s">
        <v>335</v>
      </c>
      <c r="C35" s="23">
        <f t="shared" ref="C35:J35" si="108">BB35/1000</f>
        <v>0.8422</v>
      </c>
      <c r="D35" s="23">
        <f t="shared" si="108"/>
        <v>0.8018</v>
      </c>
      <c r="E35" s="23">
        <f t="shared" si="108"/>
        <v>0.7648</v>
      </c>
      <c r="F35" s="23">
        <f t="shared" si="108"/>
        <v>0.7562</v>
      </c>
      <c r="G35" s="23">
        <f t="shared" si="108"/>
        <v>0.7302</v>
      </c>
      <c r="H35" s="23">
        <f t="shared" si="108"/>
        <v>0.7691</v>
      </c>
      <c r="I35" s="23">
        <f t="shared" si="108"/>
        <v>0.7562</v>
      </c>
      <c r="J35" s="23">
        <f t="shared" si="108"/>
        <v>0.7562</v>
      </c>
      <c r="K35" s="15"/>
      <c r="L35" s="15"/>
      <c r="M35" s="28">
        <v>5.937</v>
      </c>
      <c r="N35" s="28">
        <v>5.845</v>
      </c>
      <c r="O35" s="28">
        <v>5.575</v>
      </c>
      <c r="P35" s="28">
        <v>5.276</v>
      </c>
      <c r="Q35" s="28">
        <v>5.363</v>
      </c>
      <c r="R35" s="28">
        <v>6.645</v>
      </c>
      <c r="S35" s="28">
        <v>5.654</v>
      </c>
      <c r="T35" s="28"/>
      <c r="U35" s="14"/>
      <c r="V35" s="22" t="s">
        <v>335</v>
      </c>
      <c r="W35" s="25">
        <f t="shared" ref="W35:AC35" si="109">D35/M35</f>
        <v>0.135051372747179</v>
      </c>
      <c r="X35" s="25">
        <f t="shared" si="109"/>
        <v>0.130846877673225</v>
      </c>
      <c r="Y35" s="25">
        <f t="shared" si="109"/>
        <v>0.135641255605381</v>
      </c>
      <c r="Z35" s="25">
        <f t="shared" si="109"/>
        <v>0.138400303260046</v>
      </c>
      <c r="AA35" s="25">
        <f t="shared" si="109"/>
        <v>0.143408539996271</v>
      </c>
      <c r="AB35" s="26">
        <f t="shared" si="109"/>
        <v>0.11379984951091</v>
      </c>
      <c r="AC35" s="26">
        <f t="shared" si="109"/>
        <v>0.133746020516449</v>
      </c>
      <c r="AD35" s="15"/>
      <c r="AE35" s="15"/>
      <c r="AF35" s="25">
        <f t="shared" ref="AF35:AJ35" si="110">W35</f>
        <v>0.135051372747179</v>
      </c>
      <c r="AG35" s="25">
        <f t="shared" si="110"/>
        <v>0.130846877673225</v>
      </c>
      <c r="AH35" s="25">
        <f t="shared" si="110"/>
        <v>0.135641255605381</v>
      </c>
      <c r="AI35" s="25">
        <f t="shared" si="110"/>
        <v>0.138400303260046</v>
      </c>
      <c r="AJ35" s="25">
        <f t="shared" si="110"/>
        <v>0.143408539996271</v>
      </c>
      <c r="AK35" s="27">
        <f t="shared" si="63"/>
        <v>0.130869826937547</v>
      </c>
      <c r="AL35" s="27">
        <f t="shared" si="64"/>
        <v>0.153807923593916</v>
      </c>
      <c r="AM35" s="15"/>
      <c r="AN35" s="15"/>
      <c r="AO35" s="25">
        <f t="shared" ref="AO35:AS35" si="111">W35</f>
        <v>0.135051372747179</v>
      </c>
      <c r="AP35" s="25">
        <f t="shared" si="111"/>
        <v>0.130846877673225</v>
      </c>
      <c r="AQ35" s="25">
        <f t="shared" si="111"/>
        <v>0.135641255605381</v>
      </c>
      <c r="AR35" s="25">
        <f t="shared" si="111"/>
        <v>0.138400303260046</v>
      </c>
      <c r="AS35" s="25">
        <f t="shared" si="111"/>
        <v>0.143408539996271</v>
      </c>
      <c r="AT35" s="27">
        <f t="shared" si="66"/>
        <v>0.0967298720842739</v>
      </c>
      <c r="AU35" s="27">
        <f t="shared" si="67"/>
        <v>0.113684117438981</v>
      </c>
      <c r="AZ35" s="14"/>
      <c r="BA35" s="22" t="s">
        <v>335</v>
      </c>
      <c r="BB35" s="23">
        <v>842.2</v>
      </c>
      <c r="BC35" s="25">
        <v>801.8</v>
      </c>
      <c r="BD35" s="25">
        <v>764.8</v>
      </c>
      <c r="BE35" s="25">
        <v>756.2</v>
      </c>
      <c r="BF35" s="25">
        <v>730.2</v>
      </c>
      <c r="BG35" s="25">
        <v>769.1</v>
      </c>
      <c r="BH35" s="25">
        <v>756.2</v>
      </c>
      <c r="BI35" s="25">
        <v>756.2</v>
      </c>
      <c r="BJ35" s="15"/>
      <c r="BK35" s="15"/>
      <c r="BL35" s="28"/>
      <c r="BM35" s="28"/>
      <c r="BN35" s="28"/>
      <c r="BO35" s="28"/>
    </row>
    <row r="36" ht="15.5" spans="1:67">
      <c r="A36" s="14"/>
      <c r="B36" s="22" t="s">
        <v>336</v>
      </c>
      <c r="C36" s="23">
        <f t="shared" ref="C36:J36" si="112">BB36/1000</f>
        <v>0.2694</v>
      </c>
      <c r="D36" s="23">
        <f t="shared" si="112"/>
        <v>0.2401</v>
      </c>
      <c r="E36" s="23">
        <f t="shared" si="112"/>
        <v>0.2278</v>
      </c>
      <c r="F36" s="23">
        <f t="shared" si="112"/>
        <v>0.2249</v>
      </c>
      <c r="G36" s="23">
        <f t="shared" si="112"/>
        <v>0.2217</v>
      </c>
      <c r="H36" s="23">
        <f t="shared" si="112"/>
        <v>0.2296</v>
      </c>
      <c r="I36" s="23">
        <f t="shared" si="112"/>
        <v>0.2249</v>
      </c>
      <c r="J36" s="23">
        <f t="shared" si="112"/>
        <v>0.2249</v>
      </c>
      <c r="K36" s="15"/>
      <c r="L36" s="15"/>
      <c r="M36" s="28">
        <v>5.937</v>
      </c>
      <c r="N36" s="28">
        <v>5.845</v>
      </c>
      <c r="O36" s="28">
        <v>5.575</v>
      </c>
      <c r="P36" s="28">
        <v>5.276</v>
      </c>
      <c r="Q36" s="28">
        <v>5.363</v>
      </c>
      <c r="R36" s="28">
        <v>6.645</v>
      </c>
      <c r="S36" s="28">
        <v>5.654</v>
      </c>
      <c r="T36" s="28"/>
      <c r="U36" s="14"/>
      <c r="V36" s="22" t="s">
        <v>336</v>
      </c>
      <c r="W36" s="25">
        <f t="shared" ref="W36:AC36" si="113">D36/M36</f>
        <v>0.0404413003200269</v>
      </c>
      <c r="X36" s="25">
        <f t="shared" si="113"/>
        <v>0.0389734816082122</v>
      </c>
      <c r="Y36" s="25">
        <f t="shared" si="113"/>
        <v>0.0403408071748879</v>
      </c>
      <c r="Z36" s="25">
        <f t="shared" si="113"/>
        <v>0.0420204700530705</v>
      </c>
      <c r="AA36" s="25">
        <f t="shared" si="113"/>
        <v>0.0428118590341227</v>
      </c>
      <c r="AB36" s="26">
        <f t="shared" si="113"/>
        <v>0.0338449962377728</v>
      </c>
      <c r="AC36" s="26">
        <f t="shared" si="113"/>
        <v>0.0397771489211178</v>
      </c>
      <c r="AD36" s="15"/>
      <c r="AE36" s="15"/>
      <c r="AF36" s="25">
        <f t="shared" ref="AF36:AJ36" si="114">W36</f>
        <v>0.0404413003200269</v>
      </c>
      <c r="AG36" s="25">
        <f t="shared" si="114"/>
        <v>0.0389734816082122</v>
      </c>
      <c r="AH36" s="25">
        <f t="shared" si="114"/>
        <v>0.0403408071748879</v>
      </c>
      <c r="AI36" s="25">
        <f t="shared" si="114"/>
        <v>0.0420204700530705</v>
      </c>
      <c r="AJ36" s="25">
        <f t="shared" si="114"/>
        <v>0.0428118590341227</v>
      </c>
      <c r="AK36" s="27">
        <f t="shared" si="63"/>
        <v>0.0389217456734387</v>
      </c>
      <c r="AL36" s="27">
        <f t="shared" si="64"/>
        <v>0.0457437212592855</v>
      </c>
      <c r="AM36" s="15"/>
      <c r="AN36" s="15"/>
      <c r="AO36" s="25">
        <f t="shared" ref="AO36:AS36" si="115">W36</f>
        <v>0.0404413003200269</v>
      </c>
      <c r="AP36" s="25">
        <f t="shared" si="115"/>
        <v>0.0389734816082122</v>
      </c>
      <c r="AQ36" s="25">
        <f t="shared" si="115"/>
        <v>0.0403408071748879</v>
      </c>
      <c r="AR36" s="25">
        <f t="shared" si="115"/>
        <v>0.0420204700530705</v>
      </c>
      <c r="AS36" s="25">
        <f t="shared" si="115"/>
        <v>0.0428118590341227</v>
      </c>
      <c r="AT36" s="27">
        <f t="shared" si="66"/>
        <v>0.0287682468021069</v>
      </c>
      <c r="AU36" s="27">
        <f t="shared" si="67"/>
        <v>0.0338105765829501</v>
      </c>
      <c r="AZ36" s="14"/>
      <c r="BA36" s="22" t="s">
        <v>336</v>
      </c>
      <c r="BB36" s="23">
        <v>269.4</v>
      </c>
      <c r="BC36" s="25">
        <v>240.1</v>
      </c>
      <c r="BD36" s="25">
        <v>227.8</v>
      </c>
      <c r="BE36" s="25">
        <v>224.9</v>
      </c>
      <c r="BF36" s="25">
        <v>221.7</v>
      </c>
      <c r="BG36" s="25">
        <v>229.6</v>
      </c>
      <c r="BH36" s="25">
        <v>224.9</v>
      </c>
      <c r="BI36" s="25">
        <v>224.9</v>
      </c>
      <c r="BJ36" s="15"/>
      <c r="BK36" s="15"/>
      <c r="BL36" s="28"/>
      <c r="BM36" s="28"/>
      <c r="BN36" s="28"/>
      <c r="BO36" s="28"/>
    </row>
    <row r="37" ht="15.5" spans="1:67">
      <c r="A37" s="14"/>
      <c r="B37" s="22" t="s">
        <v>337</v>
      </c>
      <c r="C37" s="23">
        <f t="shared" ref="C37:J37" si="116">BB37/1000</f>
        <v>0.5273</v>
      </c>
      <c r="D37" s="23">
        <f t="shared" si="116"/>
        <v>0.5167</v>
      </c>
      <c r="E37" s="23">
        <f t="shared" si="116"/>
        <v>0.4931</v>
      </c>
      <c r="F37" s="23">
        <f t="shared" si="116"/>
        <v>0.4875</v>
      </c>
      <c r="G37" s="23">
        <f t="shared" si="116"/>
        <v>0.4653</v>
      </c>
      <c r="H37" s="23">
        <f t="shared" si="116"/>
        <v>0.4946</v>
      </c>
      <c r="I37" s="23">
        <f t="shared" si="116"/>
        <v>0.4875</v>
      </c>
      <c r="J37" s="23">
        <f t="shared" si="116"/>
        <v>0.4875</v>
      </c>
      <c r="K37" s="15"/>
      <c r="L37" s="15"/>
      <c r="M37" s="28">
        <v>5.937</v>
      </c>
      <c r="N37" s="28">
        <v>5.845</v>
      </c>
      <c r="O37" s="28">
        <v>5.575</v>
      </c>
      <c r="P37" s="28">
        <v>5.276</v>
      </c>
      <c r="Q37" s="28">
        <v>5.363</v>
      </c>
      <c r="R37" s="28">
        <v>6.645</v>
      </c>
      <c r="S37" s="28">
        <v>5.654</v>
      </c>
      <c r="T37" s="28"/>
      <c r="U37" s="14"/>
      <c r="V37" s="22" t="s">
        <v>337</v>
      </c>
      <c r="W37" s="25">
        <f t="shared" ref="W37:AC37" si="117">D37/M37</f>
        <v>0.0870304867778339</v>
      </c>
      <c r="X37" s="25">
        <f t="shared" si="117"/>
        <v>0.0843627031650984</v>
      </c>
      <c r="Y37" s="25">
        <f t="shared" si="117"/>
        <v>0.0874439461883408</v>
      </c>
      <c r="Z37" s="25">
        <f t="shared" si="117"/>
        <v>0.0881918119787718</v>
      </c>
      <c r="AA37" s="25">
        <f t="shared" si="117"/>
        <v>0.0922245012120082</v>
      </c>
      <c r="AB37" s="26">
        <f t="shared" si="117"/>
        <v>0.0733634311512415</v>
      </c>
      <c r="AC37" s="26">
        <f t="shared" si="117"/>
        <v>0.0862221436151397</v>
      </c>
      <c r="AD37" s="15"/>
      <c r="AE37" s="15"/>
      <c r="AF37" s="25">
        <f t="shared" ref="AF37:AJ37" si="118">W37</f>
        <v>0.0870304867778339</v>
      </c>
      <c r="AG37" s="25">
        <f t="shared" si="118"/>
        <v>0.0843627031650984</v>
      </c>
      <c r="AH37" s="25">
        <f t="shared" si="118"/>
        <v>0.0874439461883408</v>
      </c>
      <c r="AI37" s="25">
        <f t="shared" si="118"/>
        <v>0.0881918119787718</v>
      </c>
      <c r="AJ37" s="25">
        <f t="shared" si="118"/>
        <v>0.0922245012120082</v>
      </c>
      <c r="AK37" s="27">
        <f t="shared" si="63"/>
        <v>0.0843679458239278</v>
      </c>
      <c r="AL37" s="27">
        <f t="shared" si="64"/>
        <v>0.0991554651574107</v>
      </c>
      <c r="AM37" s="15"/>
      <c r="AN37" s="15"/>
      <c r="AO37" s="25">
        <f t="shared" ref="AO37:AS37" si="119">W37</f>
        <v>0.0870304867778339</v>
      </c>
      <c r="AP37" s="25">
        <f t="shared" si="119"/>
        <v>0.0843627031650984</v>
      </c>
      <c r="AQ37" s="25">
        <f t="shared" si="119"/>
        <v>0.0874439461883408</v>
      </c>
      <c r="AR37" s="25">
        <f t="shared" si="119"/>
        <v>0.0881918119787718</v>
      </c>
      <c r="AS37" s="25">
        <f t="shared" si="119"/>
        <v>0.0922245012120082</v>
      </c>
      <c r="AT37" s="27">
        <f t="shared" si="66"/>
        <v>0.0623589164785553</v>
      </c>
      <c r="AU37" s="27">
        <f t="shared" si="67"/>
        <v>0.0732888220728688</v>
      </c>
      <c r="AZ37" s="14"/>
      <c r="BA37" s="22" t="s">
        <v>337</v>
      </c>
      <c r="BB37" s="23">
        <v>527.3</v>
      </c>
      <c r="BC37" s="25">
        <v>516.7</v>
      </c>
      <c r="BD37" s="25">
        <v>493.1</v>
      </c>
      <c r="BE37" s="25">
        <v>487.5</v>
      </c>
      <c r="BF37" s="25">
        <v>465.3</v>
      </c>
      <c r="BG37" s="25">
        <v>494.6</v>
      </c>
      <c r="BH37" s="25">
        <v>487.5</v>
      </c>
      <c r="BI37" s="25">
        <v>487.5</v>
      </c>
      <c r="BJ37" s="15"/>
      <c r="BK37" s="15"/>
      <c r="BL37" s="28"/>
      <c r="BM37" s="28"/>
      <c r="BN37" s="28"/>
      <c r="BO37" s="28"/>
    </row>
    <row r="38" ht="15.5" spans="1:67">
      <c r="A38" s="14"/>
      <c r="B38" s="22" t="s">
        <v>338</v>
      </c>
      <c r="C38" s="23">
        <f t="shared" ref="C38:J38" si="120">BB38/1000</f>
        <v>0.0858</v>
      </c>
      <c r="D38" s="23">
        <f t="shared" si="120"/>
        <v>0.0793</v>
      </c>
      <c r="E38" s="23">
        <f t="shared" si="120"/>
        <v>0.0771</v>
      </c>
      <c r="F38" s="23">
        <f t="shared" si="120"/>
        <v>0.0766</v>
      </c>
      <c r="G38" s="23">
        <f t="shared" si="120"/>
        <v>0.0744</v>
      </c>
      <c r="H38" s="23">
        <f t="shared" si="120"/>
        <v>0.0767</v>
      </c>
      <c r="I38" s="23">
        <f t="shared" si="120"/>
        <v>0.0766</v>
      </c>
      <c r="J38" s="23">
        <f t="shared" si="120"/>
        <v>0.0766</v>
      </c>
      <c r="K38" s="15"/>
      <c r="L38" s="15"/>
      <c r="M38" s="28">
        <v>5.937</v>
      </c>
      <c r="N38" s="28">
        <v>5.845</v>
      </c>
      <c r="O38" s="28">
        <v>5.575</v>
      </c>
      <c r="P38" s="28">
        <v>5.276</v>
      </c>
      <c r="Q38" s="28">
        <v>5.363</v>
      </c>
      <c r="R38" s="28">
        <v>6.645</v>
      </c>
      <c r="S38" s="28">
        <v>5.654</v>
      </c>
      <c r="T38" s="28"/>
      <c r="U38" s="14"/>
      <c r="V38" s="22" t="s">
        <v>338</v>
      </c>
      <c r="W38" s="25">
        <f t="shared" ref="W38:AC38" si="121">D38/M38</f>
        <v>0.0133569142664645</v>
      </c>
      <c r="X38" s="25">
        <f t="shared" si="121"/>
        <v>0.0131907613344739</v>
      </c>
      <c r="Y38" s="25">
        <f t="shared" si="121"/>
        <v>0.0137399103139013</v>
      </c>
      <c r="Z38" s="25">
        <f t="shared" si="121"/>
        <v>0.0141015921152388</v>
      </c>
      <c r="AA38" s="25">
        <f t="shared" si="121"/>
        <v>0.0143016968114861</v>
      </c>
      <c r="AB38" s="26">
        <f t="shared" si="121"/>
        <v>0.0115274642588412</v>
      </c>
      <c r="AC38" s="26">
        <f t="shared" si="121"/>
        <v>0.0135479306685532</v>
      </c>
      <c r="AD38" s="15"/>
      <c r="AE38" s="15"/>
      <c r="AF38" s="25">
        <f t="shared" ref="AF38:AJ38" si="122">W38</f>
        <v>0.0133569142664645</v>
      </c>
      <c r="AG38" s="25">
        <f t="shared" si="122"/>
        <v>0.0131907613344739</v>
      </c>
      <c r="AH38" s="25">
        <f t="shared" si="122"/>
        <v>0.0137399103139013</v>
      </c>
      <c r="AI38" s="25">
        <f t="shared" si="122"/>
        <v>0.0141015921152388</v>
      </c>
      <c r="AJ38" s="25">
        <f t="shared" si="122"/>
        <v>0.0143016968114861</v>
      </c>
      <c r="AK38" s="27">
        <f t="shared" si="63"/>
        <v>0.0132565838976674</v>
      </c>
      <c r="AL38" s="27">
        <f t="shared" si="64"/>
        <v>0.0155801202688362</v>
      </c>
      <c r="AM38" s="15"/>
      <c r="AN38" s="15"/>
      <c r="AO38" s="25">
        <f t="shared" ref="AO38:AS38" si="123">W38</f>
        <v>0.0133569142664645</v>
      </c>
      <c r="AP38" s="25">
        <f t="shared" si="123"/>
        <v>0.0131907613344739</v>
      </c>
      <c r="AQ38" s="25">
        <f t="shared" si="123"/>
        <v>0.0137399103139013</v>
      </c>
      <c r="AR38" s="25">
        <f t="shared" si="123"/>
        <v>0.0141015921152388</v>
      </c>
      <c r="AS38" s="25">
        <f t="shared" si="123"/>
        <v>0.0143016968114861</v>
      </c>
      <c r="AT38" s="27">
        <f t="shared" si="66"/>
        <v>0.00979834462001505</v>
      </c>
      <c r="AU38" s="27">
        <f t="shared" si="67"/>
        <v>0.0115157410682703</v>
      </c>
      <c r="AZ38" s="14"/>
      <c r="BA38" s="22" t="s">
        <v>338</v>
      </c>
      <c r="BB38" s="23">
        <v>85.8</v>
      </c>
      <c r="BC38" s="25">
        <v>79.3</v>
      </c>
      <c r="BD38" s="25">
        <v>77.1</v>
      </c>
      <c r="BE38" s="25">
        <v>76.6</v>
      </c>
      <c r="BF38" s="25">
        <v>74.4</v>
      </c>
      <c r="BG38" s="25">
        <v>76.7</v>
      </c>
      <c r="BH38" s="25">
        <v>76.6</v>
      </c>
      <c r="BI38" s="25">
        <v>76.6</v>
      </c>
      <c r="BJ38" s="15"/>
      <c r="BK38" s="15"/>
      <c r="BL38" s="28"/>
      <c r="BM38" s="28"/>
      <c r="BN38" s="28"/>
      <c r="BO38" s="28"/>
    </row>
    <row r="39" ht="15.5" spans="1:67">
      <c r="A39" s="15"/>
      <c r="B39" s="15"/>
      <c r="C39" s="18"/>
      <c r="D39" s="15"/>
      <c r="E39" s="15"/>
      <c r="F39" s="15"/>
      <c r="G39" s="15"/>
      <c r="H39" s="15"/>
      <c r="I39" s="15"/>
      <c r="J39" s="15"/>
      <c r="K39" s="15"/>
      <c r="L39" s="15"/>
      <c r="M39" s="15"/>
      <c r="N39" s="15"/>
      <c r="O39" s="15"/>
      <c r="P39" s="15"/>
      <c r="Q39" s="15"/>
      <c r="R39" s="15"/>
      <c r="S39" s="15"/>
      <c r="T39" s="15"/>
      <c r="AZ39" s="15"/>
      <c r="BA39" s="15"/>
      <c r="BB39" s="18"/>
      <c r="BC39" s="15"/>
      <c r="BD39" s="15"/>
      <c r="BE39" s="15"/>
      <c r="BF39" s="15"/>
      <c r="BG39" s="15"/>
      <c r="BH39" s="15"/>
      <c r="BI39" s="15"/>
      <c r="BJ39" s="15"/>
      <c r="BK39" s="15"/>
      <c r="BL39" s="15"/>
      <c r="BM39" s="15"/>
      <c r="BN39" s="15"/>
      <c r="BO39" s="15"/>
    </row>
    <row r="40" ht="15.5" spans="1:67">
      <c r="A40" s="15"/>
      <c r="B40" s="15"/>
      <c r="C40" s="18"/>
      <c r="D40" s="15"/>
      <c r="E40" s="15"/>
      <c r="F40" s="15"/>
      <c r="G40" s="15"/>
      <c r="H40" s="15"/>
      <c r="I40" s="15"/>
      <c r="J40" s="15"/>
      <c r="K40" s="15"/>
      <c r="L40" s="15"/>
      <c r="M40" s="15"/>
      <c r="N40" s="15"/>
      <c r="O40" s="15"/>
      <c r="P40" s="15"/>
      <c r="Q40" s="15"/>
      <c r="R40" s="15"/>
      <c r="S40" s="15"/>
      <c r="T40" s="15"/>
      <c r="AZ40" s="15"/>
      <c r="BA40" s="15"/>
      <c r="BB40" s="18"/>
      <c r="BC40" s="15"/>
      <c r="BD40" s="15"/>
      <c r="BE40" s="15"/>
      <c r="BF40" s="15"/>
      <c r="BG40" s="15"/>
      <c r="BH40" s="15"/>
      <c r="BI40" s="15"/>
      <c r="BJ40" s="15"/>
      <c r="BK40" s="15"/>
      <c r="BL40" s="15"/>
      <c r="BM40" s="15"/>
      <c r="BN40" s="15"/>
      <c r="BO40" s="15"/>
    </row>
    <row r="41" ht="15.5" spans="1:67">
      <c r="A41" s="14" t="s">
        <v>354</v>
      </c>
      <c r="B41" s="14"/>
      <c r="C41" s="14"/>
      <c r="D41" s="14"/>
      <c r="E41" s="14"/>
      <c r="F41" s="14"/>
      <c r="G41" s="14"/>
      <c r="H41" s="14"/>
      <c r="I41" s="14"/>
      <c r="J41" s="14"/>
      <c r="K41" s="15"/>
      <c r="L41" s="15"/>
      <c r="M41" s="15"/>
      <c r="N41" s="15"/>
      <c r="O41" s="15"/>
      <c r="P41" s="15"/>
      <c r="Q41" s="15"/>
      <c r="R41" s="15"/>
      <c r="S41" s="15"/>
      <c r="T41" s="15"/>
      <c r="AZ41" s="14" t="s">
        <v>354</v>
      </c>
      <c r="BA41" s="14"/>
      <c r="BB41" s="14"/>
      <c r="BC41" s="14"/>
      <c r="BD41" s="14"/>
      <c r="BE41" s="14"/>
      <c r="BF41" s="14"/>
      <c r="BG41" s="14"/>
      <c r="BH41" s="14"/>
      <c r="BI41" s="14"/>
      <c r="BJ41" s="15"/>
      <c r="BK41" s="15"/>
      <c r="BL41" s="15"/>
      <c r="BM41" s="15"/>
      <c r="BN41" s="15"/>
      <c r="BO41" s="15"/>
    </row>
    <row r="42" ht="15.5" spans="1:67">
      <c r="A42" s="14" t="s">
        <v>322</v>
      </c>
      <c r="B42" s="14" t="s">
        <v>353</v>
      </c>
      <c r="C42" s="14" t="s">
        <v>324</v>
      </c>
      <c r="D42" s="14"/>
      <c r="E42" s="14"/>
      <c r="F42" s="14"/>
      <c r="G42" s="14"/>
      <c r="H42" s="14"/>
      <c r="I42" s="14"/>
      <c r="J42" s="14"/>
      <c r="K42" s="15"/>
      <c r="L42" s="15"/>
      <c r="M42" s="15"/>
      <c r="N42" s="15"/>
      <c r="O42" s="15"/>
      <c r="P42" s="15"/>
      <c r="Q42" s="15"/>
      <c r="R42" s="15"/>
      <c r="S42" s="15"/>
      <c r="T42" s="15"/>
      <c r="AZ42" s="14" t="s">
        <v>322</v>
      </c>
      <c r="BA42" s="14" t="s">
        <v>353</v>
      </c>
      <c r="BB42" s="14" t="s">
        <v>324</v>
      </c>
      <c r="BC42" s="14"/>
      <c r="BD42" s="14"/>
      <c r="BE42" s="14"/>
      <c r="BF42" s="14"/>
      <c r="BG42" s="14"/>
      <c r="BH42" s="14"/>
      <c r="BI42" s="14"/>
      <c r="BJ42" s="15"/>
      <c r="BK42" s="15"/>
      <c r="BL42" s="15"/>
      <c r="BM42" s="15"/>
      <c r="BN42" s="15"/>
      <c r="BO42" s="15"/>
    </row>
    <row r="43" ht="30" spans="1:67">
      <c r="A43" s="14"/>
      <c r="B43" s="14"/>
      <c r="C43" s="18" t="s">
        <v>325</v>
      </c>
      <c r="D43" s="15" t="s">
        <v>326</v>
      </c>
      <c r="E43" s="15" t="s">
        <v>327</v>
      </c>
      <c r="F43" s="19" t="s">
        <v>328</v>
      </c>
      <c r="G43" s="15" t="s">
        <v>329</v>
      </c>
      <c r="H43" s="15" t="s">
        <v>330</v>
      </c>
      <c r="I43" s="15" t="s">
        <v>331</v>
      </c>
      <c r="J43" s="15" t="s">
        <v>332</v>
      </c>
      <c r="K43" s="15"/>
      <c r="L43" s="15"/>
      <c r="M43" s="15" t="s">
        <v>326</v>
      </c>
      <c r="N43" s="15" t="s">
        <v>327</v>
      </c>
      <c r="O43" s="15" t="s">
        <v>328</v>
      </c>
      <c r="P43" s="15" t="s">
        <v>329</v>
      </c>
      <c r="Q43" s="15" t="s">
        <v>330</v>
      </c>
      <c r="R43" s="15" t="s">
        <v>331</v>
      </c>
      <c r="S43" s="15" t="s">
        <v>332</v>
      </c>
      <c r="T43" s="15"/>
      <c r="U43" s="15"/>
      <c r="V43" s="17" t="s">
        <v>351</v>
      </c>
      <c r="W43" s="15" t="s">
        <v>326</v>
      </c>
      <c r="X43" s="15" t="s">
        <v>327</v>
      </c>
      <c r="Y43" s="19" t="s">
        <v>328</v>
      </c>
      <c r="Z43" s="15" t="s">
        <v>329</v>
      </c>
      <c r="AA43" s="15" t="s">
        <v>330</v>
      </c>
      <c r="AB43" s="21" t="s">
        <v>331</v>
      </c>
      <c r="AC43" s="21" t="s">
        <v>332</v>
      </c>
      <c r="AD43" s="15"/>
      <c r="AE43" s="15"/>
      <c r="AF43" s="15" t="s">
        <v>326</v>
      </c>
      <c r="AG43" s="15" t="s">
        <v>327</v>
      </c>
      <c r="AH43" s="19" t="s">
        <v>328</v>
      </c>
      <c r="AI43" s="15" t="s">
        <v>329</v>
      </c>
      <c r="AJ43" s="15" t="s">
        <v>330</v>
      </c>
      <c r="AK43" s="21" t="s">
        <v>331</v>
      </c>
      <c r="AL43" s="21" t="s">
        <v>332</v>
      </c>
      <c r="AO43" s="15" t="s">
        <v>326</v>
      </c>
      <c r="AP43" s="15" t="s">
        <v>327</v>
      </c>
      <c r="AQ43" s="19" t="s">
        <v>328</v>
      </c>
      <c r="AR43" s="15" t="s">
        <v>329</v>
      </c>
      <c r="AS43" s="15" t="s">
        <v>330</v>
      </c>
      <c r="AT43" s="21" t="s">
        <v>331</v>
      </c>
      <c r="AU43" s="21" t="s">
        <v>332</v>
      </c>
      <c r="AZ43" s="14"/>
      <c r="BA43" s="14"/>
      <c r="BB43" s="18" t="s">
        <v>325</v>
      </c>
      <c r="BC43" s="15" t="s">
        <v>326</v>
      </c>
      <c r="BD43" s="15" t="s">
        <v>327</v>
      </c>
      <c r="BE43" s="19" t="s">
        <v>328</v>
      </c>
      <c r="BF43" s="15" t="s">
        <v>329</v>
      </c>
      <c r="BG43" s="15" t="s">
        <v>330</v>
      </c>
      <c r="BH43" s="15" t="s">
        <v>331</v>
      </c>
      <c r="BI43" s="15" t="s">
        <v>332</v>
      </c>
      <c r="BJ43" s="15"/>
      <c r="BK43" s="15"/>
      <c r="BL43" s="15"/>
      <c r="BM43" s="15"/>
      <c r="BN43" s="15"/>
      <c r="BO43" s="15"/>
    </row>
    <row r="44" ht="15.5" spans="1:67">
      <c r="A44" s="14" t="s">
        <v>333</v>
      </c>
      <c r="B44" s="22" t="s">
        <v>334</v>
      </c>
      <c r="C44" s="23">
        <f t="shared" ref="C44:J44" si="124">BB44/1000</f>
        <v>0.6652</v>
      </c>
      <c r="D44" s="23">
        <f t="shared" si="124"/>
        <v>0.5864</v>
      </c>
      <c r="E44" s="23">
        <f t="shared" si="124"/>
        <v>0.5679</v>
      </c>
      <c r="F44" s="23">
        <f t="shared" si="124"/>
        <v>0.5636</v>
      </c>
      <c r="G44" s="23">
        <f t="shared" si="124"/>
        <v>0.5409</v>
      </c>
      <c r="H44" s="23">
        <f t="shared" si="124"/>
        <v>0.5521</v>
      </c>
      <c r="I44" s="23">
        <f t="shared" si="124"/>
        <v>0.5636</v>
      </c>
      <c r="J44" s="23">
        <f t="shared" si="124"/>
        <v>0.5636</v>
      </c>
      <c r="K44" s="15"/>
      <c r="L44" s="15"/>
      <c r="M44" s="24">
        <v>5.937</v>
      </c>
      <c r="N44" s="24">
        <v>5.845</v>
      </c>
      <c r="O44" s="24">
        <v>5.575</v>
      </c>
      <c r="P44" s="24">
        <v>5.276</v>
      </c>
      <c r="Q44" s="24">
        <v>5.363</v>
      </c>
      <c r="R44" s="24">
        <v>6.645</v>
      </c>
      <c r="S44" s="24">
        <v>5.654</v>
      </c>
      <c r="T44" s="24"/>
      <c r="U44" s="14" t="s">
        <v>333</v>
      </c>
      <c r="V44" s="22" t="s">
        <v>334</v>
      </c>
      <c r="W44" s="25">
        <f t="shared" ref="W44:AC44" si="125">D44/M44</f>
        <v>0.098770422772444</v>
      </c>
      <c r="X44" s="25">
        <f t="shared" si="125"/>
        <v>0.0971599657827203</v>
      </c>
      <c r="Y44" s="25">
        <f t="shared" si="125"/>
        <v>0.101094170403587</v>
      </c>
      <c r="Z44" s="25">
        <f t="shared" si="125"/>
        <v>0.102520849128127</v>
      </c>
      <c r="AA44" s="25">
        <f t="shared" si="125"/>
        <v>0.102946112250606</v>
      </c>
      <c r="AB44" s="26">
        <f t="shared" si="125"/>
        <v>0.0848156508653123</v>
      </c>
      <c r="AC44" s="26">
        <f t="shared" si="125"/>
        <v>0.0996816413158826</v>
      </c>
      <c r="AD44" s="15"/>
      <c r="AE44" s="15"/>
      <c r="AF44" s="25">
        <f t="shared" ref="AF44:AJ44" si="126">W44</f>
        <v>0.098770422772444</v>
      </c>
      <c r="AG44" s="25">
        <f t="shared" si="126"/>
        <v>0.0971599657827203</v>
      </c>
      <c r="AH44" s="25">
        <f t="shared" si="126"/>
        <v>0.101094170403587</v>
      </c>
      <c r="AI44" s="25">
        <f t="shared" si="126"/>
        <v>0.102520849128127</v>
      </c>
      <c r="AJ44" s="25">
        <f t="shared" si="126"/>
        <v>0.102946112250606</v>
      </c>
      <c r="AK44" s="27">
        <f t="shared" ref="AK44:AK58" si="127">AB44*1.15</f>
        <v>0.0975379984951091</v>
      </c>
      <c r="AL44" s="27">
        <f t="shared" ref="AL44:AL58" si="128">AC44*1.15</f>
        <v>0.114633887513265</v>
      </c>
      <c r="AO44" s="25">
        <f t="shared" ref="AO44:AS44" si="129">W44</f>
        <v>0.098770422772444</v>
      </c>
      <c r="AP44" s="25">
        <f t="shared" si="129"/>
        <v>0.0971599657827203</v>
      </c>
      <c r="AQ44" s="25">
        <f t="shared" si="129"/>
        <v>0.101094170403587</v>
      </c>
      <c r="AR44" s="25">
        <f t="shared" si="129"/>
        <v>0.102520849128127</v>
      </c>
      <c r="AS44" s="25">
        <f t="shared" si="129"/>
        <v>0.102946112250606</v>
      </c>
      <c r="AT44" s="27">
        <f t="shared" ref="AT44:AT58" si="130">AB44*0.85</f>
        <v>0.0720933032355154</v>
      </c>
      <c r="AU44" s="27">
        <f t="shared" ref="AU44:AU58" si="131">AC44*0.85</f>
        <v>0.0847293951185002</v>
      </c>
      <c r="AZ44" s="14" t="s">
        <v>333</v>
      </c>
      <c r="BA44" s="22" t="s">
        <v>334</v>
      </c>
      <c r="BB44" s="23">
        <v>665.2</v>
      </c>
      <c r="BC44" s="25">
        <v>586.4</v>
      </c>
      <c r="BD44" s="25">
        <v>567.9</v>
      </c>
      <c r="BE44" s="25">
        <v>563.6</v>
      </c>
      <c r="BF44" s="25">
        <v>540.9</v>
      </c>
      <c r="BG44" s="25">
        <v>552.1</v>
      </c>
      <c r="BH44" s="25">
        <v>563.6</v>
      </c>
      <c r="BI44" s="25">
        <v>563.6</v>
      </c>
      <c r="BJ44" s="15"/>
      <c r="BK44" s="15"/>
      <c r="BL44" s="24"/>
      <c r="BM44" s="24"/>
      <c r="BN44" s="24"/>
      <c r="BO44" s="24"/>
    </row>
    <row r="45" ht="15.5" spans="1:67">
      <c r="A45" s="14"/>
      <c r="B45" s="22" t="s">
        <v>335</v>
      </c>
      <c r="C45" s="23">
        <f t="shared" ref="C45:J45" si="132">BB45/1000</f>
        <v>0.6092</v>
      </c>
      <c r="D45" s="23">
        <f t="shared" si="132"/>
        <v>0.5396</v>
      </c>
      <c r="E45" s="23">
        <f t="shared" si="132"/>
        <v>0.5232</v>
      </c>
      <c r="F45" s="23">
        <f t="shared" si="132"/>
        <v>0.5193</v>
      </c>
      <c r="G45" s="23">
        <f t="shared" si="132"/>
        <v>0.499</v>
      </c>
      <c r="H45" s="23">
        <f t="shared" si="132"/>
        <v>0.5091</v>
      </c>
      <c r="I45" s="23">
        <f t="shared" si="132"/>
        <v>0.5193</v>
      </c>
      <c r="J45" s="23">
        <f t="shared" si="132"/>
        <v>0.5193</v>
      </c>
      <c r="K45" s="15"/>
      <c r="L45" s="15"/>
      <c r="M45" s="28">
        <v>5.937</v>
      </c>
      <c r="N45" s="28">
        <v>5.845</v>
      </c>
      <c r="O45" s="28">
        <v>5.575</v>
      </c>
      <c r="P45" s="28">
        <v>5.276</v>
      </c>
      <c r="Q45" s="28">
        <v>5.363</v>
      </c>
      <c r="R45" s="28">
        <v>6.645</v>
      </c>
      <c r="S45" s="28">
        <v>5.654</v>
      </c>
      <c r="T45" s="28"/>
      <c r="U45" s="14"/>
      <c r="V45" s="22" t="s">
        <v>335</v>
      </c>
      <c r="W45" s="25">
        <f t="shared" ref="W45:AC45" si="133">D45/M45</f>
        <v>0.0908876536971534</v>
      </c>
      <c r="X45" s="25">
        <f t="shared" si="133"/>
        <v>0.0895124037639008</v>
      </c>
      <c r="Y45" s="25">
        <f t="shared" si="133"/>
        <v>0.0931479820627803</v>
      </c>
      <c r="Z45" s="25">
        <f t="shared" si="133"/>
        <v>0.094579226686884</v>
      </c>
      <c r="AA45" s="25">
        <f t="shared" si="133"/>
        <v>0.0949282118217415</v>
      </c>
      <c r="AB45" s="26">
        <f t="shared" si="133"/>
        <v>0.0781489841986456</v>
      </c>
      <c r="AC45" s="26">
        <f t="shared" si="133"/>
        <v>0.0918464803678811</v>
      </c>
      <c r="AD45" s="15"/>
      <c r="AE45" s="15"/>
      <c r="AF45" s="25">
        <f t="shared" ref="AF45:AJ45" si="134">W45</f>
        <v>0.0908876536971534</v>
      </c>
      <c r="AG45" s="25">
        <f t="shared" si="134"/>
        <v>0.0895124037639008</v>
      </c>
      <c r="AH45" s="25">
        <f t="shared" si="134"/>
        <v>0.0931479820627803</v>
      </c>
      <c r="AI45" s="25">
        <f t="shared" si="134"/>
        <v>0.094579226686884</v>
      </c>
      <c r="AJ45" s="25">
        <f t="shared" si="134"/>
        <v>0.0949282118217415</v>
      </c>
      <c r="AK45" s="27">
        <f t="shared" si="127"/>
        <v>0.0898713318284424</v>
      </c>
      <c r="AL45" s="27">
        <f t="shared" si="128"/>
        <v>0.105623452423063</v>
      </c>
      <c r="AO45" s="25">
        <f t="shared" ref="AO45:AS45" si="135">W45</f>
        <v>0.0908876536971534</v>
      </c>
      <c r="AP45" s="25">
        <f t="shared" si="135"/>
        <v>0.0895124037639008</v>
      </c>
      <c r="AQ45" s="25">
        <f t="shared" si="135"/>
        <v>0.0931479820627803</v>
      </c>
      <c r="AR45" s="25">
        <f t="shared" si="135"/>
        <v>0.094579226686884</v>
      </c>
      <c r="AS45" s="25">
        <f t="shared" si="135"/>
        <v>0.0949282118217415</v>
      </c>
      <c r="AT45" s="27">
        <f t="shared" si="130"/>
        <v>0.0664266365688488</v>
      </c>
      <c r="AU45" s="27">
        <f t="shared" si="131"/>
        <v>0.078069508312699</v>
      </c>
      <c r="AZ45" s="14"/>
      <c r="BA45" s="22" t="s">
        <v>335</v>
      </c>
      <c r="BB45" s="23">
        <v>609.2</v>
      </c>
      <c r="BC45" s="25">
        <v>539.6</v>
      </c>
      <c r="BD45" s="25">
        <v>523.2</v>
      </c>
      <c r="BE45" s="25">
        <v>519.3</v>
      </c>
      <c r="BF45" s="25">
        <v>499</v>
      </c>
      <c r="BG45" s="25">
        <v>509.1</v>
      </c>
      <c r="BH45" s="25">
        <v>519.3</v>
      </c>
      <c r="BI45" s="25">
        <v>519.3</v>
      </c>
      <c r="BJ45" s="15"/>
      <c r="BK45" s="15"/>
      <c r="BL45" s="28"/>
      <c r="BM45" s="28"/>
      <c r="BN45" s="28"/>
      <c r="BO45" s="28"/>
    </row>
    <row r="46" ht="15.5" spans="1:67">
      <c r="A46" s="14"/>
      <c r="B46" s="22" t="s">
        <v>336</v>
      </c>
      <c r="C46" s="23">
        <f t="shared" ref="C46:J46" si="136">BB46/1000</f>
        <v>0.1429</v>
      </c>
      <c r="D46" s="23">
        <f t="shared" si="136"/>
        <v>0.1194</v>
      </c>
      <c r="E46" s="23">
        <f t="shared" si="136"/>
        <v>0.114</v>
      </c>
      <c r="F46" s="23">
        <f t="shared" si="136"/>
        <v>0.1127</v>
      </c>
      <c r="G46" s="23">
        <f t="shared" si="136"/>
        <v>0.1061</v>
      </c>
      <c r="H46" s="23">
        <f t="shared" si="136"/>
        <v>0.1094</v>
      </c>
      <c r="I46" s="23">
        <f t="shared" si="136"/>
        <v>0.1127</v>
      </c>
      <c r="J46" s="23">
        <f t="shared" si="136"/>
        <v>0.1127</v>
      </c>
      <c r="K46" s="15"/>
      <c r="L46" s="15"/>
      <c r="M46" s="28">
        <v>5.937</v>
      </c>
      <c r="N46" s="28">
        <v>5.845</v>
      </c>
      <c r="O46" s="28">
        <v>5.575</v>
      </c>
      <c r="P46" s="28">
        <v>5.276</v>
      </c>
      <c r="Q46" s="28">
        <v>5.363</v>
      </c>
      <c r="R46" s="28">
        <v>6.645</v>
      </c>
      <c r="S46" s="28">
        <v>5.654</v>
      </c>
      <c r="T46" s="28"/>
      <c r="U46" s="14"/>
      <c r="V46" s="22" t="s">
        <v>336</v>
      </c>
      <c r="W46" s="25">
        <f t="shared" ref="W46:AC46" si="137">D46/M46</f>
        <v>0.02011116725619</v>
      </c>
      <c r="X46" s="25">
        <f t="shared" si="137"/>
        <v>0.0195038494439692</v>
      </c>
      <c r="Y46" s="25">
        <f t="shared" si="137"/>
        <v>0.0202152466367713</v>
      </c>
      <c r="Z46" s="25">
        <f t="shared" si="137"/>
        <v>0.0201099317664898</v>
      </c>
      <c r="AA46" s="25">
        <f t="shared" si="137"/>
        <v>0.0203990303934365</v>
      </c>
      <c r="AB46" s="26">
        <f t="shared" si="137"/>
        <v>0.0169601203912716</v>
      </c>
      <c r="AC46" s="26">
        <f t="shared" si="137"/>
        <v>0.0199327909444641</v>
      </c>
      <c r="AD46" s="15"/>
      <c r="AE46" s="15"/>
      <c r="AF46" s="25">
        <f t="shared" ref="AF46:AJ46" si="138">W46</f>
        <v>0.02011116725619</v>
      </c>
      <c r="AG46" s="25">
        <f t="shared" si="138"/>
        <v>0.0195038494439692</v>
      </c>
      <c r="AH46" s="25">
        <f t="shared" si="138"/>
        <v>0.0202152466367713</v>
      </c>
      <c r="AI46" s="25">
        <f t="shared" si="138"/>
        <v>0.0201099317664898</v>
      </c>
      <c r="AJ46" s="25">
        <f t="shared" si="138"/>
        <v>0.0203990303934365</v>
      </c>
      <c r="AK46" s="27">
        <f t="shared" si="127"/>
        <v>0.0195041384499624</v>
      </c>
      <c r="AL46" s="27">
        <f t="shared" si="128"/>
        <v>0.0229227095861337</v>
      </c>
      <c r="AO46" s="25">
        <f t="shared" ref="AO46:AS46" si="139">W46</f>
        <v>0.02011116725619</v>
      </c>
      <c r="AP46" s="25">
        <f t="shared" si="139"/>
        <v>0.0195038494439692</v>
      </c>
      <c r="AQ46" s="25">
        <f t="shared" si="139"/>
        <v>0.0202152466367713</v>
      </c>
      <c r="AR46" s="25">
        <f t="shared" si="139"/>
        <v>0.0201099317664898</v>
      </c>
      <c r="AS46" s="25">
        <f t="shared" si="139"/>
        <v>0.0203990303934365</v>
      </c>
      <c r="AT46" s="27">
        <f t="shared" si="130"/>
        <v>0.0144161023325809</v>
      </c>
      <c r="AU46" s="27">
        <f t="shared" si="131"/>
        <v>0.0169428723027945</v>
      </c>
      <c r="AZ46" s="14"/>
      <c r="BA46" s="22" t="s">
        <v>336</v>
      </c>
      <c r="BB46" s="23">
        <v>142.9</v>
      </c>
      <c r="BC46" s="25">
        <v>119.4</v>
      </c>
      <c r="BD46" s="25">
        <v>114</v>
      </c>
      <c r="BE46" s="25">
        <v>112.7</v>
      </c>
      <c r="BF46" s="25">
        <v>106.1</v>
      </c>
      <c r="BG46" s="25">
        <v>109.4</v>
      </c>
      <c r="BH46" s="25">
        <v>112.7</v>
      </c>
      <c r="BI46" s="25">
        <v>112.7</v>
      </c>
      <c r="BJ46" s="15"/>
      <c r="BK46" s="15"/>
      <c r="BL46" s="28"/>
      <c r="BM46" s="28"/>
      <c r="BN46" s="28"/>
      <c r="BO46" s="28"/>
    </row>
    <row r="47" ht="15.5" spans="1:67">
      <c r="A47" s="14"/>
      <c r="B47" s="22" t="s">
        <v>337</v>
      </c>
      <c r="C47" s="23">
        <f t="shared" ref="C47:J47" si="140">BB47/1000</f>
        <v>0.4256</v>
      </c>
      <c r="D47" s="23">
        <f t="shared" si="140"/>
        <v>0.3807</v>
      </c>
      <c r="E47" s="23">
        <f t="shared" si="140"/>
        <v>0.3703</v>
      </c>
      <c r="F47" s="23">
        <f t="shared" si="140"/>
        <v>0.3679</v>
      </c>
      <c r="G47" s="23">
        <f t="shared" si="140"/>
        <v>0.3552</v>
      </c>
      <c r="H47" s="23">
        <f t="shared" si="140"/>
        <v>0.3613</v>
      </c>
      <c r="I47" s="23">
        <f t="shared" si="140"/>
        <v>0.3679</v>
      </c>
      <c r="J47" s="23">
        <f t="shared" si="140"/>
        <v>0.3679</v>
      </c>
      <c r="K47" s="15"/>
      <c r="L47" s="15"/>
      <c r="M47" s="28">
        <v>5.937</v>
      </c>
      <c r="N47" s="28">
        <v>5.845</v>
      </c>
      <c r="O47" s="28">
        <v>5.575</v>
      </c>
      <c r="P47" s="28">
        <v>5.276</v>
      </c>
      <c r="Q47" s="28">
        <v>5.363</v>
      </c>
      <c r="R47" s="28">
        <v>6.645</v>
      </c>
      <c r="S47" s="28">
        <v>5.654</v>
      </c>
      <c r="T47" s="28"/>
      <c r="U47" s="14"/>
      <c r="V47" s="22" t="s">
        <v>337</v>
      </c>
      <c r="W47" s="25">
        <f t="shared" ref="W47:AC47" si="141">D47/M47</f>
        <v>0.0641232945932289</v>
      </c>
      <c r="X47" s="25">
        <f t="shared" si="141"/>
        <v>0.0633532934131737</v>
      </c>
      <c r="Y47" s="25">
        <f t="shared" si="141"/>
        <v>0.0659910313901345</v>
      </c>
      <c r="Z47" s="25">
        <f t="shared" si="141"/>
        <v>0.0673237300985595</v>
      </c>
      <c r="AA47" s="25">
        <f t="shared" si="141"/>
        <v>0.0673690098825284</v>
      </c>
      <c r="AB47" s="26">
        <f t="shared" si="141"/>
        <v>0.055364936042137</v>
      </c>
      <c r="AC47" s="26">
        <f t="shared" si="141"/>
        <v>0.0650689777148921</v>
      </c>
      <c r="AD47" s="15"/>
      <c r="AE47" s="15"/>
      <c r="AF47" s="25">
        <f t="shared" ref="AF47:AJ47" si="142">W47</f>
        <v>0.0641232945932289</v>
      </c>
      <c r="AG47" s="25">
        <f t="shared" si="142"/>
        <v>0.0633532934131737</v>
      </c>
      <c r="AH47" s="25">
        <f t="shared" si="142"/>
        <v>0.0659910313901345</v>
      </c>
      <c r="AI47" s="25">
        <f t="shared" si="142"/>
        <v>0.0673237300985595</v>
      </c>
      <c r="AJ47" s="25">
        <f t="shared" si="142"/>
        <v>0.0673690098825284</v>
      </c>
      <c r="AK47" s="27">
        <f t="shared" si="127"/>
        <v>0.0636696764484575</v>
      </c>
      <c r="AL47" s="27">
        <f t="shared" si="128"/>
        <v>0.0748293243721259</v>
      </c>
      <c r="AO47" s="25">
        <f t="shared" ref="AO47:AS47" si="143">W47</f>
        <v>0.0641232945932289</v>
      </c>
      <c r="AP47" s="25">
        <f t="shared" si="143"/>
        <v>0.0633532934131737</v>
      </c>
      <c r="AQ47" s="25">
        <f t="shared" si="143"/>
        <v>0.0659910313901345</v>
      </c>
      <c r="AR47" s="25">
        <f t="shared" si="143"/>
        <v>0.0673237300985595</v>
      </c>
      <c r="AS47" s="25">
        <f t="shared" si="143"/>
        <v>0.0673690098825284</v>
      </c>
      <c r="AT47" s="27">
        <f t="shared" si="130"/>
        <v>0.0470601956358164</v>
      </c>
      <c r="AU47" s="27">
        <f t="shared" si="131"/>
        <v>0.0553086310576583</v>
      </c>
      <c r="AZ47" s="14"/>
      <c r="BA47" s="22" t="s">
        <v>337</v>
      </c>
      <c r="BB47" s="23">
        <v>425.6</v>
      </c>
      <c r="BC47" s="25">
        <v>380.7</v>
      </c>
      <c r="BD47" s="25">
        <v>370.3</v>
      </c>
      <c r="BE47" s="25">
        <v>367.9</v>
      </c>
      <c r="BF47" s="25">
        <v>355.2</v>
      </c>
      <c r="BG47" s="25">
        <v>361.3</v>
      </c>
      <c r="BH47" s="25">
        <v>367.9</v>
      </c>
      <c r="BI47" s="25">
        <v>367.9</v>
      </c>
      <c r="BJ47" s="15"/>
      <c r="BK47" s="15"/>
      <c r="BL47" s="28"/>
      <c r="BM47" s="28"/>
      <c r="BN47" s="28"/>
      <c r="BO47" s="28"/>
    </row>
    <row r="48" ht="15.5" spans="1:67">
      <c r="A48" s="14"/>
      <c r="B48" s="22" t="s">
        <v>338</v>
      </c>
      <c r="C48" s="23">
        <f t="shared" ref="C48:J48" si="144">BB48/1000</f>
        <v>0.0846</v>
      </c>
      <c r="D48" s="23">
        <f t="shared" si="144"/>
        <v>0.077</v>
      </c>
      <c r="E48" s="23">
        <f t="shared" si="144"/>
        <v>0.0749</v>
      </c>
      <c r="F48" s="23">
        <f t="shared" si="144"/>
        <v>0.0744</v>
      </c>
      <c r="G48" s="23">
        <f t="shared" si="144"/>
        <v>0.0717</v>
      </c>
      <c r="H48" s="23">
        <f t="shared" si="144"/>
        <v>0.0731</v>
      </c>
      <c r="I48" s="23">
        <f t="shared" si="144"/>
        <v>0.0744</v>
      </c>
      <c r="J48" s="23">
        <f t="shared" si="144"/>
        <v>0.0744</v>
      </c>
      <c r="K48" s="15"/>
      <c r="L48" s="15"/>
      <c r="M48" s="28">
        <v>5.937</v>
      </c>
      <c r="N48" s="28">
        <v>5.845</v>
      </c>
      <c r="O48" s="28">
        <v>5.575</v>
      </c>
      <c r="P48" s="28">
        <v>5.276</v>
      </c>
      <c r="Q48" s="28">
        <v>5.363</v>
      </c>
      <c r="R48" s="28">
        <v>6.645</v>
      </c>
      <c r="S48" s="28">
        <v>5.654</v>
      </c>
      <c r="T48" s="28"/>
      <c r="U48" s="14"/>
      <c r="V48" s="22" t="s">
        <v>338</v>
      </c>
      <c r="W48" s="25">
        <f t="shared" ref="W48:AC48" si="145">D48/M48</f>
        <v>0.0129695132221661</v>
      </c>
      <c r="X48" s="25">
        <f t="shared" si="145"/>
        <v>0.012814371257485</v>
      </c>
      <c r="Y48" s="25">
        <f t="shared" si="145"/>
        <v>0.0133452914798206</v>
      </c>
      <c r="Z48" s="25">
        <f t="shared" si="145"/>
        <v>0.0135898407884761</v>
      </c>
      <c r="AA48" s="25">
        <f t="shared" si="145"/>
        <v>0.0136304307290695</v>
      </c>
      <c r="AB48" s="26">
        <f t="shared" si="145"/>
        <v>0.011196388261851</v>
      </c>
      <c r="AC48" s="26">
        <f t="shared" si="145"/>
        <v>0.0131588256101875</v>
      </c>
      <c r="AD48" s="15"/>
      <c r="AE48" s="15"/>
      <c r="AF48" s="25">
        <f t="shared" ref="AF48:AJ48" si="146">W48</f>
        <v>0.0129695132221661</v>
      </c>
      <c r="AG48" s="25">
        <f t="shared" si="146"/>
        <v>0.012814371257485</v>
      </c>
      <c r="AH48" s="25">
        <f t="shared" si="146"/>
        <v>0.0133452914798206</v>
      </c>
      <c r="AI48" s="25">
        <f t="shared" si="146"/>
        <v>0.0135898407884761</v>
      </c>
      <c r="AJ48" s="25">
        <f t="shared" si="146"/>
        <v>0.0136304307290695</v>
      </c>
      <c r="AK48" s="27">
        <f t="shared" si="127"/>
        <v>0.0128758465011287</v>
      </c>
      <c r="AL48" s="27">
        <f t="shared" si="128"/>
        <v>0.0151326494517156</v>
      </c>
      <c r="AO48" s="25">
        <f t="shared" ref="AO48:AS48" si="147">W48</f>
        <v>0.0129695132221661</v>
      </c>
      <c r="AP48" s="25">
        <f t="shared" si="147"/>
        <v>0.012814371257485</v>
      </c>
      <c r="AQ48" s="25">
        <f t="shared" si="147"/>
        <v>0.0133452914798206</v>
      </c>
      <c r="AR48" s="25">
        <f t="shared" si="147"/>
        <v>0.0135898407884761</v>
      </c>
      <c r="AS48" s="25">
        <f t="shared" si="147"/>
        <v>0.0136304307290695</v>
      </c>
      <c r="AT48" s="27">
        <f t="shared" si="130"/>
        <v>0.00951693002257336</v>
      </c>
      <c r="AU48" s="27">
        <f t="shared" si="131"/>
        <v>0.0111850017686594</v>
      </c>
      <c r="AZ48" s="14"/>
      <c r="BA48" s="22" t="s">
        <v>338</v>
      </c>
      <c r="BB48" s="23">
        <v>84.6</v>
      </c>
      <c r="BC48" s="25">
        <v>77</v>
      </c>
      <c r="BD48" s="25">
        <v>74.9</v>
      </c>
      <c r="BE48" s="25">
        <v>74.4</v>
      </c>
      <c r="BF48" s="25">
        <v>71.7</v>
      </c>
      <c r="BG48" s="25">
        <v>73.1</v>
      </c>
      <c r="BH48" s="25">
        <v>74.4</v>
      </c>
      <c r="BI48" s="25">
        <v>74.4</v>
      </c>
      <c r="BJ48" s="15"/>
      <c r="BK48" s="15"/>
      <c r="BL48" s="28"/>
      <c r="BM48" s="28"/>
      <c r="BN48" s="28"/>
      <c r="BO48" s="28"/>
    </row>
    <row r="49" ht="15.5" spans="1:67">
      <c r="A49" s="14" t="s">
        <v>339</v>
      </c>
      <c r="B49" s="22" t="s">
        <v>334</v>
      </c>
      <c r="C49" s="23">
        <f t="shared" ref="C49:J49" si="148">BB49/1000</f>
        <v>0.6792</v>
      </c>
      <c r="D49" s="23">
        <f t="shared" si="148"/>
        <v>0.5984</v>
      </c>
      <c r="E49" s="23">
        <f t="shared" si="148"/>
        <v>0.5794</v>
      </c>
      <c r="F49" s="23">
        <f t="shared" si="148"/>
        <v>0.575</v>
      </c>
      <c r="G49" s="23">
        <f t="shared" si="148"/>
        <v>0.5517</v>
      </c>
      <c r="H49" s="23">
        <f t="shared" si="148"/>
        <v>0.5632</v>
      </c>
      <c r="I49" s="23">
        <f t="shared" si="148"/>
        <v>0.575</v>
      </c>
      <c r="J49" s="23">
        <f t="shared" si="148"/>
        <v>0.575</v>
      </c>
      <c r="K49" s="15"/>
      <c r="L49" s="15"/>
      <c r="M49" s="28">
        <v>5.937</v>
      </c>
      <c r="N49" s="28">
        <v>5.845</v>
      </c>
      <c r="O49" s="28">
        <v>5.575</v>
      </c>
      <c r="P49" s="28">
        <v>5.276</v>
      </c>
      <c r="Q49" s="28">
        <v>5.363</v>
      </c>
      <c r="R49" s="28">
        <v>6.645</v>
      </c>
      <c r="S49" s="28">
        <v>5.654</v>
      </c>
      <c r="T49" s="28"/>
      <c r="U49" s="14" t="s">
        <v>339</v>
      </c>
      <c r="V49" s="22" t="s">
        <v>334</v>
      </c>
      <c r="W49" s="25">
        <f t="shared" ref="W49:AC49" si="149">D49/M49</f>
        <v>0.100791645612262</v>
      </c>
      <c r="X49" s="25">
        <f t="shared" si="149"/>
        <v>0.0991274593669803</v>
      </c>
      <c r="Y49" s="25">
        <f t="shared" si="149"/>
        <v>0.103139013452915</v>
      </c>
      <c r="Z49" s="25">
        <f t="shared" si="149"/>
        <v>0.104567854435178</v>
      </c>
      <c r="AA49" s="25">
        <f t="shared" si="149"/>
        <v>0.105015849338057</v>
      </c>
      <c r="AB49" s="26">
        <f t="shared" si="149"/>
        <v>0.0865312264860798</v>
      </c>
      <c r="AC49" s="26">
        <f t="shared" si="149"/>
        <v>0.10169791298196</v>
      </c>
      <c r="AD49" s="15"/>
      <c r="AE49" s="15"/>
      <c r="AF49" s="25">
        <f t="shared" ref="AF49:AJ49" si="150">W49</f>
        <v>0.100791645612262</v>
      </c>
      <c r="AG49" s="25">
        <f t="shared" si="150"/>
        <v>0.0991274593669803</v>
      </c>
      <c r="AH49" s="25">
        <f t="shared" si="150"/>
        <v>0.103139013452915</v>
      </c>
      <c r="AI49" s="25">
        <f t="shared" si="150"/>
        <v>0.104567854435178</v>
      </c>
      <c r="AJ49" s="25">
        <f t="shared" si="150"/>
        <v>0.105015849338057</v>
      </c>
      <c r="AK49" s="27">
        <f t="shared" si="127"/>
        <v>0.0995109104589917</v>
      </c>
      <c r="AL49" s="27">
        <f t="shared" si="128"/>
        <v>0.116952599929254</v>
      </c>
      <c r="AO49" s="25">
        <f t="shared" ref="AO49:AS49" si="151">W49</f>
        <v>0.100791645612262</v>
      </c>
      <c r="AP49" s="25">
        <f t="shared" si="151"/>
        <v>0.0991274593669803</v>
      </c>
      <c r="AQ49" s="25">
        <f t="shared" si="151"/>
        <v>0.103139013452915</v>
      </c>
      <c r="AR49" s="25">
        <f t="shared" si="151"/>
        <v>0.104567854435178</v>
      </c>
      <c r="AS49" s="25">
        <f t="shared" si="151"/>
        <v>0.105015849338057</v>
      </c>
      <c r="AT49" s="27">
        <f t="shared" si="130"/>
        <v>0.0735515425131678</v>
      </c>
      <c r="AU49" s="27">
        <f t="shared" si="131"/>
        <v>0.0864432260346657</v>
      </c>
      <c r="AZ49" s="14" t="s">
        <v>339</v>
      </c>
      <c r="BA49" s="22" t="s">
        <v>334</v>
      </c>
      <c r="BB49" s="23">
        <v>679.2</v>
      </c>
      <c r="BC49" s="25">
        <v>598.4</v>
      </c>
      <c r="BD49" s="25">
        <v>579.4</v>
      </c>
      <c r="BE49" s="25">
        <v>575</v>
      </c>
      <c r="BF49" s="25">
        <v>551.7</v>
      </c>
      <c r="BG49" s="25">
        <v>563.2</v>
      </c>
      <c r="BH49" s="25">
        <v>575</v>
      </c>
      <c r="BI49" s="25">
        <v>575</v>
      </c>
      <c r="BJ49" s="15"/>
      <c r="BK49" s="15"/>
      <c r="BL49" s="28"/>
      <c r="BM49" s="28"/>
      <c r="BN49" s="28"/>
      <c r="BO49" s="28"/>
    </row>
    <row r="50" ht="15.5" spans="1:67">
      <c r="A50" s="14"/>
      <c r="B50" s="22" t="s">
        <v>335</v>
      </c>
      <c r="C50" s="23">
        <f t="shared" ref="C50:J50" si="152">BB50/1000</f>
        <v>0.6241</v>
      </c>
      <c r="D50" s="23">
        <f t="shared" si="152"/>
        <v>0.5523</v>
      </c>
      <c r="E50" s="23">
        <f t="shared" si="152"/>
        <v>0.5353</v>
      </c>
      <c r="F50" s="23">
        <f t="shared" si="152"/>
        <v>0.5314</v>
      </c>
      <c r="G50" s="23">
        <f t="shared" si="152"/>
        <v>0.5105</v>
      </c>
      <c r="H50" s="23">
        <f t="shared" si="152"/>
        <v>0.5209</v>
      </c>
      <c r="I50" s="23">
        <f t="shared" si="152"/>
        <v>0.5314</v>
      </c>
      <c r="J50" s="23">
        <f t="shared" si="152"/>
        <v>0.5314</v>
      </c>
      <c r="K50" s="15"/>
      <c r="L50" s="15"/>
      <c r="M50" s="28">
        <v>5.937</v>
      </c>
      <c r="N50" s="28">
        <v>5.845</v>
      </c>
      <c r="O50" s="28">
        <v>5.575</v>
      </c>
      <c r="P50" s="28">
        <v>5.276</v>
      </c>
      <c r="Q50" s="28">
        <v>5.363</v>
      </c>
      <c r="R50" s="28">
        <v>6.645</v>
      </c>
      <c r="S50" s="28">
        <v>5.654</v>
      </c>
      <c r="T50" s="28"/>
      <c r="U50" s="14"/>
      <c r="V50" s="22" t="s">
        <v>335</v>
      </c>
      <c r="W50" s="25">
        <f t="shared" ref="W50:AC50" si="153">D50/M50</f>
        <v>0.0930267812026276</v>
      </c>
      <c r="X50" s="25">
        <f t="shared" si="153"/>
        <v>0.0915825491873396</v>
      </c>
      <c r="Y50" s="25">
        <f t="shared" si="153"/>
        <v>0.0953183856502242</v>
      </c>
      <c r="Z50" s="25">
        <f t="shared" si="153"/>
        <v>0.0967589082638362</v>
      </c>
      <c r="AA50" s="25">
        <f t="shared" si="153"/>
        <v>0.0971284728696625</v>
      </c>
      <c r="AB50" s="26">
        <f t="shared" si="153"/>
        <v>0.0799699021820918</v>
      </c>
      <c r="AC50" s="26">
        <f t="shared" si="153"/>
        <v>0.0939865581888928</v>
      </c>
      <c r="AD50" s="15"/>
      <c r="AE50" s="15"/>
      <c r="AF50" s="25">
        <f t="shared" ref="AF50:AJ50" si="154">W50</f>
        <v>0.0930267812026276</v>
      </c>
      <c r="AG50" s="25">
        <f t="shared" si="154"/>
        <v>0.0915825491873396</v>
      </c>
      <c r="AH50" s="25">
        <f t="shared" si="154"/>
        <v>0.0953183856502242</v>
      </c>
      <c r="AI50" s="25">
        <f t="shared" si="154"/>
        <v>0.0967589082638362</v>
      </c>
      <c r="AJ50" s="25">
        <f t="shared" si="154"/>
        <v>0.0971284728696625</v>
      </c>
      <c r="AK50" s="27">
        <f t="shared" si="127"/>
        <v>0.0919653875094056</v>
      </c>
      <c r="AL50" s="27">
        <f t="shared" si="128"/>
        <v>0.108084541917227</v>
      </c>
      <c r="AO50" s="25">
        <f t="shared" ref="AO50:AS50" si="155">W50</f>
        <v>0.0930267812026276</v>
      </c>
      <c r="AP50" s="25">
        <f t="shared" si="155"/>
        <v>0.0915825491873396</v>
      </c>
      <c r="AQ50" s="25">
        <f t="shared" si="155"/>
        <v>0.0953183856502242</v>
      </c>
      <c r="AR50" s="25">
        <f t="shared" si="155"/>
        <v>0.0967589082638362</v>
      </c>
      <c r="AS50" s="25">
        <f t="shared" si="155"/>
        <v>0.0971284728696625</v>
      </c>
      <c r="AT50" s="27">
        <f t="shared" si="130"/>
        <v>0.067974416854778</v>
      </c>
      <c r="AU50" s="27">
        <f t="shared" si="131"/>
        <v>0.0798885744605589</v>
      </c>
      <c r="AZ50" s="14"/>
      <c r="BA50" s="22" t="s">
        <v>335</v>
      </c>
      <c r="BB50" s="23">
        <v>624.1</v>
      </c>
      <c r="BC50" s="25">
        <v>552.3</v>
      </c>
      <c r="BD50" s="25">
        <v>535.3</v>
      </c>
      <c r="BE50" s="25">
        <v>531.4</v>
      </c>
      <c r="BF50" s="25">
        <v>510.5</v>
      </c>
      <c r="BG50" s="25">
        <v>520.9</v>
      </c>
      <c r="BH50" s="25">
        <v>531.4</v>
      </c>
      <c r="BI50" s="25">
        <v>531.4</v>
      </c>
      <c r="BJ50" s="15"/>
      <c r="BK50" s="15"/>
      <c r="BL50" s="28"/>
      <c r="BM50" s="28"/>
      <c r="BN50" s="28"/>
      <c r="BO50" s="28"/>
    </row>
    <row r="51" ht="15.5" spans="1:67">
      <c r="A51" s="14"/>
      <c r="B51" s="22" t="s">
        <v>336</v>
      </c>
      <c r="C51" s="23">
        <f t="shared" ref="C51:J51" si="156">BB51/1000</f>
        <v>0.1745</v>
      </c>
      <c r="D51" s="23">
        <f t="shared" si="156"/>
        <v>0.1463</v>
      </c>
      <c r="E51" s="23">
        <f t="shared" si="156"/>
        <v>0.1398</v>
      </c>
      <c r="F51" s="23">
        <f t="shared" si="156"/>
        <v>0.1383</v>
      </c>
      <c r="G51" s="23">
        <f t="shared" si="156"/>
        <v>0.1304</v>
      </c>
      <c r="H51" s="23">
        <f t="shared" si="156"/>
        <v>0.1343</v>
      </c>
      <c r="I51" s="23">
        <f t="shared" si="156"/>
        <v>0.1383</v>
      </c>
      <c r="J51" s="23">
        <f t="shared" si="156"/>
        <v>0.1383</v>
      </c>
      <c r="K51" s="15"/>
      <c r="L51" s="15"/>
      <c r="M51" s="28">
        <v>5.937</v>
      </c>
      <c r="N51" s="28">
        <v>5.845</v>
      </c>
      <c r="O51" s="28">
        <v>5.575</v>
      </c>
      <c r="P51" s="28">
        <v>5.276</v>
      </c>
      <c r="Q51" s="28">
        <v>5.363</v>
      </c>
      <c r="R51" s="28">
        <v>6.645</v>
      </c>
      <c r="S51" s="28">
        <v>5.654</v>
      </c>
      <c r="T51" s="28"/>
      <c r="U51" s="14"/>
      <c r="V51" s="22" t="s">
        <v>336</v>
      </c>
      <c r="W51" s="25">
        <f t="shared" ref="W51:AC51" si="157">D51/M51</f>
        <v>0.0246420751221155</v>
      </c>
      <c r="X51" s="25">
        <f t="shared" si="157"/>
        <v>0.023917878528657</v>
      </c>
      <c r="Y51" s="25">
        <f t="shared" si="157"/>
        <v>0.0248071748878924</v>
      </c>
      <c r="Z51" s="25">
        <f t="shared" si="157"/>
        <v>0.0247156937073541</v>
      </c>
      <c r="AA51" s="25">
        <f t="shared" si="157"/>
        <v>0.025041954130151</v>
      </c>
      <c r="AB51" s="26">
        <f t="shared" si="157"/>
        <v>0.0208126410835214</v>
      </c>
      <c r="AC51" s="26">
        <f t="shared" si="157"/>
        <v>0.0244605588963566</v>
      </c>
      <c r="AD51" s="15"/>
      <c r="AE51" s="15"/>
      <c r="AF51" s="25">
        <f t="shared" ref="AF51:AJ51" si="158">W51</f>
        <v>0.0246420751221155</v>
      </c>
      <c r="AG51" s="25">
        <f t="shared" si="158"/>
        <v>0.023917878528657</v>
      </c>
      <c r="AH51" s="25">
        <f t="shared" si="158"/>
        <v>0.0248071748878924</v>
      </c>
      <c r="AI51" s="25">
        <f t="shared" si="158"/>
        <v>0.0247156937073541</v>
      </c>
      <c r="AJ51" s="25">
        <f t="shared" si="158"/>
        <v>0.025041954130151</v>
      </c>
      <c r="AK51" s="27">
        <f t="shared" si="127"/>
        <v>0.0239345372460497</v>
      </c>
      <c r="AL51" s="27">
        <f t="shared" si="128"/>
        <v>0.02812964273081</v>
      </c>
      <c r="AO51" s="25">
        <f t="shared" ref="AO51:AS51" si="159">W51</f>
        <v>0.0246420751221155</v>
      </c>
      <c r="AP51" s="25">
        <f t="shared" si="159"/>
        <v>0.023917878528657</v>
      </c>
      <c r="AQ51" s="25">
        <f t="shared" si="159"/>
        <v>0.0248071748878924</v>
      </c>
      <c r="AR51" s="25">
        <f t="shared" si="159"/>
        <v>0.0247156937073541</v>
      </c>
      <c r="AS51" s="25">
        <f t="shared" si="159"/>
        <v>0.025041954130151</v>
      </c>
      <c r="AT51" s="27">
        <f t="shared" si="130"/>
        <v>0.0176907449209932</v>
      </c>
      <c r="AU51" s="27">
        <f t="shared" si="131"/>
        <v>0.0207914750619031</v>
      </c>
      <c r="AZ51" s="14"/>
      <c r="BA51" s="22" t="s">
        <v>336</v>
      </c>
      <c r="BB51" s="23">
        <v>174.5</v>
      </c>
      <c r="BC51" s="25">
        <v>146.3</v>
      </c>
      <c r="BD51" s="25">
        <v>139.8</v>
      </c>
      <c r="BE51" s="25">
        <v>138.3</v>
      </c>
      <c r="BF51" s="25">
        <v>130.4</v>
      </c>
      <c r="BG51" s="25">
        <v>134.3</v>
      </c>
      <c r="BH51" s="25">
        <v>138.3</v>
      </c>
      <c r="BI51" s="25">
        <v>138.3</v>
      </c>
      <c r="BJ51" s="15"/>
      <c r="BK51" s="15"/>
      <c r="BL51" s="28"/>
      <c r="BM51" s="28"/>
      <c r="BN51" s="28"/>
      <c r="BO51" s="28"/>
    </row>
    <row r="52" ht="15.5" spans="1:67">
      <c r="A52" s="14"/>
      <c r="B52" s="22" t="s">
        <v>337</v>
      </c>
      <c r="C52" s="23">
        <f t="shared" ref="C52:J52" si="160">BB52/1000</f>
        <v>0.4064</v>
      </c>
      <c r="D52" s="23">
        <f t="shared" si="160"/>
        <v>0.3643</v>
      </c>
      <c r="E52" s="23">
        <f t="shared" si="160"/>
        <v>0.3546</v>
      </c>
      <c r="F52" s="23">
        <f t="shared" si="160"/>
        <v>0.3523</v>
      </c>
      <c r="G52" s="23">
        <f t="shared" si="160"/>
        <v>0.3404</v>
      </c>
      <c r="H52" s="23">
        <f t="shared" si="160"/>
        <v>0.3462</v>
      </c>
      <c r="I52" s="23">
        <f t="shared" si="160"/>
        <v>0.3523</v>
      </c>
      <c r="J52" s="23">
        <f t="shared" si="160"/>
        <v>0.3523</v>
      </c>
      <c r="K52" s="15"/>
      <c r="L52" s="15"/>
      <c r="M52" s="28">
        <v>5.937</v>
      </c>
      <c r="N52" s="28">
        <v>5.845</v>
      </c>
      <c r="O52" s="28">
        <v>5.575</v>
      </c>
      <c r="P52" s="28">
        <v>5.276</v>
      </c>
      <c r="Q52" s="28">
        <v>5.363</v>
      </c>
      <c r="R52" s="28">
        <v>6.645</v>
      </c>
      <c r="S52" s="28">
        <v>5.654</v>
      </c>
      <c r="T52" s="28"/>
      <c r="U52" s="14"/>
      <c r="V52" s="22" t="s">
        <v>337</v>
      </c>
      <c r="W52" s="25">
        <f t="shared" ref="W52:AC52" si="161">D52/M52</f>
        <v>0.0613609567121442</v>
      </c>
      <c r="X52" s="25">
        <f t="shared" si="161"/>
        <v>0.0606672369546621</v>
      </c>
      <c r="Y52" s="25">
        <f t="shared" si="161"/>
        <v>0.0631928251121076</v>
      </c>
      <c r="Z52" s="25">
        <f t="shared" si="161"/>
        <v>0.0645185746777862</v>
      </c>
      <c r="AA52" s="25">
        <f t="shared" si="161"/>
        <v>0.0645534215923923</v>
      </c>
      <c r="AB52" s="26">
        <f t="shared" si="161"/>
        <v>0.0530173062452972</v>
      </c>
      <c r="AC52" s="26">
        <f t="shared" si="161"/>
        <v>0.0623098691192076</v>
      </c>
      <c r="AD52" s="15"/>
      <c r="AE52" s="15"/>
      <c r="AF52" s="25">
        <f t="shared" ref="AF52:AJ52" si="162">W52</f>
        <v>0.0613609567121442</v>
      </c>
      <c r="AG52" s="25">
        <f t="shared" si="162"/>
        <v>0.0606672369546621</v>
      </c>
      <c r="AH52" s="25">
        <f t="shared" si="162"/>
        <v>0.0631928251121076</v>
      </c>
      <c r="AI52" s="25">
        <f t="shared" si="162"/>
        <v>0.0645185746777862</v>
      </c>
      <c r="AJ52" s="25">
        <f t="shared" si="162"/>
        <v>0.0645534215923923</v>
      </c>
      <c r="AK52" s="27">
        <f t="shared" si="127"/>
        <v>0.0609699021820918</v>
      </c>
      <c r="AL52" s="27">
        <f t="shared" si="128"/>
        <v>0.0716563494870888</v>
      </c>
      <c r="AO52" s="25">
        <f t="shared" ref="AO52:AS52" si="163">W52</f>
        <v>0.0613609567121442</v>
      </c>
      <c r="AP52" s="25">
        <f t="shared" si="163"/>
        <v>0.0606672369546621</v>
      </c>
      <c r="AQ52" s="25">
        <f t="shared" si="163"/>
        <v>0.0631928251121076</v>
      </c>
      <c r="AR52" s="25">
        <f t="shared" si="163"/>
        <v>0.0645185746777862</v>
      </c>
      <c r="AS52" s="25">
        <f t="shared" si="163"/>
        <v>0.0645534215923923</v>
      </c>
      <c r="AT52" s="27">
        <f t="shared" si="130"/>
        <v>0.0450647103085026</v>
      </c>
      <c r="AU52" s="27">
        <f t="shared" si="131"/>
        <v>0.0529633887513265</v>
      </c>
      <c r="AZ52" s="14"/>
      <c r="BA52" s="22" t="s">
        <v>337</v>
      </c>
      <c r="BB52" s="23">
        <v>406.4</v>
      </c>
      <c r="BC52" s="25">
        <v>364.3</v>
      </c>
      <c r="BD52" s="25">
        <v>354.6</v>
      </c>
      <c r="BE52" s="25">
        <v>352.3</v>
      </c>
      <c r="BF52" s="25">
        <v>340.4</v>
      </c>
      <c r="BG52" s="25">
        <v>346.2</v>
      </c>
      <c r="BH52" s="25">
        <v>352.3</v>
      </c>
      <c r="BI52" s="25">
        <v>352.3</v>
      </c>
      <c r="BJ52" s="15"/>
      <c r="BK52" s="15"/>
      <c r="BL52" s="28"/>
      <c r="BM52" s="28"/>
      <c r="BN52" s="28"/>
      <c r="BO52" s="28"/>
    </row>
    <row r="53" ht="15.5" spans="1:67">
      <c r="A53" s="14"/>
      <c r="B53" s="22" t="s">
        <v>338</v>
      </c>
      <c r="C53" s="23">
        <f t="shared" ref="C53:J53" si="164">BB53/1000</f>
        <v>0.0872</v>
      </c>
      <c r="D53" s="23">
        <f t="shared" si="164"/>
        <v>0.0791</v>
      </c>
      <c r="E53" s="23">
        <f t="shared" si="164"/>
        <v>0.077</v>
      </c>
      <c r="F53" s="23">
        <f t="shared" si="164"/>
        <v>0.0765</v>
      </c>
      <c r="G53" s="23">
        <f t="shared" si="164"/>
        <v>0.0737</v>
      </c>
      <c r="H53" s="23">
        <f t="shared" si="164"/>
        <v>0.0751</v>
      </c>
      <c r="I53" s="23">
        <f t="shared" si="164"/>
        <v>0.0765</v>
      </c>
      <c r="J53" s="23">
        <f t="shared" si="164"/>
        <v>0.0765</v>
      </c>
      <c r="K53" s="15"/>
      <c r="L53" s="15"/>
      <c r="M53" s="28">
        <v>5.937</v>
      </c>
      <c r="N53" s="28">
        <v>5.845</v>
      </c>
      <c r="O53" s="28">
        <v>5.575</v>
      </c>
      <c r="P53" s="28">
        <v>5.276</v>
      </c>
      <c r="Q53" s="28">
        <v>5.363</v>
      </c>
      <c r="R53" s="28">
        <v>6.645</v>
      </c>
      <c r="S53" s="28">
        <v>5.654</v>
      </c>
      <c r="T53" s="28"/>
      <c r="U53" s="14"/>
      <c r="V53" s="22" t="s">
        <v>338</v>
      </c>
      <c r="W53" s="25">
        <f t="shared" ref="W53:AC53" si="165">D53/M53</f>
        <v>0.0133232272191342</v>
      </c>
      <c r="X53" s="25">
        <f t="shared" si="165"/>
        <v>0.0131736526946108</v>
      </c>
      <c r="Y53" s="25">
        <f t="shared" si="165"/>
        <v>0.0137219730941704</v>
      </c>
      <c r="Z53" s="25">
        <f t="shared" si="165"/>
        <v>0.0139689158453374</v>
      </c>
      <c r="AA53" s="25">
        <f t="shared" si="165"/>
        <v>0.0140033563304121</v>
      </c>
      <c r="AB53" s="26">
        <f t="shared" si="165"/>
        <v>0.0115124153498871</v>
      </c>
      <c r="AC53" s="26">
        <f t="shared" si="165"/>
        <v>0.0135302440749912</v>
      </c>
      <c r="AD53" s="15"/>
      <c r="AE53" s="15"/>
      <c r="AF53" s="25">
        <f t="shared" ref="AF53:AJ53" si="166">W53</f>
        <v>0.0133232272191342</v>
      </c>
      <c r="AG53" s="25">
        <f t="shared" si="166"/>
        <v>0.0131736526946108</v>
      </c>
      <c r="AH53" s="25">
        <f t="shared" si="166"/>
        <v>0.0137219730941704</v>
      </c>
      <c r="AI53" s="25">
        <f t="shared" si="166"/>
        <v>0.0139689158453374</v>
      </c>
      <c r="AJ53" s="25">
        <f t="shared" si="166"/>
        <v>0.0140033563304121</v>
      </c>
      <c r="AK53" s="27">
        <f t="shared" si="127"/>
        <v>0.0132392776523702</v>
      </c>
      <c r="AL53" s="27">
        <f t="shared" si="128"/>
        <v>0.0155597806862398</v>
      </c>
      <c r="AO53" s="25">
        <f t="shared" ref="AO53:AS53" si="167">W53</f>
        <v>0.0133232272191342</v>
      </c>
      <c r="AP53" s="25">
        <f t="shared" si="167"/>
        <v>0.0131736526946108</v>
      </c>
      <c r="AQ53" s="25">
        <f t="shared" si="167"/>
        <v>0.0137219730941704</v>
      </c>
      <c r="AR53" s="25">
        <f t="shared" si="167"/>
        <v>0.0139689158453374</v>
      </c>
      <c r="AS53" s="25">
        <f t="shared" si="167"/>
        <v>0.0140033563304121</v>
      </c>
      <c r="AT53" s="27">
        <f t="shared" si="130"/>
        <v>0.00978555304740406</v>
      </c>
      <c r="AU53" s="27">
        <f t="shared" si="131"/>
        <v>0.0115007074637425</v>
      </c>
      <c r="AZ53" s="14"/>
      <c r="BA53" s="22" t="s">
        <v>338</v>
      </c>
      <c r="BB53" s="23">
        <v>87.2</v>
      </c>
      <c r="BC53" s="25">
        <v>79.1</v>
      </c>
      <c r="BD53" s="25">
        <v>77</v>
      </c>
      <c r="BE53" s="25">
        <v>76.5</v>
      </c>
      <c r="BF53" s="25">
        <v>73.7</v>
      </c>
      <c r="BG53" s="25">
        <v>75.1</v>
      </c>
      <c r="BH53" s="25">
        <v>76.5</v>
      </c>
      <c r="BI53" s="25">
        <v>76.5</v>
      </c>
      <c r="BJ53" s="15"/>
      <c r="BK53" s="15"/>
      <c r="BL53" s="28"/>
      <c r="BM53" s="28"/>
      <c r="BN53" s="28"/>
      <c r="BO53" s="28"/>
    </row>
    <row r="54" ht="15.5" spans="1:67">
      <c r="A54" s="14" t="s">
        <v>11</v>
      </c>
      <c r="B54" s="22" t="s">
        <v>334</v>
      </c>
      <c r="C54" s="23">
        <f t="shared" ref="C54:J54" si="168">BB54/1000</f>
        <v>0.6916</v>
      </c>
      <c r="D54" s="23">
        <f t="shared" si="168"/>
        <v>0.6089</v>
      </c>
      <c r="E54" s="23">
        <f t="shared" si="168"/>
        <v>0.5895</v>
      </c>
      <c r="F54" s="23">
        <f t="shared" si="168"/>
        <v>0.585</v>
      </c>
      <c r="G54" s="23">
        <f t="shared" si="168"/>
        <v>0.5612</v>
      </c>
      <c r="H54" s="23">
        <f t="shared" si="168"/>
        <v>0.573</v>
      </c>
      <c r="I54" s="23">
        <f t="shared" si="168"/>
        <v>0.585</v>
      </c>
      <c r="J54" s="23">
        <f t="shared" si="168"/>
        <v>0.585</v>
      </c>
      <c r="K54" s="15"/>
      <c r="L54" s="15"/>
      <c r="M54" s="28">
        <v>5.937</v>
      </c>
      <c r="N54" s="28">
        <v>5.845</v>
      </c>
      <c r="O54" s="28">
        <v>5.575</v>
      </c>
      <c r="P54" s="28">
        <v>5.276</v>
      </c>
      <c r="Q54" s="28">
        <v>5.363</v>
      </c>
      <c r="R54" s="28">
        <v>6.645</v>
      </c>
      <c r="S54" s="28">
        <v>5.654</v>
      </c>
      <c r="T54" s="28"/>
      <c r="U54" s="14" t="s">
        <v>11</v>
      </c>
      <c r="V54" s="22" t="s">
        <v>334</v>
      </c>
      <c r="W54" s="25">
        <f t="shared" ref="W54:AC54" si="169">D54/M54</f>
        <v>0.102560215597103</v>
      </c>
      <c r="X54" s="25">
        <f t="shared" si="169"/>
        <v>0.100855431993157</v>
      </c>
      <c r="Y54" s="25">
        <f t="shared" si="169"/>
        <v>0.104932735426009</v>
      </c>
      <c r="Z54" s="25">
        <f t="shared" si="169"/>
        <v>0.106368460955269</v>
      </c>
      <c r="AA54" s="25">
        <f t="shared" si="169"/>
        <v>0.106843184784635</v>
      </c>
      <c r="AB54" s="26">
        <f t="shared" si="169"/>
        <v>0.0880361173814898</v>
      </c>
      <c r="AC54" s="26">
        <f t="shared" si="169"/>
        <v>0.103466572338168</v>
      </c>
      <c r="AD54" s="15"/>
      <c r="AE54" s="15"/>
      <c r="AF54" s="25">
        <f t="shared" ref="AF54:AJ54" si="170">W54</f>
        <v>0.102560215597103</v>
      </c>
      <c r="AG54" s="25">
        <f t="shared" si="170"/>
        <v>0.100855431993157</v>
      </c>
      <c r="AH54" s="25">
        <f t="shared" si="170"/>
        <v>0.104932735426009</v>
      </c>
      <c r="AI54" s="25">
        <f t="shared" si="170"/>
        <v>0.106368460955269</v>
      </c>
      <c r="AJ54" s="25">
        <f t="shared" si="170"/>
        <v>0.106843184784635</v>
      </c>
      <c r="AK54" s="27">
        <f t="shared" si="127"/>
        <v>0.101241534988713</v>
      </c>
      <c r="AL54" s="27">
        <f t="shared" si="128"/>
        <v>0.118986558188893</v>
      </c>
      <c r="AO54" s="25">
        <f t="shared" ref="AO54:AS54" si="171">W54</f>
        <v>0.102560215597103</v>
      </c>
      <c r="AP54" s="25">
        <f t="shared" si="171"/>
        <v>0.100855431993157</v>
      </c>
      <c r="AQ54" s="25">
        <f t="shared" si="171"/>
        <v>0.104932735426009</v>
      </c>
      <c r="AR54" s="25">
        <f t="shared" si="171"/>
        <v>0.106368460955269</v>
      </c>
      <c r="AS54" s="25">
        <f t="shared" si="171"/>
        <v>0.106843184784635</v>
      </c>
      <c r="AT54" s="27">
        <f t="shared" si="130"/>
        <v>0.0748306997742664</v>
      </c>
      <c r="AU54" s="27">
        <f t="shared" si="131"/>
        <v>0.0879465864874425</v>
      </c>
      <c r="AZ54" s="14" t="s">
        <v>11</v>
      </c>
      <c r="BA54" s="22" t="s">
        <v>334</v>
      </c>
      <c r="BB54" s="23">
        <v>691.6</v>
      </c>
      <c r="BC54" s="25">
        <v>608.9</v>
      </c>
      <c r="BD54" s="25">
        <v>589.5</v>
      </c>
      <c r="BE54" s="25">
        <v>585</v>
      </c>
      <c r="BF54" s="25">
        <v>561.2</v>
      </c>
      <c r="BG54" s="25">
        <v>573</v>
      </c>
      <c r="BH54" s="25">
        <v>585</v>
      </c>
      <c r="BI54" s="25">
        <v>585</v>
      </c>
      <c r="BJ54" s="15"/>
      <c r="BK54" s="15"/>
      <c r="BL54" s="28"/>
      <c r="BM54" s="28"/>
      <c r="BN54" s="28"/>
      <c r="BO54" s="28"/>
    </row>
    <row r="55" ht="15.5" spans="1:67">
      <c r="A55" s="14"/>
      <c r="B55" s="22" t="s">
        <v>335</v>
      </c>
      <c r="C55" s="23">
        <f t="shared" ref="C55:J55" si="172">BB55/1000</f>
        <v>0.634</v>
      </c>
      <c r="D55" s="23">
        <f t="shared" si="172"/>
        <v>0.5608</v>
      </c>
      <c r="E55" s="23">
        <f t="shared" si="172"/>
        <v>0.5435</v>
      </c>
      <c r="F55" s="23">
        <f t="shared" si="172"/>
        <v>0.5394</v>
      </c>
      <c r="G55" s="23">
        <f t="shared" si="172"/>
        <v>0.5181</v>
      </c>
      <c r="H55" s="23">
        <f t="shared" si="172"/>
        <v>0.5287</v>
      </c>
      <c r="I55" s="23">
        <f t="shared" si="172"/>
        <v>0.5394</v>
      </c>
      <c r="J55" s="23">
        <f t="shared" si="172"/>
        <v>0.5394</v>
      </c>
      <c r="K55" s="15"/>
      <c r="L55" s="15"/>
      <c r="M55" s="28">
        <v>5.937</v>
      </c>
      <c r="N55" s="28">
        <v>5.845</v>
      </c>
      <c r="O55" s="28">
        <v>5.575</v>
      </c>
      <c r="P55" s="28">
        <v>5.276</v>
      </c>
      <c r="Q55" s="28">
        <v>5.363</v>
      </c>
      <c r="R55" s="28">
        <v>6.645</v>
      </c>
      <c r="S55" s="28">
        <v>5.654</v>
      </c>
      <c r="T55" s="28"/>
      <c r="U55" s="14"/>
      <c r="V55" s="22" t="s">
        <v>335</v>
      </c>
      <c r="W55" s="25">
        <f t="shared" ref="W55:AC55" si="173">D55/M55</f>
        <v>0.0944584807141654</v>
      </c>
      <c r="X55" s="25">
        <f t="shared" si="173"/>
        <v>0.0929854576561163</v>
      </c>
      <c r="Y55" s="25">
        <f t="shared" si="173"/>
        <v>0.0967533632286995</v>
      </c>
      <c r="Z55" s="25">
        <f t="shared" si="173"/>
        <v>0.098199393479909</v>
      </c>
      <c r="AA55" s="25">
        <f t="shared" si="173"/>
        <v>0.0985828827148984</v>
      </c>
      <c r="AB55" s="26">
        <f t="shared" si="173"/>
        <v>0.0811738148984199</v>
      </c>
      <c r="AC55" s="26">
        <f t="shared" si="173"/>
        <v>0.0954014856738592</v>
      </c>
      <c r="AD55" s="15"/>
      <c r="AE55" s="15"/>
      <c r="AF55" s="25">
        <f t="shared" ref="AF55:AJ55" si="174">W55</f>
        <v>0.0944584807141654</v>
      </c>
      <c r="AG55" s="25">
        <f t="shared" si="174"/>
        <v>0.0929854576561163</v>
      </c>
      <c r="AH55" s="25">
        <f t="shared" si="174"/>
        <v>0.0967533632286995</v>
      </c>
      <c r="AI55" s="25">
        <f t="shared" si="174"/>
        <v>0.098199393479909</v>
      </c>
      <c r="AJ55" s="25">
        <f t="shared" si="174"/>
        <v>0.0985828827148984</v>
      </c>
      <c r="AK55" s="27">
        <f t="shared" si="127"/>
        <v>0.0933498871331828</v>
      </c>
      <c r="AL55" s="27">
        <f t="shared" si="128"/>
        <v>0.109711708524938</v>
      </c>
      <c r="AO55" s="25">
        <f t="shared" ref="AO55:AS55" si="175">W55</f>
        <v>0.0944584807141654</v>
      </c>
      <c r="AP55" s="25">
        <f t="shared" si="175"/>
        <v>0.0929854576561163</v>
      </c>
      <c r="AQ55" s="25">
        <f t="shared" si="175"/>
        <v>0.0967533632286995</v>
      </c>
      <c r="AR55" s="25">
        <f t="shared" si="175"/>
        <v>0.098199393479909</v>
      </c>
      <c r="AS55" s="25">
        <f t="shared" si="175"/>
        <v>0.0985828827148984</v>
      </c>
      <c r="AT55" s="27">
        <f t="shared" si="130"/>
        <v>0.0689977426636569</v>
      </c>
      <c r="AU55" s="27">
        <f t="shared" si="131"/>
        <v>0.0810912628227803</v>
      </c>
      <c r="AZ55" s="14"/>
      <c r="BA55" s="22" t="s">
        <v>335</v>
      </c>
      <c r="BB55" s="23">
        <v>634</v>
      </c>
      <c r="BC55" s="25">
        <v>560.8</v>
      </c>
      <c r="BD55" s="25">
        <v>543.5</v>
      </c>
      <c r="BE55" s="25">
        <v>539.4</v>
      </c>
      <c r="BF55" s="25">
        <v>518.1</v>
      </c>
      <c r="BG55" s="25">
        <v>528.7</v>
      </c>
      <c r="BH55" s="25">
        <v>539.4</v>
      </c>
      <c r="BI55" s="25">
        <v>539.4</v>
      </c>
      <c r="BJ55" s="15"/>
      <c r="BK55" s="15"/>
      <c r="BL55" s="28"/>
      <c r="BM55" s="28"/>
      <c r="BN55" s="28"/>
      <c r="BO55" s="28"/>
    </row>
    <row r="56" ht="15.5" spans="1:67">
      <c r="A56" s="14"/>
      <c r="B56" s="22" t="s">
        <v>336</v>
      </c>
      <c r="C56" s="23">
        <f t="shared" ref="C56:J56" si="176">BB56/1000</f>
        <v>0.2256</v>
      </c>
      <c r="D56" s="23">
        <f t="shared" si="176"/>
        <v>0.1898</v>
      </c>
      <c r="E56" s="23">
        <f t="shared" si="176"/>
        <v>0.1816</v>
      </c>
      <c r="F56" s="23">
        <f t="shared" si="176"/>
        <v>0.1797</v>
      </c>
      <c r="G56" s="23">
        <f t="shared" si="176"/>
        <v>0.1697</v>
      </c>
      <c r="H56" s="23">
        <f t="shared" si="176"/>
        <v>0.1747</v>
      </c>
      <c r="I56" s="23">
        <f t="shared" si="176"/>
        <v>0.1797</v>
      </c>
      <c r="J56" s="23">
        <f t="shared" si="176"/>
        <v>0.1797</v>
      </c>
      <c r="K56" s="15"/>
      <c r="L56" s="15"/>
      <c r="M56" s="28">
        <v>5.937</v>
      </c>
      <c r="N56" s="28">
        <v>5.845</v>
      </c>
      <c r="O56" s="28">
        <v>5.575</v>
      </c>
      <c r="P56" s="28">
        <v>5.276</v>
      </c>
      <c r="Q56" s="28">
        <v>5.363</v>
      </c>
      <c r="R56" s="28">
        <v>6.645</v>
      </c>
      <c r="S56" s="28">
        <v>5.654</v>
      </c>
      <c r="T56" s="28"/>
      <c r="U56" s="14"/>
      <c r="V56" s="22" t="s">
        <v>336</v>
      </c>
      <c r="W56" s="25">
        <f t="shared" ref="W56:AC56" si="177">D56/M56</f>
        <v>0.0319690079164561</v>
      </c>
      <c r="X56" s="25">
        <f t="shared" si="177"/>
        <v>0.0310692899914457</v>
      </c>
      <c r="Y56" s="25">
        <f t="shared" si="177"/>
        <v>0.0322331838565022</v>
      </c>
      <c r="Z56" s="25">
        <f t="shared" si="177"/>
        <v>0.0321645185746778</v>
      </c>
      <c r="AA56" s="25">
        <f t="shared" si="177"/>
        <v>0.0325750512772702</v>
      </c>
      <c r="AB56" s="26">
        <f t="shared" si="177"/>
        <v>0.0270428893905192</v>
      </c>
      <c r="AC56" s="26">
        <f t="shared" si="177"/>
        <v>0.0317828086310577</v>
      </c>
      <c r="AD56" s="15"/>
      <c r="AE56" s="15"/>
      <c r="AF56" s="25">
        <f t="shared" ref="AF56:AJ56" si="178">W56</f>
        <v>0.0319690079164561</v>
      </c>
      <c r="AG56" s="25">
        <f t="shared" si="178"/>
        <v>0.0310692899914457</v>
      </c>
      <c r="AH56" s="25">
        <f t="shared" si="178"/>
        <v>0.0322331838565022</v>
      </c>
      <c r="AI56" s="25">
        <f t="shared" si="178"/>
        <v>0.0321645185746778</v>
      </c>
      <c r="AJ56" s="25">
        <f t="shared" si="178"/>
        <v>0.0325750512772702</v>
      </c>
      <c r="AK56" s="27">
        <f t="shared" si="127"/>
        <v>0.0310993227990971</v>
      </c>
      <c r="AL56" s="27">
        <f t="shared" si="128"/>
        <v>0.0365502299257163</v>
      </c>
      <c r="AO56" s="25">
        <f t="shared" ref="AO56:AS56" si="179">W56</f>
        <v>0.0319690079164561</v>
      </c>
      <c r="AP56" s="25">
        <f t="shared" si="179"/>
        <v>0.0310692899914457</v>
      </c>
      <c r="AQ56" s="25">
        <f t="shared" si="179"/>
        <v>0.0322331838565022</v>
      </c>
      <c r="AR56" s="25">
        <f t="shared" si="179"/>
        <v>0.0321645185746778</v>
      </c>
      <c r="AS56" s="25">
        <f t="shared" si="179"/>
        <v>0.0325750512772702</v>
      </c>
      <c r="AT56" s="27">
        <f t="shared" si="130"/>
        <v>0.0229864559819413</v>
      </c>
      <c r="AU56" s="27">
        <f t="shared" si="131"/>
        <v>0.027015387336399</v>
      </c>
      <c r="AZ56" s="14"/>
      <c r="BA56" s="22" t="s">
        <v>336</v>
      </c>
      <c r="BB56" s="23">
        <v>225.6</v>
      </c>
      <c r="BC56" s="25">
        <v>189.8</v>
      </c>
      <c r="BD56" s="25">
        <v>181.6</v>
      </c>
      <c r="BE56" s="25">
        <v>179.7</v>
      </c>
      <c r="BF56" s="25">
        <v>169.7</v>
      </c>
      <c r="BG56" s="25">
        <v>174.7</v>
      </c>
      <c r="BH56" s="25">
        <v>179.7</v>
      </c>
      <c r="BI56" s="25">
        <v>179.7</v>
      </c>
      <c r="BJ56" s="15"/>
      <c r="BK56" s="15"/>
      <c r="BL56" s="28"/>
      <c r="BM56" s="28"/>
      <c r="BN56" s="28"/>
      <c r="BO56" s="28"/>
    </row>
    <row r="57" ht="15.5" spans="1:67">
      <c r="A57" s="14"/>
      <c r="B57" s="22" t="s">
        <v>337</v>
      </c>
      <c r="C57" s="23">
        <f t="shared" ref="C57:J57" si="180">BB57/1000</f>
        <v>0.3671</v>
      </c>
      <c r="D57" s="23">
        <f t="shared" si="180"/>
        <v>0.3308</v>
      </c>
      <c r="E57" s="23">
        <f t="shared" si="180"/>
        <v>0.3224</v>
      </c>
      <c r="F57" s="23">
        <f t="shared" si="180"/>
        <v>0.3205</v>
      </c>
      <c r="G57" s="23">
        <f t="shared" si="180"/>
        <v>0.3101</v>
      </c>
      <c r="H57" s="23">
        <f t="shared" si="180"/>
        <v>0.3151</v>
      </c>
      <c r="I57" s="23">
        <f t="shared" si="180"/>
        <v>0.3205</v>
      </c>
      <c r="J57" s="23">
        <f t="shared" si="180"/>
        <v>0.3205</v>
      </c>
      <c r="K57" s="15"/>
      <c r="L57" s="15"/>
      <c r="M57" s="28">
        <v>5.937</v>
      </c>
      <c r="N57" s="28">
        <v>5.845</v>
      </c>
      <c r="O57" s="28">
        <v>5.575</v>
      </c>
      <c r="P57" s="28">
        <v>5.276</v>
      </c>
      <c r="Q57" s="28">
        <v>5.363</v>
      </c>
      <c r="R57" s="28">
        <v>6.645</v>
      </c>
      <c r="S57" s="28">
        <v>5.654</v>
      </c>
      <c r="T57" s="28"/>
      <c r="U57" s="14"/>
      <c r="V57" s="22" t="s">
        <v>337</v>
      </c>
      <c r="W57" s="25">
        <f t="shared" ref="W57:AC57" si="181">D57/M57</f>
        <v>0.0557183762843187</v>
      </c>
      <c r="X57" s="25">
        <f t="shared" si="181"/>
        <v>0.055158254918734</v>
      </c>
      <c r="Y57" s="25">
        <f t="shared" si="181"/>
        <v>0.0574887892376682</v>
      </c>
      <c r="Z57" s="25">
        <f t="shared" si="181"/>
        <v>0.0587755875663381</v>
      </c>
      <c r="AA57" s="25">
        <f t="shared" si="181"/>
        <v>0.0587544284915159</v>
      </c>
      <c r="AB57" s="26">
        <f t="shared" si="181"/>
        <v>0.0482317531978932</v>
      </c>
      <c r="AC57" s="26">
        <f t="shared" si="181"/>
        <v>0.0566855323664662</v>
      </c>
      <c r="AD57" s="15"/>
      <c r="AE57" s="15"/>
      <c r="AF57" s="25">
        <f t="shared" ref="AF57:AJ57" si="182">W57</f>
        <v>0.0557183762843187</v>
      </c>
      <c r="AG57" s="25">
        <f t="shared" si="182"/>
        <v>0.055158254918734</v>
      </c>
      <c r="AH57" s="25">
        <f t="shared" si="182"/>
        <v>0.0574887892376682</v>
      </c>
      <c r="AI57" s="25">
        <f t="shared" si="182"/>
        <v>0.0587755875663381</v>
      </c>
      <c r="AJ57" s="25">
        <f t="shared" si="182"/>
        <v>0.0587544284915159</v>
      </c>
      <c r="AK57" s="27">
        <f t="shared" si="127"/>
        <v>0.0554665161775771</v>
      </c>
      <c r="AL57" s="27">
        <f t="shared" si="128"/>
        <v>0.0651883622214361</v>
      </c>
      <c r="AO57" s="25">
        <f t="shared" ref="AO57:AS57" si="183">W57</f>
        <v>0.0557183762843187</v>
      </c>
      <c r="AP57" s="25">
        <f t="shared" si="183"/>
        <v>0.055158254918734</v>
      </c>
      <c r="AQ57" s="25">
        <f t="shared" si="183"/>
        <v>0.0574887892376682</v>
      </c>
      <c r="AR57" s="25">
        <f t="shared" si="183"/>
        <v>0.0587755875663381</v>
      </c>
      <c r="AS57" s="25">
        <f t="shared" si="183"/>
        <v>0.0587544284915159</v>
      </c>
      <c r="AT57" s="27">
        <f t="shared" si="130"/>
        <v>0.0409969902182092</v>
      </c>
      <c r="AU57" s="27">
        <f t="shared" si="131"/>
        <v>0.0481827025114963</v>
      </c>
      <c r="AZ57" s="14"/>
      <c r="BA57" s="22" t="s">
        <v>337</v>
      </c>
      <c r="BB57" s="23">
        <v>367.1</v>
      </c>
      <c r="BC57" s="25">
        <v>330.8</v>
      </c>
      <c r="BD57" s="25">
        <v>322.4</v>
      </c>
      <c r="BE57" s="25">
        <v>320.5</v>
      </c>
      <c r="BF57" s="25">
        <v>310.1</v>
      </c>
      <c r="BG57" s="25">
        <v>315.1</v>
      </c>
      <c r="BH57" s="25">
        <v>320.5</v>
      </c>
      <c r="BI57" s="25">
        <v>320.5</v>
      </c>
      <c r="BJ57" s="15"/>
      <c r="BK57" s="15"/>
      <c r="BL57" s="28"/>
      <c r="BM57" s="28"/>
      <c r="BN57" s="28"/>
      <c r="BO57" s="28"/>
    </row>
    <row r="58" ht="15.5" spans="1:67">
      <c r="A58" s="14"/>
      <c r="B58" s="22" t="s">
        <v>338</v>
      </c>
      <c r="C58" s="23">
        <f t="shared" ref="C58:J58" si="184">BB58/1000</f>
        <v>0.0853</v>
      </c>
      <c r="D58" s="23">
        <f t="shared" si="184"/>
        <v>0.0775</v>
      </c>
      <c r="E58" s="23">
        <f t="shared" si="184"/>
        <v>0.0755</v>
      </c>
      <c r="F58" s="23">
        <f t="shared" si="184"/>
        <v>0.075</v>
      </c>
      <c r="G58" s="23">
        <f t="shared" si="184"/>
        <v>0.0722</v>
      </c>
      <c r="H58" s="23">
        <f t="shared" si="184"/>
        <v>0.0736</v>
      </c>
      <c r="I58" s="23">
        <f t="shared" si="184"/>
        <v>0.075</v>
      </c>
      <c r="J58" s="23">
        <f t="shared" si="184"/>
        <v>0.075</v>
      </c>
      <c r="K58" s="15"/>
      <c r="L58" s="15"/>
      <c r="M58" s="28">
        <v>5.937</v>
      </c>
      <c r="N58" s="28">
        <v>5.845</v>
      </c>
      <c r="O58" s="28">
        <v>5.575</v>
      </c>
      <c r="P58" s="28">
        <v>5.276</v>
      </c>
      <c r="Q58" s="28">
        <v>5.363</v>
      </c>
      <c r="R58" s="28">
        <v>6.645</v>
      </c>
      <c r="S58" s="28">
        <v>5.654</v>
      </c>
      <c r="T58" s="28"/>
      <c r="U58" s="14"/>
      <c r="V58" s="22" t="s">
        <v>338</v>
      </c>
      <c r="W58" s="25">
        <f t="shared" ref="W58:AC58" si="185">D58/M58</f>
        <v>0.0130537308404918</v>
      </c>
      <c r="X58" s="25">
        <f t="shared" si="185"/>
        <v>0.0129170230966638</v>
      </c>
      <c r="Y58" s="25">
        <f t="shared" si="185"/>
        <v>0.0134529147982063</v>
      </c>
      <c r="Z58" s="25">
        <f t="shared" si="185"/>
        <v>0.0136846095526914</v>
      </c>
      <c r="AA58" s="25">
        <f t="shared" si="185"/>
        <v>0.0137236621294052</v>
      </c>
      <c r="AB58" s="26">
        <f t="shared" si="185"/>
        <v>0.0112866817155756</v>
      </c>
      <c r="AC58" s="26">
        <f t="shared" si="185"/>
        <v>0.01326494517156</v>
      </c>
      <c r="AD58" s="15"/>
      <c r="AE58" s="15"/>
      <c r="AF58" s="25">
        <f t="shared" ref="AF58:AJ58" si="186">W58</f>
        <v>0.0130537308404918</v>
      </c>
      <c r="AG58" s="25">
        <f t="shared" si="186"/>
        <v>0.0129170230966638</v>
      </c>
      <c r="AH58" s="25">
        <f t="shared" si="186"/>
        <v>0.0134529147982063</v>
      </c>
      <c r="AI58" s="25">
        <f t="shared" si="186"/>
        <v>0.0136846095526914</v>
      </c>
      <c r="AJ58" s="25">
        <f t="shared" si="186"/>
        <v>0.0137236621294052</v>
      </c>
      <c r="AK58" s="27">
        <f t="shared" si="127"/>
        <v>0.012979683972912</v>
      </c>
      <c r="AL58" s="27">
        <f t="shared" si="128"/>
        <v>0.0152546869472939</v>
      </c>
      <c r="AO58" s="25">
        <f t="shared" ref="AO58:AS58" si="187">W58</f>
        <v>0.0130537308404918</v>
      </c>
      <c r="AP58" s="25">
        <f t="shared" si="187"/>
        <v>0.0129170230966638</v>
      </c>
      <c r="AQ58" s="25">
        <f t="shared" si="187"/>
        <v>0.0134529147982063</v>
      </c>
      <c r="AR58" s="25">
        <f t="shared" si="187"/>
        <v>0.0136846095526914</v>
      </c>
      <c r="AS58" s="25">
        <f t="shared" si="187"/>
        <v>0.0137236621294052</v>
      </c>
      <c r="AT58" s="27">
        <f t="shared" si="130"/>
        <v>0.00959367945823928</v>
      </c>
      <c r="AU58" s="27">
        <f t="shared" si="131"/>
        <v>0.011275203395826</v>
      </c>
      <c r="AZ58" s="14"/>
      <c r="BA58" s="22" t="s">
        <v>338</v>
      </c>
      <c r="BB58" s="23">
        <v>85.3</v>
      </c>
      <c r="BC58" s="25">
        <v>77.5</v>
      </c>
      <c r="BD58" s="25">
        <v>75.5</v>
      </c>
      <c r="BE58" s="25">
        <v>75</v>
      </c>
      <c r="BF58" s="25">
        <v>72.2</v>
      </c>
      <c r="BG58" s="25">
        <v>73.6</v>
      </c>
      <c r="BH58" s="25">
        <v>75</v>
      </c>
      <c r="BI58" s="25">
        <v>75</v>
      </c>
      <c r="BJ58" s="15"/>
      <c r="BK58" s="15"/>
      <c r="BL58" s="28"/>
      <c r="BM58" s="28"/>
      <c r="BN58" s="28"/>
      <c r="BO58" s="28"/>
    </row>
    <row r="59" ht="15.5" spans="1:67">
      <c r="A59" s="15"/>
      <c r="B59" s="15"/>
      <c r="C59" s="18"/>
      <c r="D59" s="15"/>
      <c r="E59" s="15"/>
      <c r="F59" s="15"/>
      <c r="G59" s="15"/>
      <c r="H59" s="15"/>
      <c r="I59" s="15"/>
      <c r="J59" s="15"/>
      <c r="K59" s="15"/>
      <c r="L59" s="15"/>
      <c r="M59" s="15"/>
      <c r="N59" s="15"/>
      <c r="O59" s="15"/>
      <c r="P59" s="15"/>
      <c r="Q59" s="15"/>
      <c r="R59" s="15"/>
      <c r="S59" s="15"/>
      <c r="T59" s="15"/>
      <c r="AZ59" s="15"/>
      <c r="BA59" s="15"/>
      <c r="BB59" s="18"/>
      <c r="BC59" s="15"/>
      <c r="BD59" s="15"/>
      <c r="BE59" s="15"/>
      <c r="BF59" s="15"/>
      <c r="BG59" s="15"/>
      <c r="BH59" s="15"/>
      <c r="BI59" s="15"/>
      <c r="BJ59" s="15"/>
      <c r="BK59" s="15"/>
      <c r="BL59" s="15"/>
      <c r="BM59" s="15"/>
      <c r="BN59" s="15"/>
      <c r="BO59" s="15"/>
    </row>
    <row r="60" ht="15.5" spans="1:67">
      <c r="A60" s="15" t="s">
        <v>340</v>
      </c>
      <c r="B60" s="15"/>
      <c r="C60" s="18"/>
      <c r="D60" s="15"/>
      <c r="E60" s="15"/>
      <c r="F60" s="15"/>
      <c r="G60" s="15"/>
      <c r="H60" s="15"/>
      <c r="I60" s="15"/>
      <c r="J60" s="15"/>
      <c r="K60" s="15"/>
      <c r="L60" s="15"/>
      <c r="M60" s="15"/>
      <c r="N60" s="15"/>
      <c r="O60" s="15"/>
      <c r="P60" s="15"/>
      <c r="Q60" s="15"/>
      <c r="R60" s="15"/>
      <c r="S60" s="15"/>
      <c r="T60" s="15"/>
      <c r="AZ60" s="15" t="s">
        <v>340</v>
      </c>
      <c r="BA60" s="15"/>
      <c r="BB60" s="18"/>
      <c r="BC60" s="15"/>
      <c r="BD60" s="15"/>
      <c r="BE60" s="15"/>
      <c r="BF60" s="15"/>
      <c r="BG60" s="15"/>
      <c r="BH60" s="15"/>
      <c r="BI60" s="15"/>
      <c r="BJ60" s="15"/>
      <c r="BK60" s="15"/>
      <c r="BL60" s="15"/>
      <c r="BM60" s="15"/>
      <c r="BN60" s="15"/>
      <c r="BO60" s="15"/>
    </row>
    <row r="61" ht="15.5" spans="1:67">
      <c r="A61" s="15" t="s">
        <v>355</v>
      </c>
      <c r="B61" s="15"/>
      <c r="C61" s="18"/>
      <c r="D61" s="15"/>
      <c r="E61" s="15"/>
      <c r="F61" s="15"/>
      <c r="G61" s="15"/>
      <c r="H61" s="15"/>
      <c r="I61" s="15"/>
      <c r="J61" s="15"/>
      <c r="K61" s="15"/>
      <c r="L61" s="15"/>
      <c r="M61" s="15"/>
      <c r="N61" s="15"/>
      <c r="O61" s="15"/>
      <c r="P61" s="15"/>
      <c r="Q61" s="15"/>
      <c r="R61" s="15"/>
      <c r="S61" s="15"/>
      <c r="T61" s="15"/>
      <c r="AZ61" s="15" t="s">
        <v>355</v>
      </c>
      <c r="BA61" s="15"/>
      <c r="BB61" s="18"/>
      <c r="BC61" s="15"/>
      <c r="BD61" s="15"/>
      <c r="BE61" s="15"/>
      <c r="BF61" s="15"/>
      <c r="BG61" s="15"/>
      <c r="BH61" s="15"/>
      <c r="BI61" s="15"/>
      <c r="BJ61" s="15"/>
      <c r="BK61" s="15"/>
      <c r="BL61" s="15"/>
      <c r="BM61" s="15"/>
      <c r="BN61" s="15"/>
      <c r="BO61" s="15"/>
    </row>
    <row r="62" ht="15.5" spans="1:67">
      <c r="A62" s="15" t="s">
        <v>356</v>
      </c>
      <c r="B62" s="15"/>
      <c r="C62" s="18"/>
      <c r="D62" s="15"/>
      <c r="E62" s="15"/>
      <c r="F62" s="15"/>
      <c r="G62" s="15"/>
      <c r="H62" s="15"/>
      <c r="I62" s="15"/>
      <c r="J62" s="15"/>
      <c r="K62" s="15"/>
      <c r="L62" s="15"/>
      <c r="M62" s="15"/>
      <c r="N62" s="15"/>
      <c r="O62" s="15"/>
      <c r="P62" s="15"/>
      <c r="Q62" s="15"/>
      <c r="R62" s="15"/>
      <c r="S62" s="15"/>
      <c r="T62" s="15"/>
      <c r="AZ62" s="15" t="s">
        <v>356</v>
      </c>
      <c r="BA62" s="15"/>
      <c r="BB62" s="18"/>
      <c r="BC62" s="15"/>
      <c r="BD62" s="15"/>
      <c r="BE62" s="15"/>
      <c r="BF62" s="15"/>
      <c r="BG62" s="15"/>
      <c r="BH62" s="15"/>
      <c r="BI62" s="15"/>
      <c r="BJ62" s="15"/>
      <c r="BK62" s="15"/>
      <c r="BL62" s="15"/>
      <c r="BM62" s="15"/>
      <c r="BN62" s="15"/>
      <c r="BO62" s="15"/>
    </row>
    <row r="71" ht="15.5" spans="21:47">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row>
    <row r="72" ht="15.5" spans="21:47">
      <c r="U72" s="15"/>
      <c r="V72" s="15"/>
      <c r="W72" s="15" t="s">
        <v>326</v>
      </c>
      <c r="X72" s="15" t="s">
        <v>327</v>
      </c>
      <c r="Y72" s="19" t="s">
        <v>328</v>
      </c>
      <c r="Z72" s="15" t="s">
        <v>329</v>
      </c>
      <c r="AA72" s="15" t="s">
        <v>330</v>
      </c>
      <c r="AB72" s="21" t="s">
        <v>331</v>
      </c>
      <c r="AC72" s="21" t="s">
        <v>332</v>
      </c>
      <c r="AD72" s="15"/>
      <c r="AE72" s="15"/>
      <c r="AF72" s="15" t="s">
        <v>326</v>
      </c>
      <c r="AG72" s="15" t="s">
        <v>327</v>
      </c>
      <c r="AH72" s="19" t="s">
        <v>328</v>
      </c>
      <c r="AI72" s="15" t="s">
        <v>329</v>
      </c>
      <c r="AJ72" s="15" t="s">
        <v>330</v>
      </c>
      <c r="AK72" s="21" t="s">
        <v>331</v>
      </c>
      <c r="AL72" s="21" t="s">
        <v>332</v>
      </c>
      <c r="AM72" s="15"/>
      <c r="AN72" s="15"/>
      <c r="AO72" s="15" t="s">
        <v>326</v>
      </c>
      <c r="AP72" s="15" t="s">
        <v>327</v>
      </c>
      <c r="AQ72" s="19" t="s">
        <v>328</v>
      </c>
      <c r="AR72" s="15" t="s">
        <v>329</v>
      </c>
      <c r="AS72" s="15" t="s">
        <v>330</v>
      </c>
      <c r="AT72" s="21" t="s">
        <v>331</v>
      </c>
      <c r="AU72" s="21" t="s">
        <v>332</v>
      </c>
    </row>
    <row r="73" spans="21:47">
      <c r="U73" s="14" t="s">
        <v>333</v>
      </c>
      <c r="V73" s="29" t="s">
        <v>121</v>
      </c>
      <c r="W73" s="12">
        <f t="shared" ref="W73:AC73" si="188">W4-W5</f>
        <v>0.0105103587670541</v>
      </c>
      <c r="X73" s="12">
        <f t="shared" si="188"/>
        <v>0.0100940975192472</v>
      </c>
      <c r="Y73" s="12">
        <f t="shared" si="188"/>
        <v>0.0103856502242152</v>
      </c>
      <c r="Z73" s="12">
        <f t="shared" si="188"/>
        <v>0.0114291129643669</v>
      </c>
      <c r="AA73" s="12">
        <f t="shared" si="188"/>
        <v>0.0115979862017528</v>
      </c>
      <c r="AB73" s="12">
        <f t="shared" si="188"/>
        <v>0.00871331828442437</v>
      </c>
      <c r="AC73" s="12">
        <f t="shared" si="188"/>
        <v>0.0102405376724443</v>
      </c>
      <c r="AF73" s="12">
        <f t="shared" ref="AF73:AL73" si="189">AF4-AF5</f>
        <v>0.0105103587670541</v>
      </c>
      <c r="AG73" s="12">
        <f t="shared" si="189"/>
        <v>0.0100940975192472</v>
      </c>
      <c r="AH73" s="12">
        <f t="shared" si="189"/>
        <v>0.0103856502242152</v>
      </c>
      <c r="AI73" s="12">
        <f t="shared" si="189"/>
        <v>0.0114291129643669</v>
      </c>
      <c r="AJ73" s="12">
        <f t="shared" si="189"/>
        <v>0.0115979862017528</v>
      </c>
      <c r="AK73" s="12">
        <f t="shared" si="189"/>
        <v>0.010020316027088</v>
      </c>
      <c r="AL73" s="12">
        <f t="shared" si="189"/>
        <v>0.0117766183233109</v>
      </c>
      <c r="AO73" s="12">
        <f t="shared" ref="AO73:AU73" si="190">AO4-AO5</f>
        <v>0.0105103587670541</v>
      </c>
      <c r="AP73" s="12">
        <f t="shared" si="190"/>
        <v>0.0100940975192472</v>
      </c>
      <c r="AQ73" s="12">
        <f t="shared" si="190"/>
        <v>0.0103856502242152</v>
      </c>
      <c r="AR73" s="12">
        <f t="shared" si="190"/>
        <v>0.0114291129643669</v>
      </c>
      <c r="AS73" s="12">
        <f t="shared" si="190"/>
        <v>0.0115979862017528</v>
      </c>
      <c r="AT73" s="12">
        <f t="shared" si="190"/>
        <v>0.00740632054176073</v>
      </c>
      <c r="AU73" s="12">
        <f t="shared" si="190"/>
        <v>0.00870445702157763</v>
      </c>
    </row>
    <row r="74" spans="21:47">
      <c r="U74" s="14"/>
      <c r="V74" s="30" t="s">
        <v>357</v>
      </c>
      <c r="W74" s="12">
        <f t="shared" ref="W74:AC74" si="191">W6</f>
        <v>0.0289203301330638</v>
      </c>
      <c r="X74" s="12">
        <f t="shared" si="191"/>
        <v>0.0275620188195039</v>
      </c>
      <c r="Y74" s="12">
        <f t="shared" si="191"/>
        <v>0.028322869955157</v>
      </c>
      <c r="Z74" s="12">
        <f t="shared" si="191"/>
        <v>0.0288286580742987</v>
      </c>
      <c r="AA74" s="12">
        <f t="shared" si="191"/>
        <v>0.0296102927465971</v>
      </c>
      <c r="AB74" s="12">
        <f t="shared" si="191"/>
        <v>0.0237622272385252</v>
      </c>
      <c r="AC74" s="12">
        <f t="shared" si="191"/>
        <v>0.0279271312345242</v>
      </c>
      <c r="AF74" s="12">
        <f t="shared" ref="AF74:AL74" si="192">AF6</f>
        <v>0.0289203301330638</v>
      </c>
      <c r="AG74" s="12">
        <f t="shared" si="192"/>
        <v>0.0275620188195039</v>
      </c>
      <c r="AH74" s="12">
        <f t="shared" si="192"/>
        <v>0.028322869955157</v>
      </c>
      <c r="AI74" s="12">
        <f t="shared" si="192"/>
        <v>0.0288286580742987</v>
      </c>
      <c r="AJ74" s="12">
        <f t="shared" si="192"/>
        <v>0.0296102927465971</v>
      </c>
      <c r="AK74" s="12">
        <f t="shared" si="192"/>
        <v>0.027326561324304</v>
      </c>
      <c r="AL74" s="12">
        <f t="shared" si="192"/>
        <v>0.0321162009197029</v>
      </c>
      <c r="AO74" s="12">
        <f t="shared" ref="AO74:AU74" si="193">AO6</f>
        <v>0.0289203301330638</v>
      </c>
      <c r="AP74" s="12">
        <f t="shared" si="193"/>
        <v>0.0275620188195039</v>
      </c>
      <c r="AQ74" s="12">
        <f t="shared" si="193"/>
        <v>0.028322869955157</v>
      </c>
      <c r="AR74" s="12">
        <f t="shared" si="193"/>
        <v>0.0288286580742987</v>
      </c>
      <c r="AS74" s="12">
        <f t="shared" si="193"/>
        <v>0.0296102927465971</v>
      </c>
      <c r="AT74" s="12">
        <f t="shared" si="193"/>
        <v>0.0201978931527464</v>
      </c>
      <c r="AU74" s="12">
        <f t="shared" si="193"/>
        <v>0.0237380615493456</v>
      </c>
    </row>
    <row r="75" spans="21:47">
      <c r="U75" s="14"/>
      <c r="V75" s="29" t="s">
        <v>358</v>
      </c>
      <c r="W75" s="12">
        <f t="shared" ref="W75:AC75" si="194">W7</f>
        <v>0.0836617820448038</v>
      </c>
      <c r="X75" s="12">
        <f t="shared" si="194"/>
        <v>0.0814029084687767</v>
      </c>
      <c r="Y75" s="12">
        <f t="shared" si="194"/>
        <v>0.0843946188340807</v>
      </c>
      <c r="Z75" s="12">
        <f t="shared" si="194"/>
        <v>0.0884192570128886</v>
      </c>
      <c r="AA75" s="12">
        <f t="shared" si="194"/>
        <v>0.092485549132948</v>
      </c>
      <c r="AB75" s="12">
        <f t="shared" si="194"/>
        <v>0.0708051166290444</v>
      </c>
      <c r="AC75" s="12">
        <f t="shared" si="194"/>
        <v>0.0832154227095861</v>
      </c>
      <c r="AF75" s="12">
        <f t="shared" ref="AF75:AL75" si="195">AF7</f>
        <v>0.0836617820448038</v>
      </c>
      <c r="AG75" s="12">
        <f t="shared" si="195"/>
        <v>0.0814029084687767</v>
      </c>
      <c r="AH75" s="12">
        <f t="shared" si="195"/>
        <v>0.0843946188340807</v>
      </c>
      <c r="AI75" s="12">
        <f t="shared" si="195"/>
        <v>0.0884192570128886</v>
      </c>
      <c r="AJ75" s="12">
        <f t="shared" si="195"/>
        <v>0.092485549132948</v>
      </c>
      <c r="AK75" s="12">
        <f t="shared" si="195"/>
        <v>0.0814258841234011</v>
      </c>
      <c r="AL75" s="12">
        <f t="shared" si="195"/>
        <v>0.0956977361160241</v>
      </c>
      <c r="AO75" s="12">
        <f t="shared" ref="AO75:AU75" si="196">AO7</f>
        <v>0.0836617820448038</v>
      </c>
      <c r="AP75" s="12">
        <f t="shared" si="196"/>
        <v>0.0814029084687767</v>
      </c>
      <c r="AQ75" s="12">
        <f t="shared" si="196"/>
        <v>0.0843946188340807</v>
      </c>
      <c r="AR75" s="12">
        <f t="shared" si="196"/>
        <v>0.0884192570128886</v>
      </c>
      <c r="AS75" s="12">
        <f t="shared" si="196"/>
        <v>0.092485549132948</v>
      </c>
      <c r="AT75" s="12">
        <f t="shared" si="196"/>
        <v>0.0601843491346877</v>
      </c>
      <c r="AU75" s="12">
        <f t="shared" si="196"/>
        <v>0.0707331093031482</v>
      </c>
    </row>
    <row r="76" spans="21:47">
      <c r="U76" s="14"/>
      <c r="V76" s="29" t="s">
        <v>359</v>
      </c>
      <c r="W76" s="12">
        <f t="shared" ref="W76:AC76" si="197">W8</f>
        <v>0.0130200437931615</v>
      </c>
      <c r="X76" s="12">
        <f t="shared" si="197"/>
        <v>0.0127459366980325</v>
      </c>
      <c r="Y76" s="12">
        <f t="shared" si="197"/>
        <v>0.0132017937219731</v>
      </c>
      <c r="Z76" s="12">
        <f t="shared" si="197"/>
        <v>0.0144238059135709</v>
      </c>
      <c r="AA76" s="12">
        <f t="shared" si="197"/>
        <v>0.0147119149729629</v>
      </c>
      <c r="AB76" s="12">
        <f t="shared" si="197"/>
        <v>0.0110759969902182</v>
      </c>
      <c r="AC76" s="12">
        <f t="shared" si="197"/>
        <v>0.0130173328616908</v>
      </c>
      <c r="AF76" s="12">
        <f t="shared" ref="AF76:AL76" si="198">AF8</f>
        <v>0.0130200437931615</v>
      </c>
      <c r="AG76" s="12">
        <f t="shared" si="198"/>
        <v>0.0127459366980325</v>
      </c>
      <c r="AH76" s="12">
        <f t="shared" si="198"/>
        <v>0.0132017937219731</v>
      </c>
      <c r="AI76" s="12">
        <f t="shared" si="198"/>
        <v>0.0144238059135709</v>
      </c>
      <c r="AJ76" s="12">
        <f t="shared" si="198"/>
        <v>0.0147119149729629</v>
      </c>
      <c r="AK76" s="12">
        <f t="shared" si="198"/>
        <v>0.0127373965387509</v>
      </c>
      <c r="AL76" s="12">
        <f t="shared" si="198"/>
        <v>0.0149699327909445</v>
      </c>
      <c r="AO76" s="12">
        <f t="shared" ref="AO76:AU76" si="199">AO8</f>
        <v>0.0130200437931615</v>
      </c>
      <c r="AP76" s="12">
        <f t="shared" si="199"/>
        <v>0.0127459366980325</v>
      </c>
      <c r="AQ76" s="12">
        <f t="shared" si="199"/>
        <v>0.0132017937219731</v>
      </c>
      <c r="AR76" s="12">
        <f t="shared" si="199"/>
        <v>0.0144238059135709</v>
      </c>
      <c r="AS76" s="12">
        <f t="shared" si="199"/>
        <v>0.0147119149729629</v>
      </c>
      <c r="AT76" s="12">
        <f t="shared" si="199"/>
        <v>0.00941459744168548</v>
      </c>
      <c r="AU76" s="12">
        <f t="shared" si="199"/>
        <v>0.0110647329324372</v>
      </c>
    </row>
    <row r="77" spans="21:47">
      <c r="U77" s="14" t="s">
        <v>339</v>
      </c>
      <c r="V77" s="29" t="s">
        <v>121</v>
      </c>
      <c r="W77" s="12">
        <f t="shared" ref="W77:AC77" si="200">W9-W10</f>
        <v>0.0103587670540677</v>
      </c>
      <c r="X77" s="12">
        <f t="shared" si="200"/>
        <v>0.00995722840034217</v>
      </c>
      <c r="Y77" s="12">
        <f t="shared" si="200"/>
        <v>0.0102421524663677</v>
      </c>
      <c r="Z77" s="12">
        <f t="shared" si="200"/>
        <v>0.0112774829416224</v>
      </c>
      <c r="AA77" s="12">
        <f t="shared" si="200"/>
        <v>0.0114301696811486</v>
      </c>
      <c r="AB77" s="12">
        <f t="shared" si="200"/>
        <v>0.00859292701279159</v>
      </c>
      <c r="AC77" s="12">
        <f t="shared" si="200"/>
        <v>0.0100990449239476</v>
      </c>
      <c r="AF77" s="12">
        <f t="shared" ref="AF77:AL77" si="201">AF9-AF10</f>
        <v>0.0103587670540677</v>
      </c>
      <c r="AG77" s="12">
        <f t="shared" si="201"/>
        <v>0.00995722840034217</v>
      </c>
      <c r="AH77" s="12">
        <f t="shared" si="201"/>
        <v>0.0102421524663677</v>
      </c>
      <c r="AI77" s="12">
        <f t="shared" si="201"/>
        <v>0.0112774829416224</v>
      </c>
      <c r="AJ77" s="12">
        <f t="shared" si="201"/>
        <v>0.0114301696811486</v>
      </c>
      <c r="AK77" s="12">
        <f t="shared" si="201"/>
        <v>0.00988186606471032</v>
      </c>
      <c r="AL77" s="12">
        <f t="shared" si="201"/>
        <v>0.0116139016625398</v>
      </c>
      <c r="AO77" s="12">
        <f t="shared" ref="AO77:AU77" si="202">AO9-AO10</f>
        <v>0.0103587670540677</v>
      </c>
      <c r="AP77" s="12">
        <f t="shared" si="202"/>
        <v>0.00995722840034217</v>
      </c>
      <c r="AQ77" s="12">
        <f t="shared" si="202"/>
        <v>0.0102421524663677</v>
      </c>
      <c r="AR77" s="12">
        <f t="shared" si="202"/>
        <v>0.0112774829416224</v>
      </c>
      <c r="AS77" s="12">
        <f t="shared" si="202"/>
        <v>0.0114301696811486</v>
      </c>
      <c r="AT77" s="12">
        <f t="shared" si="202"/>
        <v>0.00730398796087285</v>
      </c>
      <c r="AU77" s="12">
        <f t="shared" si="202"/>
        <v>0.00858418818535549</v>
      </c>
    </row>
    <row r="78" spans="21:47">
      <c r="U78" s="14"/>
      <c r="V78" s="30" t="s">
        <v>357</v>
      </c>
      <c r="W78" s="12">
        <f t="shared" ref="W78:AC78" si="203">W11</f>
        <v>0.0349503116051878</v>
      </c>
      <c r="X78" s="12">
        <f t="shared" si="203"/>
        <v>0.0333789563729684</v>
      </c>
      <c r="Y78" s="12">
        <f t="shared" si="203"/>
        <v>0.0343677130044843</v>
      </c>
      <c r="Z78" s="12">
        <f t="shared" si="203"/>
        <v>0.035253980288097</v>
      </c>
      <c r="AA78" s="12">
        <f t="shared" si="203"/>
        <v>0.0361364907700914</v>
      </c>
      <c r="AB78" s="12">
        <f t="shared" si="203"/>
        <v>0.0288337095560572</v>
      </c>
      <c r="AC78" s="12">
        <f t="shared" si="203"/>
        <v>0.0338875132649452</v>
      </c>
      <c r="AF78" s="12">
        <f t="shared" ref="AF78:AL78" si="204">AF11</f>
        <v>0.0349503116051878</v>
      </c>
      <c r="AG78" s="12">
        <f t="shared" si="204"/>
        <v>0.0333789563729684</v>
      </c>
      <c r="AH78" s="12">
        <f t="shared" si="204"/>
        <v>0.0343677130044843</v>
      </c>
      <c r="AI78" s="12">
        <f t="shared" si="204"/>
        <v>0.035253980288097</v>
      </c>
      <c r="AJ78" s="12">
        <f t="shared" si="204"/>
        <v>0.0361364907700914</v>
      </c>
      <c r="AK78" s="12">
        <f t="shared" si="204"/>
        <v>0.0331587659894658</v>
      </c>
      <c r="AL78" s="12">
        <f t="shared" si="204"/>
        <v>0.0389706402546869</v>
      </c>
      <c r="AO78" s="12">
        <f t="shared" ref="AO78:AU78" si="205">AO11</f>
        <v>0.0349503116051878</v>
      </c>
      <c r="AP78" s="12">
        <f t="shared" si="205"/>
        <v>0.0333789563729684</v>
      </c>
      <c r="AQ78" s="12">
        <f t="shared" si="205"/>
        <v>0.0343677130044843</v>
      </c>
      <c r="AR78" s="12">
        <f t="shared" si="205"/>
        <v>0.035253980288097</v>
      </c>
      <c r="AS78" s="12">
        <f t="shared" si="205"/>
        <v>0.0361364907700914</v>
      </c>
      <c r="AT78" s="12">
        <f t="shared" si="205"/>
        <v>0.0245086531226486</v>
      </c>
      <c r="AU78" s="12">
        <f t="shared" si="205"/>
        <v>0.0288043862752034</v>
      </c>
    </row>
    <row r="79" ht="15.5" spans="21:47">
      <c r="U79" s="14"/>
      <c r="V79" s="29" t="s">
        <v>358</v>
      </c>
      <c r="W79" s="12">
        <f t="shared" ref="W79:AC79" si="206">W12</f>
        <v>0.0799898938858009</v>
      </c>
      <c r="X79" s="12">
        <f t="shared" si="206"/>
        <v>0.0778614200171086</v>
      </c>
      <c r="Y79" s="12">
        <f t="shared" si="206"/>
        <v>0.0807174887892377</v>
      </c>
      <c r="Z79" s="12">
        <f t="shared" si="206"/>
        <v>0.0845147839272176</v>
      </c>
      <c r="AA79" s="12">
        <f t="shared" si="206"/>
        <v>0.08851389147865</v>
      </c>
      <c r="AB79" s="12">
        <f t="shared" si="206"/>
        <v>0.0677200902934537</v>
      </c>
      <c r="AC79" s="12">
        <f t="shared" si="206"/>
        <v>0.0795896710293598</v>
      </c>
      <c r="AD79" s="15"/>
      <c r="AE79" s="15"/>
      <c r="AF79" s="12">
        <f t="shared" ref="AF79:AL79" si="207">AF12</f>
        <v>0.0799898938858009</v>
      </c>
      <c r="AG79" s="12">
        <f t="shared" si="207"/>
        <v>0.0778614200171086</v>
      </c>
      <c r="AH79" s="12">
        <f t="shared" si="207"/>
        <v>0.0807174887892377</v>
      </c>
      <c r="AI79" s="12">
        <f t="shared" si="207"/>
        <v>0.0845147839272176</v>
      </c>
      <c r="AJ79" s="12">
        <f t="shared" si="207"/>
        <v>0.08851389147865</v>
      </c>
      <c r="AK79" s="12">
        <f t="shared" si="207"/>
        <v>0.0778781038374718</v>
      </c>
      <c r="AL79" s="12">
        <f t="shared" si="207"/>
        <v>0.0915281216837637</v>
      </c>
      <c r="AM79" s="15"/>
      <c r="AN79" s="15"/>
      <c r="AO79" s="12">
        <f t="shared" ref="AO79:AU79" si="208">AO12</f>
        <v>0.0799898938858009</v>
      </c>
      <c r="AP79" s="12">
        <f t="shared" si="208"/>
        <v>0.0778614200171086</v>
      </c>
      <c r="AQ79" s="12">
        <f t="shared" si="208"/>
        <v>0.0807174887892377</v>
      </c>
      <c r="AR79" s="12">
        <f t="shared" si="208"/>
        <v>0.0845147839272176</v>
      </c>
      <c r="AS79" s="12">
        <f t="shared" si="208"/>
        <v>0.08851389147865</v>
      </c>
      <c r="AT79" s="12">
        <f t="shared" si="208"/>
        <v>0.0575620767494357</v>
      </c>
      <c r="AU79" s="12">
        <f t="shared" si="208"/>
        <v>0.0676512203749558</v>
      </c>
    </row>
    <row r="80" ht="15.5" spans="21:47">
      <c r="U80" s="14"/>
      <c r="V80" s="29" t="s">
        <v>359</v>
      </c>
      <c r="W80" s="12">
        <f t="shared" ref="W80:AC80" si="209">W13</f>
        <v>0.0135085059794509</v>
      </c>
      <c r="X80" s="12">
        <f t="shared" si="209"/>
        <v>0.013207869974337</v>
      </c>
      <c r="Y80" s="12">
        <f t="shared" si="209"/>
        <v>0.0136860986547085</v>
      </c>
      <c r="Z80" s="12">
        <f t="shared" si="209"/>
        <v>0.0149545109931767</v>
      </c>
      <c r="AA80" s="12">
        <f t="shared" si="209"/>
        <v>0.0152340108148424</v>
      </c>
      <c r="AB80" s="12">
        <f t="shared" si="209"/>
        <v>0.0114823175319789</v>
      </c>
      <c r="AC80" s="12">
        <f t="shared" si="209"/>
        <v>0.013494870887867</v>
      </c>
      <c r="AD80" s="15"/>
      <c r="AE80" s="15"/>
      <c r="AF80" s="12">
        <f t="shared" ref="AF80:AL80" si="210">AF13</f>
        <v>0.0135085059794509</v>
      </c>
      <c r="AG80" s="12">
        <f t="shared" si="210"/>
        <v>0.013207869974337</v>
      </c>
      <c r="AH80" s="12">
        <f t="shared" si="210"/>
        <v>0.0136860986547085</v>
      </c>
      <c r="AI80" s="12">
        <f t="shared" si="210"/>
        <v>0.0149545109931767</v>
      </c>
      <c r="AJ80" s="12">
        <f t="shared" si="210"/>
        <v>0.0152340108148424</v>
      </c>
      <c r="AK80" s="12">
        <f t="shared" si="210"/>
        <v>0.0132046651617758</v>
      </c>
      <c r="AL80" s="12">
        <f t="shared" si="210"/>
        <v>0.015519101521047</v>
      </c>
      <c r="AM80" s="15"/>
      <c r="AN80" s="15"/>
      <c r="AO80" s="12">
        <f t="shared" ref="AO80:AU80" si="211">AO13</f>
        <v>0.0135085059794509</v>
      </c>
      <c r="AP80" s="12">
        <f t="shared" si="211"/>
        <v>0.013207869974337</v>
      </c>
      <c r="AQ80" s="12">
        <f t="shared" si="211"/>
        <v>0.0136860986547085</v>
      </c>
      <c r="AR80" s="12">
        <f t="shared" si="211"/>
        <v>0.0149545109931767</v>
      </c>
      <c r="AS80" s="12">
        <f t="shared" si="211"/>
        <v>0.0152340108148424</v>
      </c>
      <c r="AT80" s="12">
        <f t="shared" si="211"/>
        <v>0.00975996990218209</v>
      </c>
      <c r="AU80" s="12">
        <f t="shared" si="211"/>
        <v>0.0114706402546869</v>
      </c>
    </row>
    <row r="81" ht="15.5" spans="21:47">
      <c r="U81" s="14" t="s">
        <v>360</v>
      </c>
      <c r="V81" s="29" t="s">
        <v>121</v>
      </c>
      <c r="W81" s="15">
        <f t="shared" ref="W81:AC81" si="212">W14-W15</f>
        <v>0.010830385716692</v>
      </c>
      <c r="X81" s="15">
        <f t="shared" si="212"/>
        <v>0.0104020530367836</v>
      </c>
      <c r="Y81" s="15">
        <f t="shared" si="212"/>
        <v>0.0107085201793722</v>
      </c>
      <c r="Z81" s="15">
        <f t="shared" si="212"/>
        <v>0.0117702805155421</v>
      </c>
      <c r="AA81" s="15">
        <f t="shared" si="212"/>
        <v>0.011933619242961</v>
      </c>
      <c r="AB81" s="15">
        <f t="shared" si="212"/>
        <v>0.00898419864559818</v>
      </c>
      <c r="AC81" s="15">
        <f t="shared" si="212"/>
        <v>0.0105588963565617</v>
      </c>
      <c r="AD81" s="15"/>
      <c r="AE81" s="15"/>
      <c r="AF81" s="15">
        <f t="shared" ref="AF81:AL81" si="213">AF14-AF15</f>
        <v>0.010830385716692</v>
      </c>
      <c r="AG81" s="15">
        <f t="shared" si="213"/>
        <v>0.0104020530367836</v>
      </c>
      <c r="AH81" s="15">
        <f t="shared" si="213"/>
        <v>0.0107085201793722</v>
      </c>
      <c r="AI81" s="15">
        <f t="shared" si="213"/>
        <v>0.0117702805155421</v>
      </c>
      <c r="AJ81" s="15">
        <f t="shared" si="213"/>
        <v>0.011933619242961</v>
      </c>
      <c r="AK81" s="15">
        <f t="shared" si="213"/>
        <v>0.0103318284424379</v>
      </c>
      <c r="AL81" s="15">
        <f t="shared" si="213"/>
        <v>0.012142730810046</v>
      </c>
      <c r="AM81" s="15"/>
      <c r="AN81" s="15"/>
      <c r="AO81" s="15">
        <f t="shared" ref="AO81:AU81" si="214">AO14-AO15</f>
        <v>0.010830385716692</v>
      </c>
      <c r="AP81" s="15">
        <f t="shared" si="214"/>
        <v>0.0104020530367836</v>
      </c>
      <c r="AQ81" s="15">
        <f t="shared" si="214"/>
        <v>0.0107085201793722</v>
      </c>
      <c r="AR81" s="15">
        <f t="shared" si="214"/>
        <v>0.0117702805155421</v>
      </c>
      <c r="AS81" s="15">
        <f t="shared" si="214"/>
        <v>0.011933619242961</v>
      </c>
      <c r="AT81" s="15">
        <f t="shared" si="214"/>
        <v>0.00763656884875846</v>
      </c>
      <c r="AU81" s="15">
        <f t="shared" si="214"/>
        <v>0.00897506190307747</v>
      </c>
    </row>
    <row r="82" ht="15.5" spans="21:47">
      <c r="U82" s="14"/>
      <c r="V82" s="30" t="s">
        <v>357</v>
      </c>
      <c r="W82" s="15">
        <f t="shared" ref="W82:AC82" si="215">W16</f>
        <v>0.0447027118073101</v>
      </c>
      <c r="X82" s="15">
        <f t="shared" si="215"/>
        <v>0.0428058169375535</v>
      </c>
      <c r="Y82" s="15">
        <f t="shared" si="215"/>
        <v>0.0441255605381166</v>
      </c>
      <c r="Z82" s="15">
        <f t="shared" si="215"/>
        <v>0.0456406368460955</v>
      </c>
      <c r="AA82" s="15">
        <f t="shared" si="215"/>
        <v>0.0467275778482193</v>
      </c>
      <c r="AB82" s="15">
        <f t="shared" si="215"/>
        <v>0.037020316027088</v>
      </c>
      <c r="AC82" s="15">
        <f t="shared" si="215"/>
        <v>0.0435090201627167</v>
      </c>
      <c r="AD82" s="15"/>
      <c r="AE82" s="15"/>
      <c r="AF82" s="15">
        <f t="shared" ref="AF82:AL82" si="216">AF16</f>
        <v>0.0447027118073101</v>
      </c>
      <c r="AG82" s="15">
        <f t="shared" si="216"/>
        <v>0.0428058169375535</v>
      </c>
      <c r="AH82" s="15">
        <f t="shared" si="216"/>
        <v>0.0441255605381166</v>
      </c>
      <c r="AI82" s="15">
        <f t="shared" si="216"/>
        <v>0.0456406368460955</v>
      </c>
      <c r="AJ82" s="15">
        <f t="shared" si="216"/>
        <v>0.0467275778482193</v>
      </c>
      <c r="AK82" s="15">
        <f t="shared" si="216"/>
        <v>0.0425733634311512</v>
      </c>
      <c r="AL82" s="15">
        <f t="shared" si="216"/>
        <v>0.0500353731871242</v>
      </c>
      <c r="AM82" s="15"/>
      <c r="AN82" s="15"/>
      <c r="AO82" s="15">
        <f t="shared" ref="AO82:AU82" si="217">AO16</f>
        <v>0.0447027118073101</v>
      </c>
      <c r="AP82" s="15">
        <f t="shared" si="217"/>
        <v>0.0428058169375535</v>
      </c>
      <c r="AQ82" s="15">
        <f t="shared" si="217"/>
        <v>0.0441255605381166</v>
      </c>
      <c r="AR82" s="15">
        <f t="shared" si="217"/>
        <v>0.0456406368460955</v>
      </c>
      <c r="AS82" s="15">
        <f t="shared" si="217"/>
        <v>0.0467275778482193</v>
      </c>
      <c r="AT82" s="15">
        <f t="shared" si="217"/>
        <v>0.0314672686230248</v>
      </c>
      <c r="AU82" s="15">
        <f t="shared" si="217"/>
        <v>0.0369826671383092</v>
      </c>
    </row>
    <row r="83" ht="15.5" spans="21:47">
      <c r="U83" s="14"/>
      <c r="V83" s="29" t="s">
        <v>358</v>
      </c>
      <c r="W83" s="15">
        <f t="shared" ref="W83:AC83" si="218">W17</f>
        <v>0.0724945258548088</v>
      </c>
      <c r="X83" s="15">
        <f t="shared" si="218"/>
        <v>0.0706073567151412</v>
      </c>
      <c r="Y83" s="15">
        <f t="shared" si="218"/>
        <v>0.0732017937219731</v>
      </c>
      <c r="Z83" s="15">
        <f t="shared" si="218"/>
        <v>0.076516300227445</v>
      </c>
      <c r="AA83" s="15">
        <f t="shared" si="218"/>
        <v>0.0803841133693828</v>
      </c>
      <c r="AB83" s="15">
        <f t="shared" si="218"/>
        <v>0.0614145974416855</v>
      </c>
      <c r="AC83" s="15">
        <f t="shared" si="218"/>
        <v>0.0721789883268483</v>
      </c>
      <c r="AD83" s="15"/>
      <c r="AE83" s="15"/>
      <c r="AF83" s="15">
        <f t="shared" ref="AF83:AL83" si="219">AF17</f>
        <v>0.0724945258548088</v>
      </c>
      <c r="AG83" s="15">
        <f t="shared" si="219"/>
        <v>0.0706073567151412</v>
      </c>
      <c r="AH83" s="15">
        <f t="shared" si="219"/>
        <v>0.0732017937219731</v>
      </c>
      <c r="AI83" s="15">
        <f t="shared" si="219"/>
        <v>0.076516300227445</v>
      </c>
      <c r="AJ83" s="15">
        <f t="shared" si="219"/>
        <v>0.0803841133693828</v>
      </c>
      <c r="AK83" s="15">
        <f t="shared" si="219"/>
        <v>0.0706267870579383</v>
      </c>
      <c r="AL83" s="15">
        <f t="shared" si="219"/>
        <v>0.0830058365758755</v>
      </c>
      <c r="AM83" s="15"/>
      <c r="AN83" s="15"/>
      <c r="AO83" s="15">
        <f t="shared" ref="AO83:AU83" si="220">AO17</f>
        <v>0.0724945258548088</v>
      </c>
      <c r="AP83" s="15">
        <f t="shared" si="220"/>
        <v>0.0706073567151412</v>
      </c>
      <c r="AQ83" s="15">
        <f t="shared" si="220"/>
        <v>0.0732017937219731</v>
      </c>
      <c r="AR83" s="15">
        <f t="shared" si="220"/>
        <v>0.076516300227445</v>
      </c>
      <c r="AS83" s="15">
        <f t="shared" si="220"/>
        <v>0.0803841133693828</v>
      </c>
      <c r="AT83" s="15">
        <f t="shared" si="220"/>
        <v>0.0522024078254327</v>
      </c>
      <c r="AU83" s="15">
        <f t="shared" si="220"/>
        <v>0.061352140077821</v>
      </c>
    </row>
    <row r="84" ht="15.5" spans="21:47">
      <c r="U84" s="14"/>
      <c r="V84" s="29" t="s">
        <v>359</v>
      </c>
      <c r="W84" s="15">
        <f t="shared" ref="W84:AC84" si="221">W18</f>
        <v>0.0131547919824827</v>
      </c>
      <c r="X84" s="15">
        <f t="shared" si="221"/>
        <v>0.0128656971770744</v>
      </c>
      <c r="Y84" s="15">
        <f t="shared" si="221"/>
        <v>0.0133273542600897</v>
      </c>
      <c r="Z84" s="15">
        <f t="shared" si="221"/>
        <v>0.0145564821834723</v>
      </c>
      <c r="AA84" s="15">
        <f t="shared" si="221"/>
        <v>0.0148610852134999</v>
      </c>
      <c r="AB84" s="15">
        <f t="shared" si="221"/>
        <v>0.0111813393528969</v>
      </c>
      <c r="AC84" s="15">
        <f t="shared" si="221"/>
        <v>0.0131411390166254</v>
      </c>
      <c r="AD84" s="15"/>
      <c r="AE84" s="15"/>
      <c r="AF84" s="15">
        <f t="shared" ref="AF84:AL84" si="222">AF18</f>
        <v>0.0131547919824827</v>
      </c>
      <c r="AG84" s="15">
        <f t="shared" si="222"/>
        <v>0.0128656971770744</v>
      </c>
      <c r="AH84" s="15">
        <f t="shared" si="222"/>
        <v>0.0133273542600897</v>
      </c>
      <c r="AI84" s="15">
        <f t="shared" si="222"/>
        <v>0.0145564821834723</v>
      </c>
      <c r="AJ84" s="15">
        <f t="shared" si="222"/>
        <v>0.0148610852134999</v>
      </c>
      <c r="AK84" s="15">
        <f t="shared" si="222"/>
        <v>0.0128585402558315</v>
      </c>
      <c r="AL84" s="15">
        <f t="shared" si="222"/>
        <v>0.0151123098691192</v>
      </c>
      <c r="AM84" s="15"/>
      <c r="AN84" s="15"/>
      <c r="AO84" s="15">
        <f t="shared" ref="AO84:AU84" si="223">AO18</f>
        <v>0.0131547919824827</v>
      </c>
      <c r="AP84" s="15">
        <f t="shared" si="223"/>
        <v>0.0128656971770744</v>
      </c>
      <c r="AQ84" s="15">
        <f t="shared" si="223"/>
        <v>0.0133273542600897</v>
      </c>
      <c r="AR84" s="15">
        <f t="shared" si="223"/>
        <v>0.0145564821834723</v>
      </c>
      <c r="AS84" s="15">
        <f t="shared" si="223"/>
        <v>0.0148610852134999</v>
      </c>
      <c r="AT84" s="15">
        <f t="shared" si="223"/>
        <v>0.00950413844996238</v>
      </c>
      <c r="AU84" s="15">
        <f t="shared" si="223"/>
        <v>0.0111699681641316</v>
      </c>
    </row>
    <row r="85" ht="15.5" spans="21:47">
      <c r="U85" s="14" t="s">
        <v>360</v>
      </c>
      <c r="V85" s="29" t="s">
        <v>121</v>
      </c>
      <c r="W85" s="31">
        <f t="shared" ref="W85:AC85" si="224">W81</f>
        <v>0.010830385716692</v>
      </c>
      <c r="X85" s="31">
        <f t="shared" si="224"/>
        <v>0.0104020530367836</v>
      </c>
      <c r="Y85" s="31">
        <f t="shared" si="224"/>
        <v>0.0107085201793722</v>
      </c>
      <c r="Z85" s="31">
        <f t="shared" si="224"/>
        <v>0.0117702805155421</v>
      </c>
      <c r="AA85" s="31">
        <f t="shared" si="224"/>
        <v>0.011933619242961</v>
      </c>
      <c r="AB85" s="31">
        <f t="shared" si="224"/>
        <v>0.00898419864559818</v>
      </c>
      <c r="AC85" s="31">
        <f t="shared" si="224"/>
        <v>0.0105588963565617</v>
      </c>
      <c r="AD85" s="15"/>
      <c r="AE85" s="15"/>
      <c r="AF85" s="31">
        <f t="shared" ref="AF85:AL85" si="225">AF81</f>
        <v>0.010830385716692</v>
      </c>
      <c r="AG85" s="31">
        <f t="shared" si="225"/>
        <v>0.0104020530367836</v>
      </c>
      <c r="AH85" s="31">
        <f t="shared" si="225"/>
        <v>0.0107085201793722</v>
      </c>
      <c r="AI85" s="31">
        <f t="shared" si="225"/>
        <v>0.0117702805155421</v>
      </c>
      <c r="AJ85" s="31">
        <f t="shared" si="225"/>
        <v>0.011933619242961</v>
      </c>
      <c r="AK85" s="31">
        <f t="shared" si="225"/>
        <v>0.0103318284424379</v>
      </c>
      <c r="AL85" s="31">
        <f t="shared" si="225"/>
        <v>0.012142730810046</v>
      </c>
      <c r="AM85" s="15"/>
      <c r="AN85" s="15"/>
      <c r="AO85" s="31">
        <f t="shared" ref="AO85:AU85" si="226">AO81</f>
        <v>0.010830385716692</v>
      </c>
      <c r="AP85" s="31">
        <f t="shared" si="226"/>
        <v>0.0104020530367836</v>
      </c>
      <c r="AQ85" s="31">
        <f t="shared" si="226"/>
        <v>0.0107085201793722</v>
      </c>
      <c r="AR85" s="31">
        <f t="shared" si="226"/>
        <v>0.0117702805155421</v>
      </c>
      <c r="AS85" s="31">
        <f t="shared" si="226"/>
        <v>0.011933619242961</v>
      </c>
      <c r="AT85" s="31">
        <f t="shared" si="226"/>
        <v>0.00763656884875846</v>
      </c>
      <c r="AU85" s="31">
        <f t="shared" si="226"/>
        <v>0.00897506190307747</v>
      </c>
    </row>
    <row r="86" ht="15.5" spans="21:47">
      <c r="U86" s="14"/>
      <c r="V86" s="30" t="s">
        <v>357</v>
      </c>
      <c r="W86" s="31">
        <f t="shared" ref="W86:AC86" si="227">W82</f>
        <v>0.0447027118073101</v>
      </c>
      <c r="X86" s="31">
        <f t="shared" si="227"/>
        <v>0.0428058169375535</v>
      </c>
      <c r="Y86" s="31">
        <f t="shared" si="227"/>
        <v>0.0441255605381166</v>
      </c>
      <c r="Z86" s="31">
        <f t="shared" si="227"/>
        <v>0.0456406368460955</v>
      </c>
      <c r="AA86" s="31">
        <f t="shared" si="227"/>
        <v>0.0467275778482193</v>
      </c>
      <c r="AB86" s="31">
        <f t="shared" si="227"/>
        <v>0.037020316027088</v>
      </c>
      <c r="AC86" s="31">
        <f t="shared" si="227"/>
        <v>0.0435090201627167</v>
      </c>
      <c r="AD86" s="15"/>
      <c r="AE86" s="15"/>
      <c r="AF86" s="31">
        <f t="shared" ref="AF86:AL86" si="228">AF82</f>
        <v>0.0447027118073101</v>
      </c>
      <c r="AG86" s="31">
        <f t="shared" si="228"/>
        <v>0.0428058169375535</v>
      </c>
      <c r="AH86" s="31">
        <f t="shared" si="228"/>
        <v>0.0441255605381166</v>
      </c>
      <c r="AI86" s="31">
        <f t="shared" si="228"/>
        <v>0.0456406368460955</v>
      </c>
      <c r="AJ86" s="31">
        <f t="shared" si="228"/>
        <v>0.0467275778482193</v>
      </c>
      <c r="AK86" s="31">
        <f t="shared" si="228"/>
        <v>0.0425733634311512</v>
      </c>
      <c r="AL86" s="31">
        <f t="shared" si="228"/>
        <v>0.0500353731871242</v>
      </c>
      <c r="AM86" s="15"/>
      <c r="AN86" s="15"/>
      <c r="AO86" s="31">
        <f t="shared" ref="AO86:AU86" si="229">AO82</f>
        <v>0.0447027118073101</v>
      </c>
      <c r="AP86" s="31">
        <f t="shared" si="229"/>
        <v>0.0428058169375535</v>
      </c>
      <c r="AQ86" s="31">
        <f t="shared" si="229"/>
        <v>0.0441255605381166</v>
      </c>
      <c r="AR86" s="31">
        <f t="shared" si="229"/>
        <v>0.0456406368460955</v>
      </c>
      <c r="AS86" s="31">
        <f t="shared" si="229"/>
        <v>0.0467275778482193</v>
      </c>
      <c r="AT86" s="31">
        <f t="shared" si="229"/>
        <v>0.0314672686230248</v>
      </c>
      <c r="AU86" s="31">
        <f t="shared" si="229"/>
        <v>0.0369826671383092</v>
      </c>
    </row>
    <row r="87" ht="15.5" spans="21:47">
      <c r="U87" s="14"/>
      <c r="V87" s="29" t="s">
        <v>358</v>
      </c>
      <c r="W87" s="31">
        <f t="shared" ref="W87:AC87" si="230">W83</f>
        <v>0.0724945258548088</v>
      </c>
      <c r="X87" s="31">
        <f t="shared" si="230"/>
        <v>0.0706073567151412</v>
      </c>
      <c r="Y87" s="31">
        <f t="shared" si="230"/>
        <v>0.0732017937219731</v>
      </c>
      <c r="Z87" s="31">
        <f t="shared" si="230"/>
        <v>0.076516300227445</v>
      </c>
      <c r="AA87" s="31">
        <f t="shared" si="230"/>
        <v>0.0803841133693828</v>
      </c>
      <c r="AB87" s="31">
        <f t="shared" si="230"/>
        <v>0.0614145974416855</v>
      </c>
      <c r="AC87" s="31">
        <f t="shared" si="230"/>
        <v>0.0721789883268483</v>
      </c>
      <c r="AD87" s="15"/>
      <c r="AE87" s="15"/>
      <c r="AF87" s="31">
        <f t="shared" ref="AF87:AL87" si="231">AF83</f>
        <v>0.0724945258548088</v>
      </c>
      <c r="AG87" s="31">
        <f t="shared" si="231"/>
        <v>0.0706073567151412</v>
      </c>
      <c r="AH87" s="31">
        <f t="shared" si="231"/>
        <v>0.0732017937219731</v>
      </c>
      <c r="AI87" s="31">
        <f t="shared" si="231"/>
        <v>0.076516300227445</v>
      </c>
      <c r="AJ87" s="31">
        <f t="shared" si="231"/>
        <v>0.0803841133693828</v>
      </c>
      <c r="AK87" s="31">
        <f t="shared" si="231"/>
        <v>0.0706267870579383</v>
      </c>
      <c r="AL87" s="31">
        <f t="shared" si="231"/>
        <v>0.0830058365758755</v>
      </c>
      <c r="AM87" s="15"/>
      <c r="AN87" s="15"/>
      <c r="AO87" s="31">
        <f t="shared" ref="AO87:AU87" si="232">AO83</f>
        <v>0.0724945258548088</v>
      </c>
      <c r="AP87" s="31">
        <f t="shared" si="232"/>
        <v>0.0706073567151412</v>
      </c>
      <c r="AQ87" s="31">
        <f t="shared" si="232"/>
        <v>0.0732017937219731</v>
      </c>
      <c r="AR87" s="31">
        <f t="shared" si="232"/>
        <v>0.076516300227445</v>
      </c>
      <c r="AS87" s="31">
        <f t="shared" si="232"/>
        <v>0.0803841133693828</v>
      </c>
      <c r="AT87" s="31">
        <f t="shared" si="232"/>
        <v>0.0522024078254327</v>
      </c>
      <c r="AU87" s="31">
        <f t="shared" si="232"/>
        <v>0.061352140077821</v>
      </c>
    </row>
    <row r="88" ht="15.5" spans="21:47">
      <c r="U88" s="14"/>
      <c r="V88" s="29" t="s">
        <v>359</v>
      </c>
      <c r="W88" s="31">
        <f t="shared" ref="W88:AC88" si="233">W84</f>
        <v>0.0131547919824827</v>
      </c>
      <c r="X88" s="31">
        <f t="shared" si="233"/>
        <v>0.0128656971770744</v>
      </c>
      <c r="Y88" s="31">
        <f t="shared" si="233"/>
        <v>0.0133273542600897</v>
      </c>
      <c r="Z88" s="31">
        <f t="shared" si="233"/>
        <v>0.0145564821834723</v>
      </c>
      <c r="AA88" s="31">
        <f t="shared" si="233"/>
        <v>0.0148610852134999</v>
      </c>
      <c r="AB88" s="31">
        <f t="shared" si="233"/>
        <v>0.0111813393528969</v>
      </c>
      <c r="AC88" s="31">
        <f t="shared" si="233"/>
        <v>0.0131411390166254</v>
      </c>
      <c r="AD88" s="15"/>
      <c r="AE88" s="15"/>
      <c r="AF88" s="31">
        <f t="shared" ref="AF88:AL88" si="234">AF84</f>
        <v>0.0131547919824827</v>
      </c>
      <c r="AG88" s="31">
        <f t="shared" si="234"/>
        <v>0.0128656971770744</v>
      </c>
      <c r="AH88" s="31">
        <f t="shared" si="234"/>
        <v>0.0133273542600897</v>
      </c>
      <c r="AI88" s="31">
        <f t="shared" si="234"/>
        <v>0.0145564821834723</v>
      </c>
      <c r="AJ88" s="31">
        <f t="shared" si="234"/>
        <v>0.0148610852134999</v>
      </c>
      <c r="AK88" s="31">
        <f t="shared" si="234"/>
        <v>0.0128585402558315</v>
      </c>
      <c r="AL88" s="31">
        <f t="shared" si="234"/>
        <v>0.0151123098691192</v>
      </c>
      <c r="AM88" s="15"/>
      <c r="AN88" s="15"/>
      <c r="AO88" s="31">
        <f t="shared" ref="AO88:AU88" si="235">AO84</f>
        <v>0.0131547919824827</v>
      </c>
      <c r="AP88" s="31">
        <f t="shared" si="235"/>
        <v>0.0128656971770744</v>
      </c>
      <c r="AQ88" s="31">
        <f t="shared" si="235"/>
        <v>0.0133273542600897</v>
      </c>
      <c r="AR88" s="31">
        <f t="shared" si="235"/>
        <v>0.0145564821834723</v>
      </c>
      <c r="AS88" s="31">
        <f t="shared" si="235"/>
        <v>0.0148610852134999</v>
      </c>
      <c r="AT88" s="31">
        <f t="shared" si="235"/>
        <v>0.00950413844996238</v>
      </c>
      <c r="AU88" s="31">
        <f t="shared" si="235"/>
        <v>0.0111699681641316</v>
      </c>
    </row>
    <row r="89" ht="15.5" spans="21:47">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row>
    <row r="90" ht="15.5" spans="21:47">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row>
    <row r="91" ht="15.5" spans="21:47">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row>
    <row r="92" ht="15.5" spans="21:47">
      <c r="U92" s="15"/>
      <c r="V92" s="15"/>
      <c r="W92" s="15" t="s">
        <v>326</v>
      </c>
      <c r="X92" s="15" t="s">
        <v>327</v>
      </c>
      <c r="Y92" s="19" t="s">
        <v>328</v>
      </c>
      <c r="Z92" s="15" t="s">
        <v>329</v>
      </c>
      <c r="AA92" s="15" t="s">
        <v>330</v>
      </c>
      <c r="AB92" s="21" t="s">
        <v>331</v>
      </c>
      <c r="AC92" s="21" t="s">
        <v>332</v>
      </c>
      <c r="AD92" s="15"/>
      <c r="AE92" s="15"/>
      <c r="AF92" s="15" t="s">
        <v>326</v>
      </c>
      <c r="AG92" s="15" t="s">
        <v>327</v>
      </c>
      <c r="AH92" s="19" t="s">
        <v>328</v>
      </c>
      <c r="AI92" s="15" t="s">
        <v>329</v>
      </c>
      <c r="AJ92" s="15" t="s">
        <v>330</v>
      </c>
      <c r="AK92" s="21" t="s">
        <v>331</v>
      </c>
      <c r="AL92" s="21" t="s">
        <v>332</v>
      </c>
      <c r="AM92" s="15"/>
      <c r="AN92" s="15"/>
      <c r="AO92" s="15" t="s">
        <v>326</v>
      </c>
      <c r="AP92" s="15" t="s">
        <v>327</v>
      </c>
      <c r="AQ92" s="19" t="s">
        <v>328</v>
      </c>
      <c r="AR92" s="15" t="s">
        <v>329</v>
      </c>
      <c r="AS92" s="15" t="s">
        <v>330</v>
      </c>
      <c r="AT92" s="21" t="s">
        <v>331</v>
      </c>
      <c r="AU92" s="21" t="s">
        <v>332</v>
      </c>
    </row>
    <row r="93" spans="21:47">
      <c r="U93" s="14" t="s">
        <v>333</v>
      </c>
      <c r="V93" s="29" t="s">
        <v>121</v>
      </c>
      <c r="W93" s="12">
        <f t="shared" ref="W93:AC93" si="236">W24-W25</f>
        <v>0.0115546572342934</v>
      </c>
      <c r="X93" s="12">
        <f t="shared" si="236"/>
        <v>0.0110863986313088</v>
      </c>
      <c r="Y93" s="12">
        <f t="shared" si="236"/>
        <v>0.0114618834080717</v>
      </c>
      <c r="Z93" s="12">
        <f t="shared" si="236"/>
        <v>0.011751326762699</v>
      </c>
      <c r="AA93" s="12">
        <f t="shared" si="236"/>
        <v>0.0119709118030953</v>
      </c>
      <c r="AB93" s="12">
        <f t="shared" si="236"/>
        <v>0.00961625282167042</v>
      </c>
      <c r="AC93" s="12">
        <f t="shared" si="236"/>
        <v>0.0113017332861691</v>
      </c>
      <c r="AF93" s="12">
        <f t="shared" ref="AF93:AL93" si="237">AF24-AF25</f>
        <v>0.0115546572342934</v>
      </c>
      <c r="AG93" s="12">
        <f t="shared" si="237"/>
        <v>0.0110863986313088</v>
      </c>
      <c r="AH93" s="12">
        <f t="shared" si="237"/>
        <v>0.0114618834080717</v>
      </c>
      <c r="AI93" s="12">
        <f t="shared" si="237"/>
        <v>0.011751326762699</v>
      </c>
      <c r="AJ93" s="12">
        <f t="shared" si="237"/>
        <v>0.0119709118030953</v>
      </c>
      <c r="AK93" s="12">
        <f t="shared" si="237"/>
        <v>0.011058690744921</v>
      </c>
      <c r="AL93" s="12">
        <f t="shared" si="237"/>
        <v>0.0129969932790944</v>
      </c>
      <c r="AO93" s="12">
        <f t="shared" ref="AO93:AU93" si="238">AO24-AO25</f>
        <v>0.0115546572342934</v>
      </c>
      <c r="AP93" s="12">
        <f t="shared" si="238"/>
        <v>0.0110863986313088</v>
      </c>
      <c r="AQ93" s="12">
        <f t="shared" si="238"/>
        <v>0.0114618834080717</v>
      </c>
      <c r="AR93" s="12">
        <f t="shared" si="238"/>
        <v>0.011751326762699</v>
      </c>
      <c r="AS93" s="12">
        <f t="shared" si="238"/>
        <v>0.0119709118030953</v>
      </c>
      <c r="AT93" s="12">
        <f t="shared" si="238"/>
        <v>0.00817381489841985</v>
      </c>
      <c r="AU93" s="12">
        <f t="shared" si="238"/>
        <v>0.00960647329324371</v>
      </c>
    </row>
    <row r="94" spans="21:47">
      <c r="U94" s="14"/>
      <c r="V94" s="30" t="s">
        <v>357</v>
      </c>
      <c r="W94" s="12">
        <f t="shared" ref="W94:AC94" si="239">W26</f>
        <v>0.0252147549267307</v>
      </c>
      <c r="X94" s="12">
        <f t="shared" si="239"/>
        <v>0.0242600513259196</v>
      </c>
      <c r="Y94" s="12">
        <f t="shared" si="239"/>
        <v>0.0250941704035874</v>
      </c>
      <c r="Z94" s="12">
        <f t="shared" si="239"/>
        <v>0.0257581501137225</v>
      </c>
      <c r="AA94" s="12">
        <f t="shared" si="239"/>
        <v>0.0262539623345143</v>
      </c>
      <c r="AB94" s="12">
        <f t="shared" si="239"/>
        <v>0.0210534236267871</v>
      </c>
      <c r="AC94" s="12">
        <f t="shared" si="239"/>
        <v>0.0247435443933498</v>
      </c>
      <c r="AF94" s="12">
        <f t="shared" ref="AF94:AL94" si="240">AF26</f>
        <v>0.0252147549267307</v>
      </c>
      <c r="AG94" s="12">
        <f t="shared" si="240"/>
        <v>0.0242600513259196</v>
      </c>
      <c r="AH94" s="12">
        <f t="shared" si="240"/>
        <v>0.0250941704035874</v>
      </c>
      <c r="AI94" s="12">
        <f t="shared" si="240"/>
        <v>0.0257581501137225</v>
      </c>
      <c r="AJ94" s="12">
        <f t="shared" si="240"/>
        <v>0.0262539623345143</v>
      </c>
      <c r="AK94" s="12">
        <f t="shared" si="240"/>
        <v>0.0242114371708051</v>
      </c>
      <c r="AL94" s="12">
        <f t="shared" si="240"/>
        <v>0.0284550760523523</v>
      </c>
      <c r="AO94" s="12">
        <f t="shared" ref="AO94:AU94" si="241">AO26</f>
        <v>0.0252147549267307</v>
      </c>
      <c r="AP94" s="12">
        <f t="shared" si="241"/>
        <v>0.0242600513259196</v>
      </c>
      <c r="AQ94" s="12">
        <f t="shared" si="241"/>
        <v>0.0250941704035874</v>
      </c>
      <c r="AR94" s="12">
        <f t="shared" si="241"/>
        <v>0.0257581501137225</v>
      </c>
      <c r="AS94" s="12">
        <f t="shared" si="241"/>
        <v>0.0262539623345143</v>
      </c>
      <c r="AT94" s="12">
        <f t="shared" si="241"/>
        <v>0.017895410082769</v>
      </c>
      <c r="AU94" s="12">
        <f t="shared" si="241"/>
        <v>0.0210320127343474</v>
      </c>
    </row>
    <row r="95" spans="21:47">
      <c r="U95" s="14"/>
      <c r="V95" s="29" t="s">
        <v>358</v>
      </c>
      <c r="W95" s="12">
        <f t="shared" ref="W95:AC95" si="242">W27</f>
        <v>0.0978103419235304</v>
      </c>
      <c r="X95" s="12">
        <f t="shared" si="242"/>
        <v>0.0947818648417451</v>
      </c>
      <c r="Y95" s="12">
        <f t="shared" si="242"/>
        <v>0.0982600896860986</v>
      </c>
      <c r="Z95" s="12">
        <f t="shared" si="242"/>
        <v>0.099696739954511</v>
      </c>
      <c r="AA95" s="12">
        <f t="shared" si="242"/>
        <v>0.103953011374231</v>
      </c>
      <c r="AB95" s="12">
        <f t="shared" si="242"/>
        <v>0.0824379232505643</v>
      </c>
      <c r="AC95" s="12">
        <f t="shared" si="242"/>
        <v>0.0968871595330739</v>
      </c>
      <c r="AF95" s="12">
        <f t="shared" ref="AF95:AL95" si="243">AF27</f>
        <v>0.0978103419235304</v>
      </c>
      <c r="AG95" s="12">
        <f t="shared" si="243"/>
        <v>0.0947818648417451</v>
      </c>
      <c r="AH95" s="12">
        <f t="shared" si="243"/>
        <v>0.0982600896860986</v>
      </c>
      <c r="AI95" s="12">
        <f t="shared" si="243"/>
        <v>0.099696739954511</v>
      </c>
      <c r="AJ95" s="12">
        <f t="shared" si="243"/>
        <v>0.103953011374231</v>
      </c>
      <c r="AK95" s="12">
        <f t="shared" si="243"/>
        <v>0.094803611738149</v>
      </c>
      <c r="AL95" s="12">
        <f t="shared" si="243"/>
        <v>0.111420233463035</v>
      </c>
      <c r="AO95" s="12">
        <f t="shared" ref="AO95:AU95" si="244">AO27</f>
        <v>0.0978103419235304</v>
      </c>
      <c r="AP95" s="12">
        <f t="shared" si="244"/>
        <v>0.0947818648417451</v>
      </c>
      <c r="AQ95" s="12">
        <f t="shared" si="244"/>
        <v>0.0982600896860986</v>
      </c>
      <c r="AR95" s="12">
        <f t="shared" si="244"/>
        <v>0.099696739954511</v>
      </c>
      <c r="AS95" s="12">
        <f t="shared" si="244"/>
        <v>0.103953011374231</v>
      </c>
      <c r="AT95" s="12">
        <f t="shared" si="244"/>
        <v>0.0700722347629797</v>
      </c>
      <c r="AU95" s="12">
        <f t="shared" si="244"/>
        <v>0.0823540856031128</v>
      </c>
    </row>
    <row r="96" spans="21:47">
      <c r="U96" s="14"/>
      <c r="V96" s="29" t="s">
        <v>359</v>
      </c>
      <c r="W96" s="12">
        <f t="shared" ref="W96:AC96" si="245">W28</f>
        <v>0.0132390096008085</v>
      </c>
      <c r="X96" s="12">
        <f t="shared" si="245"/>
        <v>0.0130538922155689</v>
      </c>
      <c r="Y96" s="12">
        <f t="shared" si="245"/>
        <v>0.0136143497757848</v>
      </c>
      <c r="Z96" s="12">
        <f t="shared" si="245"/>
        <v>0.0139689158453374</v>
      </c>
      <c r="AA96" s="12">
        <f t="shared" si="245"/>
        <v>0.0141711728510162</v>
      </c>
      <c r="AB96" s="12">
        <f t="shared" si="245"/>
        <v>0.0114221218961625</v>
      </c>
      <c r="AC96" s="12">
        <f t="shared" si="245"/>
        <v>0.0134241245136187</v>
      </c>
      <c r="AF96" s="12">
        <f t="shared" ref="AF96:AL96" si="246">AF28</f>
        <v>0.0132390096008085</v>
      </c>
      <c r="AG96" s="12">
        <f t="shared" si="246"/>
        <v>0.0130538922155689</v>
      </c>
      <c r="AH96" s="12">
        <f t="shared" si="246"/>
        <v>0.0136143497757848</v>
      </c>
      <c r="AI96" s="12">
        <f t="shared" si="246"/>
        <v>0.0139689158453374</v>
      </c>
      <c r="AJ96" s="12">
        <f t="shared" si="246"/>
        <v>0.0141711728510162</v>
      </c>
      <c r="AK96" s="12">
        <f t="shared" si="246"/>
        <v>0.0131354401805869</v>
      </c>
      <c r="AL96" s="12">
        <f t="shared" si="246"/>
        <v>0.0154377431906615</v>
      </c>
      <c r="AO96" s="12">
        <f t="shared" ref="AO96:AU96" si="247">AO28</f>
        <v>0.0132390096008085</v>
      </c>
      <c r="AP96" s="12">
        <f t="shared" si="247"/>
        <v>0.0130538922155689</v>
      </c>
      <c r="AQ96" s="12">
        <f t="shared" si="247"/>
        <v>0.0136143497757848</v>
      </c>
      <c r="AR96" s="12">
        <f t="shared" si="247"/>
        <v>0.0139689158453374</v>
      </c>
      <c r="AS96" s="12">
        <f t="shared" si="247"/>
        <v>0.0141711728510162</v>
      </c>
      <c r="AT96" s="12">
        <f t="shared" si="247"/>
        <v>0.00970880361173815</v>
      </c>
      <c r="AU96" s="12">
        <f t="shared" si="247"/>
        <v>0.0114105058365759</v>
      </c>
    </row>
    <row r="97" spans="21:47">
      <c r="U97" s="14" t="s">
        <v>339</v>
      </c>
      <c r="V97" s="29" t="s">
        <v>121</v>
      </c>
      <c r="W97" s="12">
        <f t="shared" ref="W97:AC97" si="248">W29-W30</f>
        <v>0.0114030655213071</v>
      </c>
      <c r="X97" s="12">
        <f t="shared" si="248"/>
        <v>0.0109324208725406</v>
      </c>
      <c r="Y97" s="12">
        <f t="shared" si="248"/>
        <v>0.0113183856502242</v>
      </c>
      <c r="Z97" s="12">
        <f t="shared" si="248"/>
        <v>0.0115996967399545</v>
      </c>
      <c r="AA97" s="12">
        <f t="shared" si="248"/>
        <v>0.0118030952824912</v>
      </c>
      <c r="AB97" s="12">
        <f t="shared" si="248"/>
        <v>0.00949586155003763</v>
      </c>
      <c r="AC97" s="12">
        <f t="shared" si="248"/>
        <v>0.0111602405376725</v>
      </c>
      <c r="AF97" s="12">
        <f t="shared" ref="AF97:AL97" si="249">AF29-AF30</f>
        <v>0.0114030655213071</v>
      </c>
      <c r="AG97" s="12">
        <f t="shared" si="249"/>
        <v>0.0109324208725406</v>
      </c>
      <c r="AH97" s="12">
        <f t="shared" si="249"/>
        <v>0.0113183856502242</v>
      </c>
      <c r="AI97" s="12">
        <f t="shared" si="249"/>
        <v>0.0115996967399545</v>
      </c>
      <c r="AJ97" s="12">
        <f t="shared" si="249"/>
        <v>0.0118030952824912</v>
      </c>
      <c r="AK97" s="12">
        <f t="shared" si="249"/>
        <v>0.0109202407825433</v>
      </c>
      <c r="AL97" s="12">
        <f t="shared" si="249"/>
        <v>0.0128342766183233</v>
      </c>
      <c r="AO97" s="12">
        <f t="shared" ref="AO97:AU97" si="250">AO29-AO30</f>
        <v>0.0114030655213071</v>
      </c>
      <c r="AP97" s="12">
        <f t="shared" si="250"/>
        <v>0.0109324208725406</v>
      </c>
      <c r="AQ97" s="12">
        <f t="shared" si="250"/>
        <v>0.0113183856502242</v>
      </c>
      <c r="AR97" s="12">
        <f t="shared" si="250"/>
        <v>0.0115996967399545</v>
      </c>
      <c r="AS97" s="12">
        <f t="shared" si="250"/>
        <v>0.0118030952824912</v>
      </c>
      <c r="AT97" s="12">
        <f t="shared" si="250"/>
        <v>0.00807148231753198</v>
      </c>
      <c r="AU97" s="12">
        <f t="shared" si="250"/>
        <v>0.00948620445702159</v>
      </c>
    </row>
    <row r="98" spans="21:47">
      <c r="U98" s="14"/>
      <c r="V98" s="30" t="s">
        <v>357</v>
      </c>
      <c r="W98" s="12">
        <f t="shared" ref="W98:AC98" si="251">W31</f>
        <v>0.0310257705912077</v>
      </c>
      <c r="X98" s="12">
        <f t="shared" si="251"/>
        <v>0.0298716852010265</v>
      </c>
      <c r="Y98" s="12">
        <f t="shared" si="251"/>
        <v>0.0309237668161435</v>
      </c>
      <c r="Z98" s="12">
        <f t="shared" si="251"/>
        <v>0.0319749810462472</v>
      </c>
      <c r="AA98" s="12">
        <f t="shared" si="251"/>
        <v>0.0325750512772702</v>
      </c>
      <c r="AB98" s="12">
        <f t="shared" si="251"/>
        <v>0.0259443190368698</v>
      </c>
      <c r="AC98" s="12">
        <f t="shared" si="251"/>
        <v>0.0304916873010258</v>
      </c>
      <c r="AF98" s="12">
        <f t="shared" ref="AF98:AL98" si="252">AF31</f>
        <v>0.0310257705912077</v>
      </c>
      <c r="AG98" s="12">
        <f t="shared" si="252"/>
        <v>0.0298716852010265</v>
      </c>
      <c r="AH98" s="12">
        <f t="shared" si="252"/>
        <v>0.0309237668161435</v>
      </c>
      <c r="AI98" s="12">
        <f t="shared" si="252"/>
        <v>0.0319749810462472</v>
      </c>
      <c r="AJ98" s="12">
        <f t="shared" si="252"/>
        <v>0.0325750512772702</v>
      </c>
      <c r="AK98" s="12">
        <f t="shared" si="252"/>
        <v>0.0298359668924003</v>
      </c>
      <c r="AL98" s="12">
        <f t="shared" si="252"/>
        <v>0.0350654403961797</v>
      </c>
      <c r="AO98" s="12">
        <f t="shared" ref="AO98:AU98" si="253">AO31</f>
        <v>0.0310257705912077</v>
      </c>
      <c r="AP98" s="12">
        <f t="shared" si="253"/>
        <v>0.0298716852010265</v>
      </c>
      <c r="AQ98" s="12">
        <f t="shared" si="253"/>
        <v>0.0309237668161435</v>
      </c>
      <c r="AR98" s="12">
        <f t="shared" si="253"/>
        <v>0.0319749810462472</v>
      </c>
      <c r="AS98" s="12">
        <f t="shared" si="253"/>
        <v>0.0325750512772702</v>
      </c>
      <c r="AT98" s="12">
        <f t="shared" si="253"/>
        <v>0.0220526711813394</v>
      </c>
      <c r="AU98" s="12">
        <f t="shared" si="253"/>
        <v>0.0259179342058719</v>
      </c>
    </row>
    <row r="99" ht="15.5" spans="21:47">
      <c r="U99" s="14"/>
      <c r="V99" s="29" t="s">
        <v>358</v>
      </c>
      <c r="W99" s="12">
        <f t="shared" ref="W99:AC99" si="254">W32</f>
        <v>0.0942732019538488</v>
      </c>
      <c r="X99" s="12">
        <f t="shared" si="254"/>
        <v>0.0913601368691189</v>
      </c>
      <c r="Y99" s="12">
        <f t="shared" si="254"/>
        <v>0.0947085201793722</v>
      </c>
      <c r="Z99" s="12">
        <f t="shared" si="254"/>
        <v>0.0959249431387415</v>
      </c>
      <c r="AA99" s="12">
        <f t="shared" si="254"/>
        <v>0.100111877680403</v>
      </c>
      <c r="AB99" s="12">
        <f t="shared" si="254"/>
        <v>0.0794582392776524</v>
      </c>
      <c r="AC99" s="12">
        <f t="shared" si="254"/>
        <v>0.0933852140077821</v>
      </c>
      <c r="AD99" s="15"/>
      <c r="AE99" s="15"/>
      <c r="AF99" s="12">
        <f t="shared" ref="AF99:AL99" si="255">AF32</f>
        <v>0.0942732019538488</v>
      </c>
      <c r="AG99" s="12">
        <f t="shared" si="255"/>
        <v>0.0913601368691189</v>
      </c>
      <c r="AH99" s="12">
        <f t="shared" si="255"/>
        <v>0.0947085201793722</v>
      </c>
      <c r="AI99" s="12">
        <f t="shared" si="255"/>
        <v>0.0959249431387415</v>
      </c>
      <c r="AJ99" s="12">
        <f t="shared" si="255"/>
        <v>0.100111877680403</v>
      </c>
      <c r="AK99" s="12">
        <f t="shared" si="255"/>
        <v>0.0913769751693002</v>
      </c>
      <c r="AL99" s="12">
        <f t="shared" si="255"/>
        <v>0.107392996108949</v>
      </c>
      <c r="AM99" s="15"/>
      <c r="AN99" s="15"/>
      <c r="AO99" s="12">
        <f t="shared" ref="AO99:AU99" si="256">AO32</f>
        <v>0.0942732019538488</v>
      </c>
      <c r="AP99" s="12">
        <f t="shared" si="256"/>
        <v>0.0913601368691189</v>
      </c>
      <c r="AQ99" s="12">
        <f t="shared" si="256"/>
        <v>0.0947085201793722</v>
      </c>
      <c r="AR99" s="12">
        <f t="shared" si="256"/>
        <v>0.0959249431387415</v>
      </c>
      <c r="AS99" s="12">
        <f t="shared" si="256"/>
        <v>0.100111877680403</v>
      </c>
      <c r="AT99" s="12">
        <f t="shared" si="256"/>
        <v>0.0675395033860045</v>
      </c>
      <c r="AU99" s="12">
        <f t="shared" si="256"/>
        <v>0.0793774319066148</v>
      </c>
    </row>
    <row r="100" ht="15.5" spans="21:47">
      <c r="U100" s="14"/>
      <c r="V100" s="29" t="s">
        <v>359</v>
      </c>
      <c r="W100" s="12">
        <f t="shared" ref="W100:AC100" si="257">W33</f>
        <v>0.0137106282634327</v>
      </c>
      <c r="X100" s="12">
        <f t="shared" si="257"/>
        <v>0.0135158254918734</v>
      </c>
      <c r="Y100" s="12">
        <f t="shared" si="257"/>
        <v>0.0140807174887892</v>
      </c>
      <c r="Z100" s="12">
        <f t="shared" si="257"/>
        <v>0.0144806671721001</v>
      </c>
      <c r="AA100" s="12">
        <f t="shared" si="257"/>
        <v>0.0146746224128286</v>
      </c>
      <c r="AB100" s="12">
        <f t="shared" si="257"/>
        <v>0.0118133935289691</v>
      </c>
      <c r="AC100" s="12">
        <f t="shared" si="257"/>
        <v>0.0138839759462328</v>
      </c>
      <c r="AD100" s="15"/>
      <c r="AE100" s="15"/>
      <c r="AF100" s="12">
        <f t="shared" ref="AF100:AL100" si="258">AF33</f>
        <v>0.0137106282634327</v>
      </c>
      <c r="AG100" s="12">
        <f t="shared" si="258"/>
        <v>0.0135158254918734</v>
      </c>
      <c r="AH100" s="12">
        <f t="shared" si="258"/>
        <v>0.0140807174887892</v>
      </c>
      <c r="AI100" s="12">
        <f t="shared" si="258"/>
        <v>0.0144806671721001</v>
      </c>
      <c r="AJ100" s="12">
        <f t="shared" si="258"/>
        <v>0.0146746224128286</v>
      </c>
      <c r="AK100" s="12">
        <f t="shared" si="258"/>
        <v>0.0135854025583145</v>
      </c>
      <c r="AL100" s="12">
        <f t="shared" si="258"/>
        <v>0.0159665723381677</v>
      </c>
      <c r="AM100" s="15"/>
      <c r="AN100" s="15"/>
      <c r="AO100" s="12">
        <f t="shared" ref="AO100:AU100" si="259">AO33</f>
        <v>0.0137106282634327</v>
      </c>
      <c r="AP100" s="12">
        <f t="shared" si="259"/>
        <v>0.0135158254918734</v>
      </c>
      <c r="AQ100" s="12">
        <f t="shared" si="259"/>
        <v>0.0140807174887892</v>
      </c>
      <c r="AR100" s="12">
        <f t="shared" si="259"/>
        <v>0.0144806671721001</v>
      </c>
      <c r="AS100" s="12">
        <f t="shared" si="259"/>
        <v>0.0146746224128286</v>
      </c>
      <c r="AT100" s="12">
        <f t="shared" si="259"/>
        <v>0.0100413844996238</v>
      </c>
      <c r="AU100" s="12">
        <f t="shared" si="259"/>
        <v>0.0118013795542978</v>
      </c>
    </row>
    <row r="101" ht="15.5" spans="21:47">
      <c r="U101" s="14" t="s">
        <v>360</v>
      </c>
      <c r="V101" s="29" t="s">
        <v>121</v>
      </c>
      <c r="W101" s="15">
        <f t="shared" ref="W101:AC101" si="260">W34-W35</f>
        <v>0.011840997136601</v>
      </c>
      <c r="X101" s="15">
        <f t="shared" si="260"/>
        <v>0.011377245508982</v>
      </c>
      <c r="Y101" s="15">
        <f t="shared" si="260"/>
        <v>0.0117668161434977</v>
      </c>
      <c r="Z101" s="15">
        <f t="shared" si="260"/>
        <v>0.0120924943138741</v>
      </c>
      <c r="AA101" s="15">
        <f t="shared" si="260"/>
        <v>0.0122878985642364</v>
      </c>
      <c r="AB101" s="15">
        <f t="shared" si="260"/>
        <v>0.00987208427389014</v>
      </c>
      <c r="AC101" s="15">
        <f t="shared" si="260"/>
        <v>0.0116024053767244</v>
      </c>
      <c r="AD101" s="15"/>
      <c r="AE101" s="15"/>
      <c r="AF101" s="15">
        <f t="shared" ref="AF101:AL101" si="261">AF34-AF35</f>
        <v>0.011840997136601</v>
      </c>
      <c r="AG101" s="15">
        <f t="shared" si="261"/>
        <v>0.011377245508982</v>
      </c>
      <c r="AH101" s="15">
        <f t="shared" si="261"/>
        <v>0.0117668161434977</v>
      </c>
      <c r="AI101" s="15">
        <f t="shared" si="261"/>
        <v>0.0120924943138741</v>
      </c>
      <c r="AJ101" s="15">
        <f t="shared" si="261"/>
        <v>0.0122878985642364</v>
      </c>
      <c r="AK101" s="15">
        <f t="shared" si="261"/>
        <v>0.0113528969149737</v>
      </c>
      <c r="AL101" s="15">
        <f t="shared" si="261"/>
        <v>0.0133427661832331</v>
      </c>
      <c r="AM101" s="15"/>
      <c r="AN101" s="15"/>
      <c r="AO101" s="15">
        <f t="shared" ref="AO101:AU101" si="262">AO34-AO35</f>
        <v>0.011840997136601</v>
      </c>
      <c r="AP101" s="15">
        <f t="shared" si="262"/>
        <v>0.011377245508982</v>
      </c>
      <c r="AQ101" s="15">
        <f t="shared" si="262"/>
        <v>0.0117668161434977</v>
      </c>
      <c r="AR101" s="15">
        <f t="shared" si="262"/>
        <v>0.0120924943138741</v>
      </c>
      <c r="AS101" s="15">
        <f t="shared" si="262"/>
        <v>0.0122878985642364</v>
      </c>
      <c r="AT101" s="15">
        <f t="shared" si="262"/>
        <v>0.00839127163280662</v>
      </c>
      <c r="AU101" s="15">
        <f t="shared" si="262"/>
        <v>0.00986204457021578</v>
      </c>
    </row>
    <row r="102" ht="15.5" spans="21:47">
      <c r="U102" s="14"/>
      <c r="V102" s="30" t="s">
        <v>357</v>
      </c>
      <c r="W102" s="15">
        <f t="shared" ref="W102:AC102" si="263">W36</f>
        <v>0.0404413003200269</v>
      </c>
      <c r="X102" s="15">
        <f t="shared" si="263"/>
        <v>0.0389734816082122</v>
      </c>
      <c r="Y102" s="15">
        <f t="shared" si="263"/>
        <v>0.0403408071748879</v>
      </c>
      <c r="Z102" s="15">
        <f t="shared" si="263"/>
        <v>0.0420204700530705</v>
      </c>
      <c r="AA102" s="15">
        <f t="shared" si="263"/>
        <v>0.0428118590341227</v>
      </c>
      <c r="AB102" s="15">
        <f t="shared" si="263"/>
        <v>0.0338449962377728</v>
      </c>
      <c r="AC102" s="15">
        <f t="shared" si="263"/>
        <v>0.0397771489211178</v>
      </c>
      <c r="AD102" s="15"/>
      <c r="AE102" s="15"/>
      <c r="AF102" s="15">
        <f t="shared" ref="AF102:AL102" si="264">AF36</f>
        <v>0.0404413003200269</v>
      </c>
      <c r="AG102" s="15">
        <f t="shared" si="264"/>
        <v>0.0389734816082122</v>
      </c>
      <c r="AH102" s="15">
        <f t="shared" si="264"/>
        <v>0.0403408071748879</v>
      </c>
      <c r="AI102" s="15">
        <f t="shared" si="264"/>
        <v>0.0420204700530705</v>
      </c>
      <c r="AJ102" s="15">
        <f t="shared" si="264"/>
        <v>0.0428118590341227</v>
      </c>
      <c r="AK102" s="15">
        <f t="shared" si="264"/>
        <v>0.0389217456734387</v>
      </c>
      <c r="AL102" s="15">
        <f t="shared" si="264"/>
        <v>0.0457437212592855</v>
      </c>
      <c r="AM102" s="15"/>
      <c r="AN102" s="15"/>
      <c r="AO102" s="15">
        <f t="shared" ref="AO102:AU102" si="265">AO36</f>
        <v>0.0404413003200269</v>
      </c>
      <c r="AP102" s="15">
        <f t="shared" si="265"/>
        <v>0.0389734816082122</v>
      </c>
      <c r="AQ102" s="15">
        <f t="shared" si="265"/>
        <v>0.0403408071748879</v>
      </c>
      <c r="AR102" s="15">
        <f t="shared" si="265"/>
        <v>0.0420204700530705</v>
      </c>
      <c r="AS102" s="15">
        <f t="shared" si="265"/>
        <v>0.0428118590341227</v>
      </c>
      <c r="AT102" s="15">
        <f t="shared" si="265"/>
        <v>0.0287682468021069</v>
      </c>
      <c r="AU102" s="15">
        <f t="shared" si="265"/>
        <v>0.0338105765829501</v>
      </c>
    </row>
    <row r="103" ht="15.5" spans="21:47">
      <c r="U103" s="14"/>
      <c r="V103" s="29" t="s">
        <v>358</v>
      </c>
      <c r="W103" s="15">
        <f t="shared" ref="W103:AC103" si="266">W37</f>
        <v>0.0870304867778339</v>
      </c>
      <c r="X103" s="15">
        <f t="shared" si="266"/>
        <v>0.0843627031650984</v>
      </c>
      <c r="Y103" s="15">
        <f t="shared" si="266"/>
        <v>0.0874439461883408</v>
      </c>
      <c r="Z103" s="15">
        <f t="shared" si="266"/>
        <v>0.0881918119787718</v>
      </c>
      <c r="AA103" s="15">
        <f t="shared" si="266"/>
        <v>0.0922245012120082</v>
      </c>
      <c r="AB103" s="15">
        <f t="shared" si="266"/>
        <v>0.0733634311512415</v>
      </c>
      <c r="AC103" s="15">
        <f t="shared" si="266"/>
        <v>0.0862221436151397</v>
      </c>
      <c r="AD103" s="15"/>
      <c r="AE103" s="15"/>
      <c r="AF103" s="15">
        <f t="shared" ref="AF103:AL103" si="267">AF37</f>
        <v>0.0870304867778339</v>
      </c>
      <c r="AG103" s="15">
        <f t="shared" si="267"/>
        <v>0.0843627031650984</v>
      </c>
      <c r="AH103" s="15">
        <f t="shared" si="267"/>
        <v>0.0874439461883408</v>
      </c>
      <c r="AI103" s="15">
        <f t="shared" si="267"/>
        <v>0.0881918119787718</v>
      </c>
      <c r="AJ103" s="15">
        <f t="shared" si="267"/>
        <v>0.0922245012120082</v>
      </c>
      <c r="AK103" s="15">
        <f t="shared" si="267"/>
        <v>0.0843679458239278</v>
      </c>
      <c r="AL103" s="15">
        <f t="shared" si="267"/>
        <v>0.0991554651574107</v>
      </c>
      <c r="AM103" s="15"/>
      <c r="AN103" s="15"/>
      <c r="AO103" s="15">
        <f t="shared" ref="AO103:AU103" si="268">AO37</f>
        <v>0.0870304867778339</v>
      </c>
      <c r="AP103" s="15">
        <f t="shared" si="268"/>
        <v>0.0843627031650984</v>
      </c>
      <c r="AQ103" s="15">
        <f t="shared" si="268"/>
        <v>0.0874439461883408</v>
      </c>
      <c r="AR103" s="15">
        <f t="shared" si="268"/>
        <v>0.0881918119787718</v>
      </c>
      <c r="AS103" s="15">
        <f t="shared" si="268"/>
        <v>0.0922245012120082</v>
      </c>
      <c r="AT103" s="15">
        <f t="shared" si="268"/>
        <v>0.0623589164785553</v>
      </c>
      <c r="AU103" s="15">
        <f t="shared" si="268"/>
        <v>0.0732888220728688</v>
      </c>
    </row>
    <row r="104" ht="15.5" spans="21:47">
      <c r="U104" s="14"/>
      <c r="V104" s="29" t="s">
        <v>359</v>
      </c>
      <c r="W104" s="15">
        <f t="shared" ref="W104:AC104" si="269">W38</f>
        <v>0.0133569142664645</v>
      </c>
      <c r="X104" s="15">
        <f t="shared" si="269"/>
        <v>0.0131907613344739</v>
      </c>
      <c r="Y104" s="15">
        <f t="shared" si="269"/>
        <v>0.0137399103139013</v>
      </c>
      <c r="Z104" s="15">
        <f t="shared" si="269"/>
        <v>0.0141015921152388</v>
      </c>
      <c r="AA104" s="15">
        <f t="shared" si="269"/>
        <v>0.0143016968114861</v>
      </c>
      <c r="AB104" s="15">
        <f t="shared" si="269"/>
        <v>0.0115274642588412</v>
      </c>
      <c r="AC104" s="15">
        <f t="shared" si="269"/>
        <v>0.0135479306685532</v>
      </c>
      <c r="AD104" s="15"/>
      <c r="AE104" s="15"/>
      <c r="AF104" s="15">
        <f t="shared" ref="AF104:AL104" si="270">AF38</f>
        <v>0.0133569142664645</v>
      </c>
      <c r="AG104" s="15">
        <f t="shared" si="270"/>
        <v>0.0131907613344739</v>
      </c>
      <c r="AH104" s="15">
        <f t="shared" si="270"/>
        <v>0.0137399103139013</v>
      </c>
      <c r="AI104" s="15">
        <f t="shared" si="270"/>
        <v>0.0141015921152388</v>
      </c>
      <c r="AJ104" s="15">
        <f t="shared" si="270"/>
        <v>0.0143016968114861</v>
      </c>
      <c r="AK104" s="15">
        <f t="shared" si="270"/>
        <v>0.0132565838976674</v>
      </c>
      <c r="AL104" s="15">
        <f t="shared" si="270"/>
        <v>0.0155801202688362</v>
      </c>
      <c r="AM104" s="15"/>
      <c r="AN104" s="15"/>
      <c r="AO104" s="15">
        <f t="shared" ref="AO104:AU104" si="271">AO38</f>
        <v>0.0133569142664645</v>
      </c>
      <c r="AP104" s="15">
        <f t="shared" si="271"/>
        <v>0.0131907613344739</v>
      </c>
      <c r="AQ104" s="15">
        <f t="shared" si="271"/>
        <v>0.0137399103139013</v>
      </c>
      <c r="AR104" s="15">
        <f t="shared" si="271"/>
        <v>0.0141015921152388</v>
      </c>
      <c r="AS104" s="15">
        <f t="shared" si="271"/>
        <v>0.0143016968114861</v>
      </c>
      <c r="AT104" s="15">
        <f t="shared" si="271"/>
        <v>0.00979834462001505</v>
      </c>
      <c r="AU104" s="15">
        <f t="shared" si="271"/>
        <v>0.0115157410682703</v>
      </c>
    </row>
    <row r="105" ht="15.5" spans="21:47">
      <c r="U105" s="14" t="s">
        <v>360</v>
      </c>
      <c r="V105" s="29" t="s">
        <v>121</v>
      </c>
      <c r="W105" s="31">
        <f t="shared" ref="W105:AC105" si="272">W101</f>
        <v>0.011840997136601</v>
      </c>
      <c r="X105" s="31">
        <f t="shared" si="272"/>
        <v>0.011377245508982</v>
      </c>
      <c r="Y105" s="31">
        <f t="shared" si="272"/>
        <v>0.0117668161434977</v>
      </c>
      <c r="Z105" s="31">
        <f t="shared" si="272"/>
        <v>0.0120924943138741</v>
      </c>
      <c r="AA105" s="31">
        <f t="shared" si="272"/>
        <v>0.0122878985642364</v>
      </c>
      <c r="AB105" s="31">
        <f t="shared" si="272"/>
        <v>0.00987208427389014</v>
      </c>
      <c r="AC105" s="31">
        <f t="shared" si="272"/>
        <v>0.0116024053767244</v>
      </c>
      <c r="AD105" s="15"/>
      <c r="AE105" s="15"/>
      <c r="AF105" s="31">
        <f t="shared" ref="AF105:AL105" si="273">AF101</f>
        <v>0.011840997136601</v>
      </c>
      <c r="AG105" s="31">
        <f t="shared" si="273"/>
        <v>0.011377245508982</v>
      </c>
      <c r="AH105" s="31">
        <f t="shared" si="273"/>
        <v>0.0117668161434977</v>
      </c>
      <c r="AI105" s="31">
        <f t="shared" si="273"/>
        <v>0.0120924943138741</v>
      </c>
      <c r="AJ105" s="31">
        <f t="shared" si="273"/>
        <v>0.0122878985642364</v>
      </c>
      <c r="AK105" s="31">
        <f t="shared" si="273"/>
        <v>0.0113528969149737</v>
      </c>
      <c r="AL105" s="31">
        <f t="shared" si="273"/>
        <v>0.0133427661832331</v>
      </c>
      <c r="AM105" s="15"/>
      <c r="AN105" s="15"/>
      <c r="AO105" s="31">
        <f t="shared" ref="AO105:AU105" si="274">AO101</f>
        <v>0.011840997136601</v>
      </c>
      <c r="AP105" s="31">
        <f t="shared" si="274"/>
        <v>0.011377245508982</v>
      </c>
      <c r="AQ105" s="31">
        <f t="shared" si="274"/>
        <v>0.0117668161434977</v>
      </c>
      <c r="AR105" s="31">
        <f t="shared" si="274"/>
        <v>0.0120924943138741</v>
      </c>
      <c r="AS105" s="31">
        <f t="shared" si="274"/>
        <v>0.0122878985642364</v>
      </c>
      <c r="AT105" s="31">
        <f t="shared" si="274"/>
        <v>0.00839127163280662</v>
      </c>
      <c r="AU105" s="31">
        <f t="shared" si="274"/>
        <v>0.00986204457021578</v>
      </c>
    </row>
    <row r="106" ht="15.5" spans="21:47">
      <c r="U106" s="14"/>
      <c r="V106" s="30" t="s">
        <v>357</v>
      </c>
      <c r="W106" s="31">
        <f t="shared" ref="W106:AC106" si="275">W102</f>
        <v>0.0404413003200269</v>
      </c>
      <c r="X106" s="31">
        <f t="shared" si="275"/>
        <v>0.0389734816082122</v>
      </c>
      <c r="Y106" s="31">
        <f t="shared" si="275"/>
        <v>0.0403408071748879</v>
      </c>
      <c r="Z106" s="31">
        <f t="shared" si="275"/>
        <v>0.0420204700530705</v>
      </c>
      <c r="AA106" s="31">
        <f t="shared" si="275"/>
        <v>0.0428118590341227</v>
      </c>
      <c r="AB106" s="31">
        <f t="shared" si="275"/>
        <v>0.0338449962377728</v>
      </c>
      <c r="AC106" s="31">
        <f t="shared" si="275"/>
        <v>0.0397771489211178</v>
      </c>
      <c r="AD106" s="15"/>
      <c r="AE106" s="15"/>
      <c r="AF106" s="31">
        <f t="shared" ref="AF106:AL106" si="276">AF102</f>
        <v>0.0404413003200269</v>
      </c>
      <c r="AG106" s="31">
        <f t="shared" si="276"/>
        <v>0.0389734816082122</v>
      </c>
      <c r="AH106" s="31">
        <f t="shared" si="276"/>
        <v>0.0403408071748879</v>
      </c>
      <c r="AI106" s="31">
        <f t="shared" si="276"/>
        <v>0.0420204700530705</v>
      </c>
      <c r="AJ106" s="31">
        <f t="shared" si="276"/>
        <v>0.0428118590341227</v>
      </c>
      <c r="AK106" s="31">
        <f t="shared" si="276"/>
        <v>0.0389217456734387</v>
      </c>
      <c r="AL106" s="31">
        <f t="shared" si="276"/>
        <v>0.0457437212592855</v>
      </c>
      <c r="AM106" s="15"/>
      <c r="AN106" s="15"/>
      <c r="AO106" s="31">
        <f t="shared" ref="AO106:AU106" si="277">AO102</f>
        <v>0.0404413003200269</v>
      </c>
      <c r="AP106" s="31">
        <f t="shared" si="277"/>
        <v>0.0389734816082122</v>
      </c>
      <c r="AQ106" s="31">
        <f t="shared" si="277"/>
        <v>0.0403408071748879</v>
      </c>
      <c r="AR106" s="31">
        <f t="shared" si="277"/>
        <v>0.0420204700530705</v>
      </c>
      <c r="AS106" s="31">
        <f t="shared" si="277"/>
        <v>0.0428118590341227</v>
      </c>
      <c r="AT106" s="31">
        <f t="shared" si="277"/>
        <v>0.0287682468021069</v>
      </c>
      <c r="AU106" s="31">
        <f t="shared" si="277"/>
        <v>0.0338105765829501</v>
      </c>
    </row>
    <row r="107" ht="15.5" spans="21:47">
      <c r="U107" s="14"/>
      <c r="V107" s="29" t="s">
        <v>358</v>
      </c>
      <c r="W107" s="31">
        <f t="shared" ref="W107:AC107" si="278">W103</f>
        <v>0.0870304867778339</v>
      </c>
      <c r="X107" s="31">
        <f t="shared" si="278"/>
        <v>0.0843627031650984</v>
      </c>
      <c r="Y107" s="31">
        <f t="shared" si="278"/>
        <v>0.0874439461883408</v>
      </c>
      <c r="Z107" s="31">
        <f t="shared" si="278"/>
        <v>0.0881918119787718</v>
      </c>
      <c r="AA107" s="31">
        <f t="shared" si="278"/>
        <v>0.0922245012120082</v>
      </c>
      <c r="AB107" s="31">
        <f t="shared" si="278"/>
        <v>0.0733634311512415</v>
      </c>
      <c r="AC107" s="31">
        <f t="shared" si="278"/>
        <v>0.0862221436151397</v>
      </c>
      <c r="AD107" s="15"/>
      <c r="AE107" s="15"/>
      <c r="AF107" s="31">
        <f t="shared" ref="AF107:AL107" si="279">AF103</f>
        <v>0.0870304867778339</v>
      </c>
      <c r="AG107" s="31">
        <f t="shared" si="279"/>
        <v>0.0843627031650984</v>
      </c>
      <c r="AH107" s="31">
        <f t="shared" si="279"/>
        <v>0.0874439461883408</v>
      </c>
      <c r="AI107" s="31">
        <f t="shared" si="279"/>
        <v>0.0881918119787718</v>
      </c>
      <c r="AJ107" s="31">
        <f t="shared" si="279"/>
        <v>0.0922245012120082</v>
      </c>
      <c r="AK107" s="31">
        <f t="shared" si="279"/>
        <v>0.0843679458239278</v>
      </c>
      <c r="AL107" s="31">
        <f t="shared" si="279"/>
        <v>0.0991554651574107</v>
      </c>
      <c r="AM107" s="15"/>
      <c r="AN107" s="15"/>
      <c r="AO107" s="31">
        <f t="shared" ref="AO107:AU107" si="280">AO103</f>
        <v>0.0870304867778339</v>
      </c>
      <c r="AP107" s="31">
        <f t="shared" si="280"/>
        <v>0.0843627031650984</v>
      </c>
      <c r="AQ107" s="31">
        <f t="shared" si="280"/>
        <v>0.0874439461883408</v>
      </c>
      <c r="AR107" s="31">
        <f t="shared" si="280"/>
        <v>0.0881918119787718</v>
      </c>
      <c r="AS107" s="31">
        <f t="shared" si="280"/>
        <v>0.0922245012120082</v>
      </c>
      <c r="AT107" s="31">
        <f t="shared" si="280"/>
        <v>0.0623589164785553</v>
      </c>
      <c r="AU107" s="31">
        <f t="shared" si="280"/>
        <v>0.0732888220728688</v>
      </c>
    </row>
    <row r="108" ht="15.5" spans="21:47">
      <c r="U108" s="14"/>
      <c r="V108" s="29" t="s">
        <v>359</v>
      </c>
      <c r="W108" s="31">
        <f t="shared" ref="W108:AC108" si="281">W104</f>
        <v>0.0133569142664645</v>
      </c>
      <c r="X108" s="31">
        <f t="shared" si="281"/>
        <v>0.0131907613344739</v>
      </c>
      <c r="Y108" s="31">
        <f t="shared" si="281"/>
        <v>0.0137399103139013</v>
      </c>
      <c r="Z108" s="31">
        <f t="shared" si="281"/>
        <v>0.0141015921152388</v>
      </c>
      <c r="AA108" s="31">
        <f t="shared" si="281"/>
        <v>0.0143016968114861</v>
      </c>
      <c r="AB108" s="31">
        <f t="shared" si="281"/>
        <v>0.0115274642588412</v>
      </c>
      <c r="AC108" s="31">
        <f t="shared" si="281"/>
        <v>0.0135479306685532</v>
      </c>
      <c r="AD108" s="15"/>
      <c r="AE108" s="15"/>
      <c r="AF108" s="31">
        <f t="shared" ref="AF108:AL108" si="282">AF104</f>
        <v>0.0133569142664645</v>
      </c>
      <c r="AG108" s="31">
        <f t="shared" si="282"/>
        <v>0.0131907613344739</v>
      </c>
      <c r="AH108" s="31">
        <f t="shared" si="282"/>
        <v>0.0137399103139013</v>
      </c>
      <c r="AI108" s="31">
        <f t="shared" si="282"/>
        <v>0.0141015921152388</v>
      </c>
      <c r="AJ108" s="31">
        <f t="shared" si="282"/>
        <v>0.0143016968114861</v>
      </c>
      <c r="AK108" s="31">
        <f t="shared" si="282"/>
        <v>0.0132565838976674</v>
      </c>
      <c r="AL108" s="31">
        <f t="shared" si="282"/>
        <v>0.0155801202688362</v>
      </c>
      <c r="AM108" s="15"/>
      <c r="AN108" s="15"/>
      <c r="AO108" s="31">
        <f t="shared" ref="AO108:AU108" si="283">AO104</f>
        <v>0.0133569142664645</v>
      </c>
      <c r="AP108" s="31">
        <f t="shared" si="283"/>
        <v>0.0131907613344739</v>
      </c>
      <c r="AQ108" s="31">
        <f t="shared" si="283"/>
        <v>0.0137399103139013</v>
      </c>
      <c r="AR108" s="31">
        <f t="shared" si="283"/>
        <v>0.0141015921152388</v>
      </c>
      <c r="AS108" s="31">
        <f t="shared" si="283"/>
        <v>0.0143016968114861</v>
      </c>
      <c r="AT108" s="31">
        <f t="shared" si="283"/>
        <v>0.00979834462001505</v>
      </c>
      <c r="AU108" s="31">
        <f t="shared" si="283"/>
        <v>0.0115157410682703</v>
      </c>
    </row>
    <row r="112" ht="15.5" spans="21:47">
      <c r="U112" s="15"/>
      <c r="V112" s="15"/>
      <c r="W112" s="15" t="s">
        <v>326</v>
      </c>
      <c r="X112" s="15" t="s">
        <v>327</v>
      </c>
      <c r="Y112" s="19" t="s">
        <v>328</v>
      </c>
      <c r="Z112" s="15" t="s">
        <v>329</v>
      </c>
      <c r="AA112" s="15" t="s">
        <v>330</v>
      </c>
      <c r="AB112" s="21" t="s">
        <v>331</v>
      </c>
      <c r="AC112" s="21" t="s">
        <v>332</v>
      </c>
      <c r="AD112" s="15"/>
      <c r="AE112" s="15"/>
      <c r="AF112" s="15" t="s">
        <v>326</v>
      </c>
      <c r="AG112" s="15" t="s">
        <v>327</v>
      </c>
      <c r="AH112" s="19" t="s">
        <v>328</v>
      </c>
      <c r="AI112" s="15" t="s">
        <v>329</v>
      </c>
      <c r="AJ112" s="15" t="s">
        <v>330</v>
      </c>
      <c r="AK112" s="21" t="s">
        <v>331</v>
      </c>
      <c r="AL112" s="21" t="s">
        <v>332</v>
      </c>
      <c r="AM112" s="15"/>
      <c r="AN112" s="15"/>
      <c r="AO112" s="15" t="s">
        <v>326</v>
      </c>
      <c r="AP112" s="15" t="s">
        <v>327</v>
      </c>
      <c r="AQ112" s="19" t="s">
        <v>328</v>
      </c>
      <c r="AR112" s="15" t="s">
        <v>329</v>
      </c>
      <c r="AS112" s="15" t="s">
        <v>330</v>
      </c>
      <c r="AT112" s="21" t="s">
        <v>331</v>
      </c>
      <c r="AU112" s="21" t="s">
        <v>332</v>
      </c>
    </row>
    <row r="113" spans="21:47">
      <c r="U113" s="14" t="s">
        <v>333</v>
      </c>
      <c r="V113" s="29" t="s">
        <v>121</v>
      </c>
      <c r="W113" s="12">
        <f t="shared" ref="W113:AC113" si="284">W44-W45</f>
        <v>0.00788276907529056</v>
      </c>
      <c r="X113" s="12">
        <f t="shared" si="284"/>
        <v>0.00764756201881948</v>
      </c>
      <c r="Y113" s="12">
        <f t="shared" si="284"/>
        <v>0.00794618834080718</v>
      </c>
      <c r="Z113" s="12">
        <f t="shared" si="284"/>
        <v>0.00794162244124336</v>
      </c>
      <c r="AA113" s="12">
        <f t="shared" si="284"/>
        <v>0.00801790042886445</v>
      </c>
      <c r="AB113" s="12">
        <f t="shared" si="284"/>
        <v>0.00666666666666667</v>
      </c>
      <c r="AC113" s="12">
        <f t="shared" si="284"/>
        <v>0.00783516094800141</v>
      </c>
      <c r="AF113" s="12">
        <f t="shared" ref="AF113:AL113" si="285">AF44-AF45</f>
        <v>0.00788276907529056</v>
      </c>
      <c r="AG113" s="12">
        <f t="shared" si="285"/>
        <v>0.00764756201881948</v>
      </c>
      <c r="AH113" s="12">
        <f t="shared" si="285"/>
        <v>0.00794618834080718</v>
      </c>
      <c r="AI113" s="12">
        <f t="shared" si="285"/>
        <v>0.00794162244124336</v>
      </c>
      <c r="AJ113" s="12">
        <f t="shared" si="285"/>
        <v>0.00801790042886445</v>
      </c>
      <c r="AK113" s="12">
        <f t="shared" si="285"/>
        <v>0.00766666666666667</v>
      </c>
      <c r="AL113" s="12">
        <f t="shared" si="285"/>
        <v>0.00901043509020162</v>
      </c>
      <c r="AO113" s="12">
        <f t="shared" ref="AO113:AU113" si="286">AO44-AO45</f>
        <v>0.00788276907529056</v>
      </c>
      <c r="AP113" s="12">
        <f t="shared" si="286"/>
        <v>0.00764756201881948</v>
      </c>
      <c r="AQ113" s="12">
        <f t="shared" si="286"/>
        <v>0.00794618834080718</v>
      </c>
      <c r="AR113" s="12">
        <f t="shared" si="286"/>
        <v>0.00794162244124336</v>
      </c>
      <c r="AS113" s="12">
        <f t="shared" si="286"/>
        <v>0.00801790042886445</v>
      </c>
      <c r="AT113" s="12">
        <f t="shared" si="286"/>
        <v>0.00566666666666667</v>
      </c>
      <c r="AU113" s="12">
        <f t="shared" si="286"/>
        <v>0.00665988680580119</v>
      </c>
    </row>
    <row r="114" spans="21:47">
      <c r="U114" s="14"/>
      <c r="V114" s="30" t="s">
        <v>357</v>
      </c>
      <c r="W114" s="12">
        <f t="shared" ref="W114:AC114" si="287">W46</f>
        <v>0.02011116725619</v>
      </c>
      <c r="X114" s="12">
        <f t="shared" si="287"/>
        <v>0.0195038494439692</v>
      </c>
      <c r="Y114" s="12">
        <f t="shared" si="287"/>
        <v>0.0202152466367713</v>
      </c>
      <c r="Z114" s="12">
        <f t="shared" si="287"/>
        <v>0.0201099317664898</v>
      </c>
      <c r="AA114" s="12">
        <f t="shared" si="287"/>
        <v>0.0203990303934365</v>
      </c>
      <c r="AB114" s="12">
        <f t="shared" si="287"/>
        <v>0.0169601203912716</v>
      </c>
      <c r="AC114" s="12">
        <f t="shared" si="287"/>
        <v>0.0199327909444641</v>
      </c>
      <c r="AF114" s="12">
        <f t="shared" ref="AF114:AL114" si="288">AF46</f>
        <v>0.02011116725619</v>
      </c>
      <c r="AG114" s="12">
        <f t="shared" si="288"/>
        <v>0.0195038494439692</v>
      </c>
      <c r="AH114" s="12">
        <f t="shared" si="288"/>
        <v>0.0202152466367713</v>
      </c>
      <c r="AI114" s="12">
        <f t="shared" si="288"/>
        <v>0.0201099317664898</v>
      </c>
      <c r="AJ114" s="12">
        <f t="shared" si="288"/>
        <v>0.0203990303934365</v>
      </c>
      <c r="AK114" s="12">
        <f t="shared" si="288"/>
        <v>0.0195041384499624</v>
      </c>
      <c r="AL114" s="12">
        <f t="shared" si="288"/>
        <v>0.0229227095861337</v>
      </c>
      <c r="AO114" s="12">
        <f t="shared" ref="AO114:AU114" si="289">AO46</f>
        <v>0.02011116725619</v>
      </c>
      <c r="AP114" s="12">
        <f t="shared" si="289"/>
        <v>0.0195038494439692</v>
      </c>
      <c r="AQ114" s="12">
        <f t="shared" si="289"/>
        <v>0.0202152466367713</v>
      </c>
      <c r="AR114" s="12">
        <f t="shared" si="289"/>
        <v>0.0201099317664898</v>
      </c>
      <c r="AS114" s="12">
        <f t="shared" si="289"/>
        <v>0.0203990303934365</v>
      </c>
      <c r="AT114" s="12">
        <f t="shared" si="289"/>
        <v>0.0144161023325809</v>
      </c>
      <c r="AU114" s="12">
        <f t="shared" si="289"/>
        <v>0.0169428723027945</v>
      </c>
    </row>
    <row r="115" spans="21:47">
      <c r="U115" s="14"/>
      <c r="V115" s="29" t="s">
        <v>358</v>
      </c>
      <c r="W115" s="12">
        <f t="shared" ref="W115:AC115" si="290">W47</f>
        <v>0.0641232945932289</v>
      </c>
      <c r="X115" s="12">
        <f t="shared" si="290"/>
        <v>0.0633532934131737</v>
      </c>
      <c r="Y115" s="12">
        <f t="shared" si="290"/>
        <v>0.0659910313901345</v>
      </c>
      <c r="Z115" s="12">
        <f t="shared" si="290"/>
        <v>0.0673237300985595</v>
      </c>
      <c r="AA115" s="12">
        <f t="shared" si="290"/>
        <v>0.0673690098825284</v>
      </c>
      <c r="AB115" s="12">
        <f t="shared" si="290"/>
        <v>0.055364936042137</v>
      </c>
      <c r="AC115" s="12">
        <f t="shared" si="290"/>
        <v>0.0650689777148921</v>
      </c>
      <c r="AF115" s="12">
        <f t="shared" ref="AF115:AL115" si="291">AF47</f>
        <v>0.0641232945932289</v>
      </c>
      <c r="AG115" s="12">
        <f t="shared" si="291"/>
        <v>0.0633532934131737</v>
      </c>
      <c r="AH115" s="12">
        <f t="shared" si="291"/>
        <v>0.0659910313901345</v>
      </c>
      <c r="AI115" s="12">
        <f t="shared" si="291"/>
        <v>0.0673237300985595</v>
      </c>
      <c r="AJ115" s="12">
        <f t="shared" si="291"/>
        <v>0.0673690098825284</v>
      </c>
      <c r="AK115" s="12">
        <f t="shared" si="291"/>
        <v>0.0636696764484575</v>
      </c>
      <c r="AL115" s="12">
        <f t="shared" si="291"/>
        <v>0.0748293243721259</v>
      </c>
      <c r="AO115" s="12">
        <f t="shared" ref="AO115:AU115" si="292">AO47</f>
        <v>0.0641232945932289</v>
      </c>
      <c r="AP115" s="12">
        <f t="shared" si="292"/>
        <v>0.0633532934131737</v>
      </c>
      <c r="AQ115" s="12">
        <f t="shared" si="292"/>
        <v>0.0659910313901345</v>
      </c>
      <c r="AR115" s="12">
        <f t="shared" si="292"/>
        <v>0.0673237300985595</v>
      </c>
      <c r="AS115" s="12">
        <f t="shared" si="292"/>
        <v>0.0673690098825284</v>
      </c>
      <c r="AT115" s="12">
        <f t="shared" si="292"/>
        <v>0.0470601956358164</v>
      </c>
      <c r="AU115" s="12">
        <f t="shared" si="292"/>
        <v>0.0553086310576583</v>
      </c>
    </row>
    <row r="116" spans="21:47">
      <c r="U116" s="14"/>
      <c r="V116" s="29" t="s">
        <v>359</v>
      </c>
      <c r="W116" s="12">
        <f t="shared" ref="W116:AC116" si="293">W48</f>
        <v>0.0129695132221661</v>
      </c>
      <c r="X116" s="12">
        <f t="shared" si="293"/>
        <v>0.012814371257485</v>
      </c>
      <c r="Y116" s="12">
        <f t="shared" si="293"/>
        <v>0.0133452914798206</v>
      </c>
      <c r="Z116" s="12">
        <f t="shared" si="293"/>
        <v>0.0135898407884761</v>
      </c>
      <c r="AA116" s="12">
        <f t="shared" si="293"/>
        <v>0.0136304307290695</v>
      </c>
      <c r="AB116" s="12">
        <f t="shared" si="293"/>
        <v>0.011196388261851</v>
      </c>
      <c r="AC116" s="12">
        <f t="shared" si="293"/>
        <v>0.0131588256101875</v>
      </c>
      <c r="AF116" s="12">
        <f t="shared" ref="AF116:AL116" si="294">AF48</f>
        <v>0.0129695132221661</v>
      </c>
      <c r="AG116" s="12">
        <f t="shared" si="294"/>
        <v>0.012814371257485</v>
      </c>
      <c r="AH116" s="12">
        <f t="shared" si="294"/>
        <v>0.0133452914798206</v>
      </c>
      <c r="AI116" s="12">
        <f t="shared" si="294"/>
        <v>0.0135898407884761</v>
      </c>
      <c r="AJ116" s="12">
        <f t="shared" si="294"/>
        <v>0.0136304307290695</v>
      </c>
      <c r="AK116" s="12">
        <f t="shared" si="294"/>
        <v>0.0128758465011287</v>
      </c>
      <c r="AL116" s="12">
        <f t="shared" si="294"/>
        <v>0.0151326494517156</v>
      </c>
      <c r="AO116" s="12">
        <f t="shared" ref="AO116:AU116" si="295">AO48</f>
        <v>0.0129695132221661</v>
      </c>
      <c r="AP116" s="12">
        <f t="shared" si="295"/>
        <v>0.012814371257485</v>
      </c>
      <c r="AQ116" s="12">
        <f t="shared" si="295"/>
        <v>0.0133452914798206</v>
      </c>
      <c r="AR116" s="12">
        <f t="shared" si="295"/>
        <v>0.0135898407884761</v>
      </c>
      <c r="AS116" s="12">
        <f t="shared" si="295"/>
        <v>0.0136304307290695</v>
      </c>
      <c r="AT116" s="12">
        <f t="shared" si="295"/>
        <v>0.00951693002257336</v>
      </c>
      <c r="AU116" s="12">
        <f t="shared" si="295"/>
        <v>0.0111850017686594</v>
      </c>
    </row>
    <row r="117" spans="21:47">
      <c r="U117" s="14" t="s">
        <v>339</v>
      </c>
      <c r="V117" s="29" t="s">
        <v>121</v>
      </c>
      <c r="W117" s="12">
        <f t="shared" ref="W117:AC117" si="296">W49-W50</f>
        <v>0.0077648644096345</v>
      </c>
      <c r="X117" s="12">
        <f t="shared" si="296"/>
        <v>0.00754491017964072</v>
      </c>
      <c r="Y117" s="12">
        <f t="shared" si="296"/>
        <v>0.00782062780269058</v>
      </c>
      <c r="Z117" s="12">
        <f t="shared" si="296"/>
        <v>0.00780894617134195</v>
      </c>
      <c r="AA117" s="12">
        <f t="shared" si="296"/>
        <v>0.00788737646839455</v>
      </c>
      <c r="AB117" s="12">
        <f t="shared" si="296"/>
        <v>0.00656132430398797</v>
      </c>
      <c r="AC117" s="12">
        <f t="shared" si="296"/>
        <v>0.00771135479306685</v>
      </c>
      <c r="AF117" s="12">
        <f t="shared" ref="AF117:AL117" si="297">AF49-AF50</f>
        <v>0.0077648644096345</v>
      </c>
      <c r="AG117" s="12">
        <f t="shared" si="297"/>
        <v>0.00754491017964072</v>
      </c>
      <c r="AH117" s="12">
        <f t="shared" si="297"/>
        <v>0.00782062780269058</v>
      </c>
      <c r="AI117" s="12">
        <f t="shared" si="297"/>
        <v>0.00780894617134195</v>
      </c>
      <c r="AJ117" s="12">
        <f t="shared" si="297"/>
        <v>0.00788737646839455</v>
      </c>
      <c r="AK117" s="12">
        <f t="shared" si="297"/>
        <v>0.00754552294958616</v>
      </c>
      <c r="AL117" s="12">
        <f t="shared" si="297"/>
        <v>0.00886805801202688</v>
      </c>
      <c r="AO117" s="12">
        <f t="shared" ref="AO117:AU117" si="298">AO49-AO50</f>
        <v>0.0077648644096345</v>
      </c>
      <c r="AP117" s="12">
        <f t="shared" si="298"/>
        <v>0.00754491017964072</v>
      </c>
      <c r="AQ117" s="12">
        <f t="shared" si="298"/>
        <v>0.00782062780269058</v>
      </c>
      <c r="AR117" s="12">
        <f t="shared" si="298"/>
        <v>0.00780894617134195</v>
      </c>
      <c r="AS117" s="12">
        <f t="shared" si="298"/>
        <v>0.00788737646839455</v>
      </c>
      <c r="AT117" s="12">
        <f t="shared" si="298"/>
        <v>0.00557712565838978</v>
      </c>
      <c r="AU117" s="12">
        <f t="shared" si="298"/>
        <v>0.00655465157410683</v>
      </c>
    </row>
    <row r="118" spans="21:47">
      <c r="U118" s="14"/>
      <c r="V118" s="30" t="s">
        <v>357</v>
      </c>
      <c r="W118" s="12">
        <f t="shared" ref="W118:AC118" si="299">W51</f>
        <v>0.0246420751221155</v>
      </c>
      <c r="X118" s="12">
        <f t="shared" si="299"/>
        <v>0.023917878528657</v>
      </c>
      <c r="Y118" s="12">
        <f t="shared" si="299"/>
        <v>0.0248071748878924</v>
      </c>
      <c r="Z118" s="12">
        <f t="shared" si="299"/>
        <v>0.0247156937073541</v>
      </c>
      <c r="AA118" s="12">
        <f t="shared" si="299"/>
        <v>0.025041954130151</v>
      </c>
      <c r="AB118" s="12">
        <f t="shared" si="299"/>
        <v>0.0208126410835214</v>
      </c>
      <c r="AC118" s="12">
        <f t="shared" si="299"/>
        <v>0.0244605588963566</v>
      </c>
      <c r="AF118" s="12">
        <f t="shared" ref="AF118:AL118" si="300">AF51</f>
        <v>0.0246420751221155</v>
      </c>
      <c r="AG118" s="12">
        <f t="shared" si="300"/>
        <v>0.023917878528657</v>
      </c>
      <c r="AH118" s="12">
        <f t="shared" si="300"/>
        <v>0.0248071748878924</v>
      </c>
      <c r="AI118" s="12">
        <f t="shared" si="300"/>
        <v>0.0247156937073541</v>
      </c>
      <c r="AJ118" s="12">
        <f t="shared" si="300"/>
        <v>0.025041954130151</v>
      </c>
      <c r="AK118" s="12">
        <f t="shared" si="300"/>
        <v>0.0239345372460497</v>
      </c>
      <c r="AL118" s="12">
        <f t="shared" si="300"/>
        <v>0.02812964273081</v>
      </c>
      <c r="AO118" s="12">
        <f t="shared" ref="AO118:AU118" si="301">AO51</f>
        <v>0.0246420751221155</v>
      </c>
      <c r="AP118" s="12">
        <f t="shared" si="301"/>
        <v>0.023917878528657</v>
      </c>
      <c r="AQ118" s="12">
        <f t="shared" si="301"/>
        <v>0.0248071748878924</v>
      </c>
      <c r="AR118" s="12">
        <f t="shared" si="301"/>
        <v>0.0247156937073541</v>
      </c>
      <c r="AS118" s="12">
        <f t="shared" si="301"/>
        <v>0.025041954130151</v>
      </c>
      <c r="AT118" s="12">
        <f t="shared" si="301"/>
        <v>0.0176907449209932</v>
      </c>
      <c r="AU118" s="12">
        <f t="shared" si="301"/>
        <v>0.0207914750619031</v>
      </c>
    </row>
    <row r="119" ht="15.5" spans="21:47">
      <c r="U119" s="14"/>
      <c r="V119" s="29" t="s">
        <v>358</v>
      </c>
      <c r="W119" s="12">
        <f t="shared" ref="W119:AC119" si="302">W52</f>
        <v>0.0613609567121442</v>
      </c>
      <c r="X119" s="12">
        <f t="shared" si="302"/>
        <v>0.0606672369546621</v>
      </c>
      <c r="Y119" s="12">
        <f t="shared" si="302"/>
        <v>0.0631928251121076</v>
      </c>
      <c r="Z119" s="12">
        <f t="shared" si="302"/>
        <v>0.0645185746777862</v>
      </c>
      <c r="AA119" s="12">
        <f t="shared" si="302"/>
        <v>0.0645534215923923</v>
      </c>
      <c r="AB119" s="12">
        <f t="shared" si="302"/>
        <v>0.0530173062452972</v>
      </c>
      <c r="AC119" s="12">
        <f t="shared" si="302"/>
        <v>0.0623098691192076</v>
      </c>
      <c r="AD119" s="15"/>
      <c r="AE119" s="15"/>
      <c r="AF119" s="12">
        <f t="shared" ref="AF119:AL119" si="303">AF52</f>
        <v>0.0613609567121442</v>
      </c>
      <c r="AG119" s="12">
        <f t="shared" si="303"/>
        <v>0.0606672369546621</v>
      </c>
      <c r="AH119" s="12">
        <f t="shared" si="303"/>
        <v>0.0631928251121076</v>
      </c>
      <c r="AI119" s="12">
        <f t="shared" si="303"/>
        <v>0.0645185746777862</v>
      </c>
      <c r="AJ119" s="12">
        <f t="shared" si="303"/>
        <v>0.0645534215923923</v>
      </c>
      <c r="AK119" s="12">
        <f t="shared" si="303"/>
        <v>0.0609699021820918</v>
      </c>
      <c r="AL119" s="12">
        <f t="shared" si="303"/>
        <v>0.0716563494870888</v>
      </c>
      <c r="AM119" s="15"/>
      <c r="AN119" s="15"/>
      <c r="AO119" s="12">
        <f t="shared" ref="AO119:AU119" si="304">AO52</f>
        <v>0.0613609567121442</v>
      </c>
      <c r="AP119" s="12">
        <f t="shared" si="304"/>
        <v>0.0606672369546621</v>
      </c>
      <c r="AQ119" s="12">
        <f t="shared" si="304"/>
        <v>0.0631928251121076</v>
      </c>
      <c r="AR119" s="12">
        <f t="shared" si="304"/>
        <v>0.0645185746777862</v>
      </c>
      <c r="AS119" s="12">
        <f t="shared" si="304"/>
        <v>0.0645534215923923</v>
      </c>
      <c r="AT119" s="12">
        <f t="shared" si="304"/>
        <v>0.0450647103085026</v>
      </c>
      <c r="AU119" s="12">
        <f t="shared" si="304"/>
        <v>0.0529633887513265</v>
      </c>
    </row>
    <row r="120" ht="15.5" spans="21:47">
      <c r="U120" s="14"/>
      <c r="V120" s="29" t="s">
        <v>359</v>
      </c>
      <c r="W120" s="12">
        <f t="shared" ref="W120:AC120" si="305">W53</f>
        <v>0.0133232272191342</v>
      </c>
      <c r="X120" s="12">
        <f t="shared" si="305"/>
        <v>0.0131736526946108</v>
      </c>
      <c r="Y120" s="12">
        <f t="shared" si="305"/>
        <v>0.0137219730941704</v>
      </c>
      <c r="Z120" s="12">
        <f t="shared" si="305"/>
        <v>0.0139689158453374</v>
      </c>
      <c r="AA120" s="12">
        <f t="shared" si="305"/>
        <v>0.0140033563304121</v>
      </c>
      <c r="AB120" s="12">
        <f t="shared" si="305"/>
        <v>0.0115124153498871</v>
      </c>
      <c r="AC120" s="12">
        <f t="shared" si="305"/>
        <v>0.0135302440749912</v>
      </c>
      <c r="AD120" s="15"/>
      <c r="AE120" s="15"/>
      <c r="AF120" s="12">
        <f t="shared" ref="AF120:AL120" si="306">AF53</f>
        <v>0.0133232272191342</v>
      </c>
      <c r="AG120" s="12">
        <f t="shared" si="306"/>
        <v>0.0131736526946108</v>
      </c>
      <c r="AH120" s="12">
        <f t="shared" si="306"/>
        <v>0.0137219730941704</v>
      </c>
      <c r="AI120" s="12">
        <f t="shared" si="306"/>
        <v>0.0139689158453374</v>
      </c>
      <c r="AJ120" s="12">
        <f t="shared" si="306"/>
        <v>0.0140033563304121</v>
      </c>
      <c r="AK120" s="12">
        <f t="shared" si="306"/>
        <v>0.0132392776523702</v>
      </c>
      <c r="AL120" s="12">
        <f t="shared" si="306"/>
        <v>0.0155597806862398</v>
      </c>
      <c r="AM120" s="15"/>
      <c r="AN120" s="15"/>
      <c r="AO120" s="12">
        <f t="shared" ref="AO120:AU120" si="307">AO53</f>
        <v>0.0133232272191342</v>
      </c>
      <c r="AP120" s="12">
        <f t="shared" si="307"/>
        <v>0.0131736526946108</v>
      </c>
      <c r="AQ120" s="12">
        <f t="shared" si="307"/>
        <v>0.0137219730941704</v>
      </c>
      <c r="AR120" s="12">
        <f t="shared" si="307"/>
        <v>0.0139689158453374</v>
      </c>
      <c r="AS120" s="12">
        <f t="shared" si="307"/>
        <v>0.0140033563304121</v>
      </c>
      <c r="AT120" s="12">
        <f t="shared" si="307"/>
        <v>0.00978555304740406</v>
      </c>
      <c r="AU120" s="12">
        <f t="shared" si="307"/>
        <v>0.0115007074637425</v>
      </c>
    </row>
    <row r="121" ht="15.5" spans="21:47">
      <c r="U121" s="14" t="s">
        <v>360</v>
      </c>
      <c r="V121" s="29" t="s">
        <v>121</v>
      </c>
      <c r="W121" s="15">
        <f t="shared" ref="W121:AC121" si="308">W54-W55</f>
        <v>0.00810173488293751</v>
      </c>
      <c r="X121" s="15">
        <f t="shared" si="308"/>
        <v>0.00786997433704022</v>
      </c>
      <c r="Y121" s="15">
        <f t="shared" si="308"/>
        <v>0.00817937219730942</v>
      </c>
      <c r="Z121" s="15">
        <f t="shared" si="308"/>
        <v>0.00816906747536013</v>
      </c>
      <c r="AA121" s="15">
        <f t="shared" si="308"/>
        <v>0.00826030206973706</v>
      </c>
      <c r="AB121" s="15">
        <f t="shared" si="308"/>
        <v>0.00686230248306997</v>
      </c>
      <c r="AC121" s="15">
        <f t="shared" si="308"/>
        <v>0.00806508666430845</v>
      </c>
      <c r="AD121" s="15"/>
      <c r="AE121" s="15"/>
      <c r="AF121" s="15">
        <f t="shared" ref="AF121:AL121" si="309">AF54-AF55</f>
        <v>0.00810173488293751</v>
      </c>
      <c r="AG121" s="15">
        <f t="shared" si="309"/>
        <v>0.00786997433704022</v>
      </c>
      <c r="AH121" s="15">
        <f t="shared" si="309"/>
        <v>0.00817937219730942</v>
      </c>
      <c r="AI121" s="15">
        <f t="shared" si="309"/>
        <v>0.00816906747536013</v>
      </c>
      <c r="AJ121" s="15">
        <f t="shared" si="309"/>
        <v>0.00826030206973706</v>
      </c>
      <c r="AK121" s="15">
        <f t="shared" si="309"/>
        <v>0.00789164785553047</v>
      </c>
      <c r="AL121" s="15">
        <f t="shared" si="309"/>
        <v>0.00927484966395473</v>
      </c>
      <c r="AM121" s="15"/>
      <c r="AN121" s="15"/>
      <c r="AO121" s="15">
        <f t="shared" ref="AO121:AU121" si="310">AO54-AO55</f>
        <v>0.00810173488293751</v>
      </c>
      <c r="AP121" s="15">
        <f t="shared" si="310"/>
        <v>0.00786997433704022</v>
      </c>
      <c r="AQ121" s="15">
        <f t="shared" si="310"/>
        <v>0.00817937219730942</v>
      </c>
      <c r="AR121" s="15">
        <f t="shared" si="310"/>
        <v>0.00816906747536013</v>
      </c>
      <c r="AS121" s="15">
        <f t="shared" si="310"/>
        <v>0.00826030206973706</v>
      </c>
      <c r="AT121" s="15">
        <f t="shared" si="310"/>
        <v>0.00583295711060948</v>
      </c>
      <c r="AU121" s="15">
        <f t="shared" si="310"/>
        <v>0.00685532366466218</v>
      </c>
    </row>
    <row r="122" ht="15.5" spans="21:47">
      <c r="U122" s="14"/>
      <c r="V122" s="30" t="s">
        <v>357</v>
      </c>
      <c r="W122" s="15">
        <f t="shared" ref="W122:AC122" si="311">W56</f>
        <v>0.0319690079164561</v>
      </c>
      <c r="X122" s="15">
        <f t="shared" si="311"/>
        <v>0.0310692899914457</v>
      </c>
      <c r="Y122" s="15">
        <f t="shared" si="311"/>
        <v>0.0322331838565022</v>
      </c>
      <c r="Z122" s="15">
        <f t="shared" si="311"/>
        <v>0.0321645185746778</v>
      </c>
      <c r="AA122" s="15">
        <f t="shared" si="311"/>
        <v>0.0325750512772702</v>
      </c>
      <c r="AB122" s="15">
        <f t="shared" si="311"/>
        <v>0.0270428893905192</v>
      </c>
      <c r="AC122" s="15">
        <f t="shared" si="311"/>
        <v>0.0317828086310577</v>
      </c>
      <c r="AD122" s="15"/>
      <c r="AE122" s="15"/>
      <c r="AF122" s="15">
        <f t="shared" ref="AF122:AL122" si="312">AF56</f>
        <v>0.0319690079164561</v>
      </c>
      <c r="AG122" s="15">
        <f t="shared" si="312"/>
        <v>0.0310692899914457</v>
      </c>
      <c r="AH122" s="15">
        <f t="shared" si="312"/>
        <v>0.0322331838565022</v>
      </c>
      <c r="AI122" s="15">
        <f t="shared" si="312"/>
        <v>0.0321645185746778</v>
      </c>
      <c r="AJ122" s="15">
        <f t="shared" si="312"/>
        <v>0.0325750512772702</v>
      </c>
      <c r="AK122" s="15">
        <f t="shared" si="312"/>
        <v>0.0310993227990971</v>
      </c>
      <c r="AL122" s="15">
        <f t="shared" si="312"/>
        <v>0.0365502299257163</v>
      </c>
      <c r="AM122" s="15"/>
      <c r="AN122" s="15"/>
      <c r="AO122" s="15">
        <f t="shared" ref="AO122:AU122" si="313">AO56</f>
        <v>0.0319690079164561</v>
      </c>
      <c r="AP122" s="15">
        <f t="shared" si="313"/>
        <v>0.0310692899914457</v>
      </c>
      <c r="AQ122" s="15">
        <f t="shared" si="313"/>
        <v>0.0322331838565022</v>
      </c>
      <c r="AR122" s="15">
        <f t="shared" si="313"/>
        <v>0.0321645185746778</v>
      </c>
      <c r="AS122" s="15">
        <f t="shared" si="313"/>
        <v>0.0325750512772702</v>
      </c>
      <c r="AT122" s="15">
        <f t="shared" si="313"/>
        <v>0.0229864559819413</v>
      </c>
      <c r="AU122" s="15">
        <f t="shared" si="313"/>
        <v>0.027015387336399</v>
      </c>
    </row>
    <row r="123" ht="15.5" spans="21:47">
      <c r="U123" s="14"/>
      <c r="V123" s="29" t="s">
        <v>358</v>
      </c>
      <c r="W123" s="15">
        <f t="shared" ref="W123:AC123" si="314">W57</f>
        <v>0.0557183762843187</v>
      </c>
      <c r="X123" s="15">
        <f t="shared" si="314"/>
        <v>0.055158254918734</v>
      </c>
      <c r="Y123" s="15">
        <f t="shared" si="314"/>
        <v>0.0574887892376682</v>
      </c>
      <c r="Z123" s="15">
        <f t="shared" si="314"/>
        <v>0.0587755875663381</v>
      </c>
      <c r="AA123" s="15">
        <f t="shared" si="314"/>
        <v>0.0587544284915159</v>
      </c>
      <c r="AB123" s="15">
        <f t="shared" si="314"/>
        <v>0.0482317531978932</v>
      </c>
      <c r="AC123" s="15">
        <f t="shared" si="314"/>
        <v>0.0566855323664662</v>
      </c>
      <c r="AD123" s="15"/>
      <c r="AE123" s="15"/>
      <c r="AF123" s="15">
        <f t="shared" ref="AF123:AL123" si="315">AF57</f>
        <v>0.0557183762843187</v>
      </c>
      <c r="AG123" s="15">
        <f t="shared" si="315"/>
        <v>0.055158254918734</v>
      </c>
      <c r="AH123" s="15">
        <f t="shared" si="315"/>
        <v>0.0574887892376682</v>
      </c>
      <c r="AI123" s="15">
        <f t="shared" si="315"/>
        <v>0.0587755875663381</v>
      </c>
      <c r="AJ123" s="15">
        <f t="shared" si="315"/>
        <v>0.0587544284915159</v>
      </c>
      <c r="AK123" s="15">
        <f t="shared" si="315"/>
        <v>0.0554665161775771</v>
      </c>
      <c r="AL123" s="15">
        <f t="shared" si="315"/>
        <v>0.0651883622214361</v>
      </c>
      <c r="AM123" s="15"/>
      <c r="AN123" s="15"/>
      <c r="AO123" s="15">
        <f t="shared" ref="AO123:AU123" si="316">AO57</f>
        <v>0.0557183762843187</v>
      </c>
      <c r="AP123" s="15">
        <f t="shared" si="316"/>
        <v>0.055158254918734</v>
      </c>
      <c r="AQ123" s="15">
        <f t="shared" si="316"/>
        <v>0.0574887892376682</v>
      </c>
      <c r="AR123" s="15">
        <f t="shared" si="316"/>
        <v>0.0587755875663381</v>
      </c>
      <c r="AS123" s="15">
        <f t="shared" si="316"/>
        <v>0.0587544284915159</v>
      </c>
      <c r="AT123" s="15">
        <f t="shared" si="316"/>
        <v>0.0409969902182092</v>
      </c>
      <c r="AU123" s="15">
        <f t="shared" si="316"/>
        <v>0.0481827025114963</v>
      </c>
    </row>
    <row r="124" ht="15.5" spans="21:47">
      <c r="U124" s="14"/>
      <c r="V124" s="29" t="s">
        <v>359</v>
      </c>
      <c r="W124" s="15">
        <f t="shared" ref="W124:AC124" si="317">W58</f>
        <v>0.0130537308404918</v>
      </c>
      <c r="X124" s="15">
        <f t="shared" si="317"/>
        <v>0.0129170230966638</v>
      </c>
      <c r="Y124" s="15">
        <f t="shared" si="317"/>
        <v>0.0134529147982063</v>
      </c>
      <c r="Z124" s="15">
        <f t="shared" si="317"/>
        <v>0.0136846095526914</v>
      </c>
      <c r="AA124" s="15">
        <f t="shared" si="317"/>
        <v>0.0137236621294052</v>
      </c>
      <c r="AB124" s="15">
        <f t="shared" si="317"/>
        <v>0.0112866817155756</v>
      </c>
      <c r="AC124" s="15">
        <f t="shared" si="317"/>
        <v>0.01326494517156</v>
      </c>
      <c r="AD124" s="15"/>
      <c r="AE124" s="15"/>
      <c r="AF124" s="15">
        <f t="shared" ref="AF124:AL124" si="318">AF58</f>
        <v>0.0130537308404918</v>
      </c>
      <c r="AG124" s="15">
        <f t="shared" si="318"/>
        <v>0.0129170230966638</v>
      </c>
      <c r="AH124" s="15">
        <f t="shared" si="318"/>
        <v>0.0134529147982063</v>
      </c>
      <c r="AI124" s="15">
        <f t="shared" si="318"/>
        <v>0.0136846095526914</v>
      </c>
      <c r="AJ124" s="15">
        <f t="shared" si="318"/>
        <v>0.0137236621294052</v>
      </c>
      <c r="AK124" s="15">
        <f t="shared" si="318"/>
        <v>0.012979683972912</v>
      </c>
      <c r="AL124" s="15">
        <f t="shared" si="318"/>
        <v>0.0152546869472939</v>
      </c>
      <c r="AM124" s="15"/>
      <c r="AN124" s="15"/>
      <c r="AO124" s="15">
        <f t="shared" ref="AO124:AU124" si="319">AO58</f>
        <v>0.0130537308404918</v>
      </c>
      <c r="AP124" s="15">
        <f t="shared" si="319"/>
        <v>0.0129170230966638</v>
      </c>
      <c r="AQ124" s="15">
        <f t="shared" si="319"/>
        <v>0.0134529147982063</v>
      </c>
      <c r="AR124" s="15">
        <f t="shared" si="319"/>
        <v>0.0136846095526914</v>
      </c>
      <c r="AS124" s="15">
        <f t="shared" si="319"/>
        <v>0.0137236621294052</v>
      </c>
      <c r="AT124" s="15">
        <f t="shared" si="319"/>
        <v>0.00959367945823928</v>
      </c>
      <c r="AU124" s="15">
        <f t="shared" si="319"/>
        <v>0.011275203395826</v>
      </c>
    </row>
    <row r="125" ht="15.5" spans="21:47">
      <c r="U125" s="14" t="s">
        <v>360</v>
      </c>
      <c r="V125" s="29" t="s">
        <v>121</v>
      </c>
      <c r="W125" s="31">
        <f t="shared" ref="W125:AC125" si="320">W121</f>
        <v>0.00810173488293751</v>
      </c>
      <c r="X125" s="31">
        <f t="shared" si="320"/>
        <v>0.00786997433704022</v>
      </c>
      <c r="Y125" s="31">
        <f t="shared" si="320"/>
        <v>0.00817937219730942</v>
      </c>
      <c r="Z125" s="31">
        <f t="shared" si="320"/>
        <v>0.00816906747536013</v>
      </c>
      <c r="AA125" s="31">
        <f t="shared" si="320"/>
        <v>0.00826030206973706</v>
      </c>
      <c r="AB125" s="31">
        <f t="shared" si="320"/>
        <v>0.00686230248306997</v>
      </c>
      <c r="AC125" s="31">
        <f t="shared" si="320"/>
        <v>0.00806508666430845</v>
      </c>
      <c r="AD125" s="15"/>
      <c r="AE125" s="15"/>
      <c r="AF125" s="31">
        <f t="shared" ref="AF125:AL125" si="321">AF121</f>
        <v>0.00810173488293751</v>
      </c>
      <c r="AG125" s="31">
        <f t="shared" si="321"/>
        <v>0.00786997433704022</v>
      </c>
      <c r="AH125" s="31">
        <f t="shared" si="321"/>
        <v>0.00817937219730942</v>
      </c>
      <c r="AI125" s="31">
        <f t="shared" si="321"/>
        <v>0.00816906747536013</v>
      </c>
      <c r="AJ125" s="31">
        <f t="shared" si="321"/>
        <v>0.00826030206973706</v>
      </c>
      <c r="AK125" s="31">
        <f t="shared" si="321"/>
        <v>0.00789164785553047</v>
      </c>
      <c r="AL125" s="31">
        <f t="shared" si="321"/>
        <v>0.00927484966395473</v>
      </c>
      <c r="AM125" s="15"/>
      <c r="AN125" s="15"/>
      <c r="AO125" s="31">
        <f t="shared" ref="AO125:AU125" si="322">AO121</f>
        <v>0.00810173488293751</v>
      </c>
      <c r="AP125" s="31">
        <f t="shared" si="322"/>
        <v>0.00786997433704022</v>
      </c>
      <c r="AQ125" s="31">
        <f t="shared" si="322"/>
        <v>0.00817937219730942</v>
      </c>
      <c r="AR125" s="31">
        <f t="shared" si="322"/>
        <v>0.00816906747536013</v>
      </c>
      <c r="AS125" s="31">
        <f t="shared" si="322"/>
        <v>0.00826030206973706</v>
      </c>
      <c r="AT125" s="31">
        <f t="shared" si="322"/>
        <v>0.00583295711060948</v>
      </c>
      <c r="AU125" s="31">
        <f t="shared" si="322"/>
        <v>0.00685532366466218</v>
      </c>
    </row>
    <row r="126" ht="15.5" spans="21:47">
      <c r="U126" s="14"/>
      <c r="V126" s="30" t="s">
        <v>357</v>
      </c>
      <c r="W126" s="31">
        <f t="shared" ref="W126:AC126" si="323">W122</f>
        <v>0.0319690079164561</v>
      </c>
      <c r="X126" s="31">
        <f t="shared" si="323"/>
        <v>0.0310692899914457</v>
      </c>
      <c r="Y126" s="31">
        <f t="shared" si="323"/>
        <v>0.0322331838565022</v>
      </c>
      <c r="Z126" s="31">
        <f t="shared" si="323"/>
        <v>0.0321645185746778</v>
      </c>
      <c r="AA126" s="31">
        <f t="shared" si="323"/>
        <v>0.0325750512772702</v>
      </c>
      <c r="AB126" s="31">
        <f t="shared" si="323"/>
        <v>0.0270428893905192</v>
      </c>
      <c r="AC126" s="31">
        <f t="shared" si="323"/>
        <v>0.0317828086310577</v>
      </c>
      <c r="AD126" s="15"/>
      <c r="AE126" s="15"/>
      <c r="AF126" s="31">
        <f t="shared" ref="AF126:AL126" si="324">AF122</f>
        <v>0.0319690079164561</v>
      </c>
      <c r="AG126" s="31">
        <f t="shared" si="324"/>
        <v>0.0310692899914457</v>
      </c>
      <c r="AH126" s="31">
        <f t="shared" si="324"/>
        <v>0.0322331838565022</v>
      </c>
      <c r="AI126" s="31">
        <f t="shared" si="324"/>
        <v>0.0321645185746778</v>
      </c>
      <c r="AJ126" s="31">
        <f t="shared" si="324"/>
        <v>0.0325750512772702</v>
      </c>
      <c r="AK126" s="31">
        <f t="shared" si="324"/>
        <v>0.0310993227990971</v>
      </c>
      <c r="AL126" s="31">
        <f t="shared" si="324"/>
        <v>0.0365502299257163</v>
      </c>
      <c r="AM126" s="15"/>
      <c r="AN126" s="15"/>
      <c r="AO126" s="31">
        <f t="shared" ref="AO126:AU126" si="325">AO122</f>
        <v>0.0319690079164561</v>
      </c>
      <c r="AP126" s="31">
        <f t="shared" si="325"/>
        <v>0.0310692899914457</v>
      </c>
      <c r="AQ126" s="31">
        <f t="shared" si="325"/>
        <v>0.0322331838565022</v>
      </c>
      <c r="AR126" s="31">
        <f t="shared" si="325"/>
        <v>0.0321645185746778</v>
      </c>
      <c r="AS126" s="31">
        <f t="shared" si="325"/>
        <v>0.0325750512772702</v>
      </c>
      <c r="AT126" s="31">
        <f t="shared" si="325"/>
        <v>0.0229864559819413</v>
      </c>
      <c r="AU126" s="31">
        <f t="shared" si="325"/>
        <v>0.027015387336399</v>
      </c>
    </row>
    <row r="127" ht="15.5" spans="21:47">
      <c r="U127" s="14"/>
      <c r="V127" s="29" t="s">
        <v>358</v>
      </c>
      <c r="W127" s="31">
        <f t="shared" ref="W127:AC127" si="326">W123</f>
        <v>0.0557183762843187</v>
      </c>
      <c r="X127" s="31">
        <f t="shared" si="326"/>
        <v>0.055158254918734</v>
      </c>
      <c r="Y127" s="31">
        <f t="shared" si="326"/>
        <v>0.0574887892376682</v>
      </c>
      <c r="Z127" s="31">
        <f t="shared" si="326"/>
        <v>0.0587755875663381</v>
      </c>
      <c r="AA127" s="31">
        <f t="shared" si="326"/>
        <v>0.0587544284915159</v>
      </c>
      <c r="AB127" s="31">
        <f t="shared" si="326"/>
        <v>0.0482317531978932</v>
      </c>
      <c r="AC127" s="31">
        <f t="shared" si="326"/>
        <v>0.0566855323664662</v>
      </c>
      <c r="AD127" s="15"/>
      <c r="AE127" s="15"/>
      <c r="AF127" s="31">
        <f t="shared" ref="AF127:AL127" si="327">AF123</f>
        <v>0.0557183762843187</v>
      </c>
      <c r="AG127" s="31">
        <f t="shared" si="327"/>
        <v>0.055158254918734</v>
      </c>
      <c r="AH127" s="31">
        <f t="shared" si="327"/>
        <v>0.0574887892376682</v>
      </c>
      <c r="AI127" s="31">
        <f t="shared" si="327"/>
        <v>0.0587755875663381</v>
      </c>
      <c r="AJ127" s="31">
        <f t="shared" si="327"/>
        <v>0.0587544284915159</v>
      </c>
      <c r="AK127" s="31">
        <f t="shared" si="327"/>
        <v>0.0554665161775771</v>
      </c>
      <c r="AL127" s="31">
        <f t="shared" si="327"/>
        <v>0.0651883622214361</v>
      </c>
      <c r="AM127" s="15"/>
      <c r="AN127" s="15"/>
      <c r="AO127" s="31">
        <f t="shared" ref="AO127:AU127" si="328">AO123</f>
        <v>0.0557183762843187</v>
      </c>
      <c r="AP127" s="31">
        <f t="shared" si="328"/>
        <v>0.055158254918734</v>
      </c>
      <c r="AQ127" s="31">
        <f t="shared" si="328"/>
        <v>0.0574887892376682</v>
      </c>
      <c r="AR127" s="31">
        <f t="shared" si="328"/>
        <v>0.0587755875663381</v>
      </c>
      <c r="AS127" s="31">
        <f t="shared" si="328"/>
        <v>0.0587544284915159</v>
      </c>
      <c r="AT127" s="31">
        <f t="shared" si="328"/>
        <v>0.0409969902182092</v>
      </c>
      <c r="AU127" s="31">
        <f t="shared" si="328"/>
        <v>0.0481827025114963</v>
      </c>
    </row>
    <row r="128" ht="15.5" spans="21:47">
      <c r="U128" s="14"/>
      <c r="V128" s="29" t="s">
        <v>359</v>
      </c>
      <c r="W128" s="31">
        <f t="shared" ref="W128:AC128" si="329">W124</f>
        <v>0.0130537308404918</v>
      </c>
      <c r="X128" s="31">
        <f t="shared" si="329"/>
        <v>0.0129170230966638</v>
      </c>
      <c r="Y128" s="31">
        <f t="shared" si="329"/>
        <v>0.0134529147982063</v>
      </c>
      <c r="Z128" s="31">
        <f t="shared" si="329"/>
        <v>0.0136846095526914</v>
      </c>
      <c r="AA128" s="31">
        <f t="shared" si="329"/>
        <v>0.0137236621294052</v>
      </c>
      <c r="AB128" s="31">
        <f t="shared" si="329"/>
        <v>0.0112866817155756</v>
      </c>
      <c r="AC128" s="31">
        <f t="shared" si="329"/>
        <v>0.01326494517156</v>
      </c>
      <c r="AD128" s="15"/>
      <c r="AE128" s="15"/>
      <c r="AF128" s="31">
        <f t="shared" ref="AF128:AL128" si="330">AF124</f>
        <v>0.0130537308404918</v>
      </c>
      <c r="AG128" s="31">
        <f t="shared" si="330"/>
        <v>0.0129170230966638</v>
      </c>
      <c r="AH128" s="31">
        <f t="shared" si="330"/>
        <v>0.0134529147982063</v>
      </c>
      <c r="AI128" s="31">
        <f t="shared" si="330"/>
        <v>0.0136846095526914</v>
      </c>
      <c r="AJ128" s="31">
        <f t="shared" si="330"/>
        <v>0.0137236621294052</v>
      </c>
      <c r="AK128" s="31">
        <f t="shared" si="330"/>
        <v>0.012979683972912</v>
      </c>
      <c r="AL128" s="31">
        <f t="shared" si="330"/>
        <v>0.0152546869472939</v>
      </c>
      <c r="AM128" s="15"/>
      <c r="AN128" s="15"/>
      <c r="AO128" s="31">
        <f t="shared" ref="AO128:AU128" si="331">AO124</f>
        <v>0.0130537308404918</v>
      </c>
      <c r="AP128" s="31">
        <f t="shared" si="331"/>
        <v>0.0129170230966638</v>
      </c>
      <c r="AQ128" s="31">
        <f t="shared" si="331"/>
        <v>0.0134529147982063</v>
      </c>
      <c r="AR128" s="31">
        <f t="shared" si="331"/>
        <v>0.0136846095526914</v>
      </c>
      <c r="AS128" s="31">
        <f t="shared" si="331"/>
        <v>0.0137236621294052</v>
      </c>
      <c r="AT128" s="31">
        <f t="shared" si="331"/>
        <v>0.00959367945823928</v>
      </c>
      <c r="AU128" s="31">
        <f t="shared" si="331"/>
        <v>0.011275203395826</v>
      </c>
    </row>
    <row r="160" ht="15.5" spans="21:53">
      <c r="U160" s="32"/>
      <c r="V160" s="33" t="s">
        <v>316</v>
      </c>
      <c r="W160" s="32"/>
      <c r="X160" s="34"/>
      <c r="Z160" s="32"/>
      <c r="AA160" s="33" t="s">
        <v>316</v>
      </c>
      <c r="AB160" s="32"/>
      <c r="AC160" s="34"/>
      <c r="AE160" s="32"/>
      <c r="AF160" s="33" t="s">
        <v>316</v>
      </c>
      <c r="AG160" s="32"/>
      <c r="AH160" s="34"/>
      <c r="AJ160" s="32"/>
      <c r="AK160" s="33" t="s">
        <v>316</v>
      </c>
      <c r="AL160" s="32"/>
      <c r="AM160" s="34"/>
      <c r="AO160" s="32"/>
      <c r="AP160" s="33" t="s">
        <v>316</v>
      </c>
      <c r="AQ160" s="32"/>
      <c r="AR160" s="34"/>
      <c r="AT160" s="32"/>
      <c r="AU160" s="33" t="s">
        <v>316</v>
      </c>
      <c r="AV160" s="32"/>
      <c r="AW160" s="34"/>
      <c r="AY160" s="32"/>
      <c r="AZ160" s="33" t="s">
        <v>316</v>
      </c>
      <c r="BA160" s="32"/>
    </row>
    <row r="161" ht="15.5" spans="21:54">
      <c r="U161" s="33" t="s">
        <v>65</v>
      </c>
      <c r="V161" s="33" t="s">
        <v>111</v>
      </c>
      <c r="W161" s="33" t="s">
        <v>11</v>
      </c>
      <c r="X161" s="34" t="s">
        <v>41</v>
      </c>
      <c r="Z161" s="33" t="s">
        <v>65</v>
      </c>
      <c r="AA161" s="33" t="s">
        <v>111</v>
      </c>
      <c r="AB161" s="33" t="s">
        <v>11</v>
      </c>
      <c r="AC161" s="34" t="s">
        <v>41</v>
      </c>
      <c r="AE161" s="33" t="s">
        <v>65</v>
      </c>
      <c r="AF161" s="33" t="s">
        <v>111</v>
      </c>
      <c r="AG161" s="33" t="s">
        <v>11</v>
      </c>
      <c r="AH161" s="34" t="s">
        <v>41</v>
      </c>
      <c r="AJ161" s="33" t="s">
        <v>65</v>
      </c>
      <c r="AK161" s="33" t="s">
        <v>111</v>
      </c>
      <c r="AL161" s="33" t="s">
        <v>11</v>
      </c>
      <c r="AM161" s="34" t="s">
        <v>41</v>
      </c>
      <c r="AO161" s="33" t="s">
        <v>65</v>
      </c>
      <c r="AP161" s="33" t="s">
        <v>111</v>
      </c>
      <c r="AQ161" s="33" t="s">
        <v>11</v>
      </c>
      <c r="AR161" s="34" t="s">
        <v>41</v>
      </c>
      <c r="AT161" s="33" t="s">
        <v>65</v>
      </c>
      <c r="AU161" s="33" t="s">
        <v>111</v>
      </c>
      <c r="AV161" s="33" t="s">
        <v>11</v>
      </c>
      <c r="AW161" s="34" t="s">
        <v>41</v>
      </c>
      <c r="AY161" s="33" t="s">
        <v>65</v>
      </c>
      <c r="AZ161" s="33" t="s">
        <v>111</v>
      </c>
      <c r="BA161" s="33" t="s">
        <v>11</v>
      </c>
      <c r="BB161" s="34" t="s">
        <v>41</v>
      </c>
    </row>
    <row r="162" ht="15.5" spans="21:54">
      <c r="U162" s="34" t="s">
        <v>242</v>
      </c>
      <c r="V162" s="35" t="s">
        <v>317</v>
      </c>
      <c r="W162" s="34">
        <f t="shared" ref="W162:W165" si="332">W85</f>
        <v>0.010830385716692</v>
      </c>
      <c r="X162" s="34">
        <v>2020</v>
      </c>
      <c r="Z162" s="34" t="s">
        <v>244</v>
      </c>
      <c r="AA162" s="35" t="s">
        <v>317</v>
      </c>
      <c r="AB162" s="34">
        <f t="shared" ref="AB162:AB165" si="333">X85</f>
        <v>0.0104020530367836</v>
      </c>
      <c r="AC162" s="34">
        <v>2020</v>
      </c>
      <c r="AE162" s="34" t="s">
        <v>246</v>
      </c>
      <c r="AF162" s="35" t="s">
        <v>317</v>
      </c>
      <c r="AG162" s="34">
        <f t="shared" ref="AG162:AG165" si="334">Y85</f>
        <v>0.0107085201793722</v>
      </c>
      <c r="AH162" s="34">
        <v>2020</v>
      </c>
      <c r="AJ162" s="34" t="s">
        <v>248</v>
      </c>
      <c r="AK162" s="35" t="s">
        <v>317</v>
      </c>
      <c r="AL162" s="34">
        <f t="shared" ref="AL162:AL165" si="335">Z85</f>
        <v>0.0117702805155421</v>
      </c>
      <c r="AM162" s="34">
        <v>2020</v>
      </c>
      <c r="AO162" s="34" t="s">
        <v>240</v>
      </c>
      <c r="AP162" s="35" t="s">
        <v>317</v>
      </c>
      <c r="AQ162" s="34">
        <f t="shared" ref="AQ162:AQ165" si="336">AA85</f>
        <v>0.011933619242961</v>
      </c>
      <c r="AR162" s="34">
        <v>2020</v>
      </c>
      <c r="AT162" s="34" t="s">
        <v>238</v>
      </c>
      <c r="AU162" s="35" t="s">
        <v>317</v>
      </c>
      <c r="AV162" s="34">
        <f t="shared" ref="AV162:AV165" si="337">AB85</f>
        <v>0.00898419864559818</v>
      </c>
      <c r="AW162" s="34">
        <v>2020</v>
      </c>
      <c r="AY162" s="34" t="s">
        <v>236</v>
      </c>
      <c r="AZ162" s="35" t="s">
        <v>317</v>
      </c>
      <c r="BA162" s="34">
        <f t="shared" ref="BA162:BA165" si="338">AC85</f>
        <v>0.0105588963565617</v>
      </c>
      <c r="BB162" s="34">
        <v>2020</v>
      </c>
    </row>
    <row r="163" ht="15.5" spans="21:54">
      <c r="U163" s="34" t="str">
        <f t="shared" ref="U163:U165" si="339">U162</f>
        <v>PyroRecy-NMC111</v>
      </c>
      <c r="V163" s="35" t="s">
        <v>318</v>
      </c>
      <c r="W163" s="34">
        <f t="shared" si="332"/>
        <v>0.0447027118073101</v>
      </c>
      <c r="X163" s="34">
        <v>2020</v>
      </c>
      <c r="Z163" s="34" t="str">
        <f t="shared" ref="Z163:Z165" si="340">Z162</f>
        <v>PyroRecy-NMC532</v>
      </c>
      <c r="AA163" s="35" t="s">
        <v>318</v>
      </c>
      <c r="AB163" s="34">
        <f t="shared" si="333"/>
        <v>0.0428058169375535</v>
      </c>
      <c r="AC163" s="34">
        <v>2020</v>
      </c>
      <c r="AE163" s="34" t="str">
        <f t="shared" ref="AE163:AE165" si="341">AE162</f>
        <v>PyroRecy-NMC622</v>
      </c>
      <c r="AF163" s="35" t="s">
        <v>318</v>
      </c>
      <c r="AG163" s="34">
        <f t="shared" si="334"/>
        <v>0.0441255605381166</v>
      </c>
      <c r="AH163" s="34">
        <v>2020</v>
      </c>
      <c r="AJ163" s="34" t="str">
        <f t="shared" ref="AJ163:AJ165" si="342">AJ162</f>
        <v>PyroRecy-NMC811</v>
      </c>
      <c r="AK163" s="35" t="s">
        <v>318</v>
      </c>
      <c r="AL163" s="34">
        <f t="shared" si="335"/>
        <v>0.0456406368460955</v>
      </c>
      <c r="AM163" s="34">
        <v>2020</v>
      </c>
      <c r="AO163" s="34" t="str">
        <f t="shared" ref="AO163:AO165" si="343">AO162</f>
        <v>PyroRecy-NCA</v>
      </c>
      <c r="AP163" s="35" t="s">
        <v>318</v>
      </c>
      <c r="AQ163" s="34">
        <f t="shared" si="336"/>
        <v>0.0467275778482193</v>
      </c>
      <c r="AR163" s="34">
        <v>2020</v>
      </c>
      <c r="AT163" s="34" t="str">
        <f t="shared" ref="AT163:AT165" si="344">AT162</f>
        <v>PyroRecy-LMO</v>
      </c>
      <c r="AU163" s="35" t="s">
        <v>318</v>
      </c>
      <c r="AV163" s="34">
        <f t="shared" si="337"/>
        <v>0.037020316027088</v>
      </c>
      <c r="AW163" s="34">
        <v>2020</v>
      </c>
      <c r="AY163" s="34" t="str">
        <f t="shared" ref="AY163:AY165" si="345">AY162</f>
        <v>PyroRecy-LFP</v>
      </c>
      <c r="AZ163" s="35" t="s">
        <v>318</v>
      </c>
      <c r="BA163" s="34">
        <f t="shared" si="338"/>
        <v>0.0435090201627167</v>
      </c>
      <c r="BB163" s="34">
        <v>2020</v>
      </c>
    </row>
    <row r="164" ht="15.5" spans="21:54">
      <c r="U164" s="34" t="str">
        <f t="shared" si="339"/>
        <v>PyroRecy-NMC111</v>
      </c>
      <c r="V164" s="35" t="s">
        <v>319</v>
      </c>
      <c r="W164" s="34">
        <f t="shared" si="332"/>
        <v>0.0724945258548088</v>
      </c>
      <c r="X164" s="34">
        <v>2020</v>
      </c>
      <c r="Z164" s="34" t="str">
        <f t="shared" si="340"/>
        <v>PyroRecy-NMC532</v>
      </c>
      <c r="AA164" s="35" t="s">
        <v>319</v>
      </c>
      <c r="AB164" s="34">
        <f t="shared" si="333"/>
        <v>0.0706073567151412</v>
      </c>
      <c r="AC164" s="34">
        <v>2020</v>
      </c>
      <c r="AE164" s="34" t="str">
        <f t="shared" si="341"/>
        <v>PyroRecy-NMC622</v>
      </c>
      <c r="AF164" s="35" t="s">
        <v>319</v>
      </c>
      <c r="AG164" s="34">
        <f t="shared" si="334"/>
        <v>0.0732017937219731</v>
      </c>
      <c r="AH164" s="34">
        <v>2020</v>
      </c>
      <c r="AJ164" s="34" t="str">
        <f t="shared" si="342"/>
        <v>PyroRecy-NMC811</v>
      </c>
      <c r="AK164" s="35" t="s">
        <v>319</v>
      </c>
      <c r="AL164" s="34">
        <f t="shared" si="335"/>
        <v>0.076516300227445</v>
      </c>
      <c r="AM164" s="34">
        <v>2020</v>
      </c>
      <c r="AO164" s="34" t="str">
        <f t="shared" si="343"/>
        <v>PyroRecy-NCA</v>
      </c>
      <c r="AP164" s="35" t="s">
        <v>319</v>
      </c>
      <c r="AQ164" s="34">
        <f t="shared" si="336"/>
        <v>0.0803841133693828</v>
      </c>
      <c r="AR164" s="34">
        <v>2020</v>
      </c>
      <c r="AT164" s="34" t="str">
        <f t="shared" si="344"/>
        <v>PyroRecy-LMO</v>
      </c>
      <c r="AU164" s="35" t="s">
        <v>319</v>
      </c>
      <c r="AV164" s="34">
        <f t="shared" si="337"/>
        <v>0.0614145974416855</v>
      </c>
      <c r="AW164" s="34">
        <v>2020</v>
      </c>
      <c r="AY164" s="34" t="str">
        <f t="shared" si="345"/>
        <v>PyroRecy-LFP</v>
      </c>
      <c r="AZ164" s="35" t="s">
        <v>319</v>
      </c>
      <c r="BA164" s="34">
        <f t="shared" si="338"/>
        <v>0.0721789883268483</v>
      </c>
      <c r="BB164" s="34">
        <v>2020</v>
      </c>
    </row>
    <row r="165" ht="15.5" spans="21:54">
      <c r="U165" s="34" t="str">
        <f t="shared" si="339"/>
        <v>PyroRecy-NMC111</v>
      </c>
      <c r="V165" s="35" t="s">
        <v>320</v>
      </c>
      <c r="W165" s="34">
        <f t="shared" si="332"/>
        <v>0.0131547919824827</v>
      </c>
      <c r="X165" s="34">
        <v>2020</v>
      </c>
      <c r="Z165" s="34" t="str">
        <f t="shared" si="340"/>
        <v>PyroRecy-NMC532</v>
      </c>
      <c r="AA165" s="35" t="s">
        <v>320</v>
      </c>
      <c r="AB165" s="34">
        <f t="shared" si="333"/>
        <v>0.0128656971770744</v>
      </c>
      <c r="AC165" s="34">
        <v>2020</v>
      </c>
      <c r="AE165" s="34" t="str">
        <f t="shared" si="341"/>
        <v>PyroRecy-NMC622</v>
      </c>
      <c r="AF165" s="35" t="s">
        <v>320</v>
      </c>
      <c r="AG165" s="34">
        <f t="shared" si="334"/>
        <v>0.0133273542600897</v>
      </c>
      <c r="AH165" s="34">
        <v>2020</v>
      </c>
      <c r="AJ165" s="34" t="str">
        <f t="shared" si="342"/>
        <v>PyroRecy-NMC811</v>
      </c>
      <c r="AK165" s="35" t="s">
        <v>320</v>
      </c>
      <c r="AL165" s="34">
        <f t="shared" si="335"/>
        <v>0.0145564821834723</v>
      </c>
      <c r="AM165" s="34">
        <v>2020</v>
      </c>
      <c r="AO165" s="34" t="str">
        <f t="shared" si="343"/>
        <v>PyroRecy-NCA</v>
      </c>
      <c r="AP165" s="35" t="s">
        <v>320</v>
      </c>
      <c r="AQ165" s="34">
        <f t="shared" si="336"/>
        <v>0.0148610852134999</v>
      </c>
      <c r="AR165" s="34">
        <v>2020</v>
      </c>
      <c r="AT165" s="34" t="str">
        <f t="shared" si="344"/>
        <v>PyroRecy-LMO</v>
      </c>
      <c r="AU165" s="35" t="s">
        <v>320</v>
      </c>
      <c r="AV165" s="34">
        <f t="shared" si="337"/>
        <v>0.0111813393528969</v>
      </c>
      <c r="AW165" s="34">
        <v>2020</v>
      </c>
      <c r="AY165" s="34" t="str">
        <f t="shared" si="345"/>
        <v>PyroRecy-LFP</v>
      </c>
      <c r="AZ165" s="35" t="s">
        <v>320</v>
      </c>
      <c r="BA165" s="34">
        <f t="shared" si="338"/>
        <v>0.0131411390166254</v>
      </c>
      <c r="BB165" s="34">
        <v>2020</v>
      </c>
    </row>
    <row r="166" ht="15.5" spans="21:54">
      <c r="U166" s="36"/>
      <c r="V166" s="36"/>
      <c r="W166" s="36"/>
      <c r="X166" s="36"/>
      <c r="Z166" s="36"/>
      <c r="AA166" s="36"/>
      <c r="AB166" s="36"/>
      <c r="AC166" s="36"/>
      <c r="AE166" s="36"/>
      <c r="AF166" s="36"/>
      <c r="AG166" s="36"/>
      <c r="AH166" s="36"/>
      <c r="AJ166" s="36"/>
      <c r="AK166" s="36"/>
      <c r="AL166" s="36"/>
      <c r="AM166" s="36"/>
      <c r="AO166" s="36"/>
      <c r="AP166" s="36"/>
      <c r="AQ166" s="36"/>
      <c r="AR166" s="36"/>
      <c r="AT166" s="36"/>
      <c r="AU166" s="36"/>
      <c r="AV166" s="36"/>
      <c r="AW166" s="36"/>
      <c r="AY166" s="36"/>
      <c r="AZ166" s="36"/>
      <c r="BA166" s="36"/>
    </row>
    <row r="167" ht="15.5" spans="21:54">
      <c r="U167" s="15"/>
      <c r="V167" s="15"/>
      <c r="W167" s="15"/>
      <c r="X167" s="15"/>
      <c r="Z167" s="15"/>
      <c r="AA167" s="15"/>
      <c r="AB167" s="15"/>
      <c r="AC167" s="15"/>
      <c r="AE167" s="15"/>
      <c r="AF167" s="15"/>
      <c r="AG167" s="15"/>
      <c r="AH167" s="15"/>
      <c r="AJ167" s="15"/>
      <c r="AK167" s="15"/>
      <c r="AL167" s="15"/>
      <c r="AM167" s="15"/>
      <c r="AO167" s="15"/>
      <c r="AP167" s="15"/>
      <c r="AQ167" s="15"/>
      <c r="AR167" s="15"/>
      <c r="AT167" s="15"/>
      <c r="AU167" s="15"/>
      <c r="AV167" s="15"/>
      <c r="AW167" s="15"/>
      <c r="AY167" s="15"/>
      <c r="AZ167" s="15"/>
      <c r="BA167" s="15"/>
    </row>
    <row r="168" ht="15.5" spans="21:54">
      <c r="U168" s="15"/>
      <c r="V168" s="15"/>
      <c r="W168" s="15"/>
      <c r="X168" s="15"/>
      <c r="Z168" s="15"/>
      <c r="AA168" s="15"/>
      <c r="AB168" s="15"/>
      <c r="AC168" s="15"/>
      <c r="AE168" s="15"/>
      <c r="AF168" s="15"/>
      <c r="AG168" s="15"/>
      <c r="AH168" s="15"/>
      <c r="AJ168" s="15"/>
      <c r="AK168" s="15"/>
      <c r="AL168" s="15"/>
      <c r="AM168" s="15"/>
      <c r="AO168" s="15"/>
      <c r="AP168" s="15"/>
      <c r="AQ168" s="15"/>
      <c r="AR168" s="15"/>
      <c r="AT168" s="15"/>
      <c r="AU168" s="15"/>
      <c r="AV168" s="15"/>
      <c r="AW168" s="15"/>
      <c r="AY168" s="15"/>
      <c r="AZ168" s="15"/>
      <c r="BA168" s="15"/>
    </row>
    <row r="169" ht="15.5" spans="21:54">
      <c r="U169" s="15"/>
      <c r="V169" s="15"/>
      <c r="W169" s="15"/>
      <c r="X169" s="15"/>
      <c r="Z169" s="15"/>
      <c r="AA169" s="15"/>
      <c r="AB169" s="15"/>
      <c r="AC169" s="15"/>
      <c r="AE169" s="15"/>
      <c r="AF169" s="15"/>
      <c r="AG169" s="15"/>
      <c r="AH169" s="15"/>
      <c r="AJ169" s="15"/>
      <c r="AK169" s="15"/>
      <c r="AL169" s="15"/>
      <c r="AM169" s="15"/>
      <c r="AO169" s="15"/>
      <c r="AP169" s="15"/>
      <c r="AQ169" s="15"/>
      <c r="AR169" s="15"/>
      <c r="AT169" s="15"/>
      <c r="AU169" s="15"/>
      <c r="AV169" s="15"/>
      <c r="AW169" s="15"/>
      <c r="AY169" s="15"/>
      <c r="AZ169" s="15"/>
      <c r="BA169" s="15"/>
    </row>
    <row r="170" ht="15.5" spans="21:54">
      <c r="U170" s="15"/>
      <c r="V170" s="15"/>
      <c r="W170" s="15"/>
      <c r="X170" s="15"/>
      <c r="Z170" s="15"/>
      <c r="AA170" s="15"/>
      <c r="AB170" s="15"/>
      <c r="AC170" s="15"/>
      <c r="AE170" s="15"/>
      <c r="AF170" s="15"/>
      <c r="AG170" s="15"/>
      <c r="AH170" s="15"/>
      <c r="AJ170" s="15"/>
      <c r="AK170" s="15"/>
      <c r="AL170" s="15"/>
      <c r="AM170" s="15"/>
      <c r="AO170" s="15"/>
      <c r="AP170" s="15"/>
      <c r="AQ170" s="15"/>
      <c r="AR170" s="15"/>
      <c r="AT170" s="15"/>
      <c r="AU170" s="15"/>
      <c r="AV170" s="15"/>
      <c r="AW170" s="15"/>
      <c r="AY170" s="15"/>
      <c r="AZ170" s="15"/>
      <c r="BA170" s="15"/>
    </row>
    <row r="171" ht="15.5" spans="21:54">
      <c r="U171" s="15"/>
      <c r="V171" s="15"/>
      <c r="W171" s="15"/>
      <c r="X171" s="15"/>
      <c r="Z171" s="15"/>
      <c r="AA171" s="15"/>
      <c r="AB171" s="15"/>
      <c r="AC171" s="15"/>
      <c r="AE171" s="15"/>
      <c r="AF171" s="15"/>
      <c r="AG171" s="15"/>
      <c r="AH171" s="15"/>
      <c r="AJ171" s="15"/>
      <c r="AK171" s="15"/>
      <c r="AL171" s="15"/>
      <c r="AM171" s="15"/>
      <c r="AO171" s="15"/>
      <c r="AP171" s="15"/>
      <c r="AQ171" s="15"/>
      <c r="AR171" s="15"/>
      <c r="AT171" s="15"/>
      <c r="AU171" s="15"/>
      <c r="AV171" s="15"/>
      <c r="AW171" s="15"/>
      <c r="AY171" s="15"/>
      <c r="AZ171" s="15"/>
      <c r="BA171" s="15"/>
    </row>
    <row r="172" ht="15.5" spans="21:54">
      <c r="U172" s="32"/>
      <c r="V172" s="33" t="s">
        <v>316</v>
      </c>
      <c r="W172" s="32"/>
      <c r="X172" s="34"/>
      <c r="Z172" s="32"/>
      <c r="AA172" s="33" t="s">
        <v>316</v>
      </c>
      <c r="AB172" s="32"/>
      <c r="AC172" s="34"/>
      <c r="AE172" s="32"/>
      <c r="AF172" s="33" t="s">
        <v>316</v>
      </c>
      <c r="AG172" s="32"/>
      <c r="AH172" s="34"/>
      <c r="AJ172" s="32"/>
      <c r="AK172" s="33" t="s">
        <v>316</v>
      </c>
      <c r="AL172" s="32"/>
      <c r="AM172" s="34"/>
      <c r="AO172" s="32"/>
      <c r="AP172" s="33" t="s">
        <v>316</v>
      </c>
      <c r="AQ172" s="32"/>
      <c r="AR172" s="34"/>
      <c r="AT172" s="32"/>
      <c r="AU172" s="33" t="s">
        <v>316</v>
      </c>
      <c r="AV172" s="32"/>
      <c r="AW172" s="34"/>
      <c r="AY172" s="32"/>
      <c r="AZ172" s="33" t="s">
        <v>316</v>
      </c>
      <c r="BA172" s="32"/>
    </row>
    <row r="173" ht="15.5" spans="21:54">
      <c r="U173" s="33" t="s">
        <v>65</v>
      </c>
      <c r="V173" s="33" t="s">
        <v>111</v>
      </c>
      <c r="W173" s="33" t="s">
        <v>11</v>
      </c>
      <c r="X173" s="34" t="s">
        <v>41</v>
      </c>
      <c r="Z173" s="33" t="s">
        <v>65</v>
      </c>
      <c r="AA173" s="33" t="s">
        <v>111</v>
      </c>
      <c r="AB173" s="33" t="s">
        <v>11</v>
      </c>
      <c r="AC173" s="34" t="s">
        <v>41</v>
      </c>
      <c r="AE173" s="33" t="s">
        <v>65</v>
      </c>
      <c r="AF173" s="33" t="s">
        <v>111</v>
      </c>
      <c r="AG173" s="33" t="s">
        <v>11</v>
      </c>
      <c r="AH173" s="34" t="s">
        <v>41</v>
      </c>
      <c r="AJ173" s="33" t="s">
        <v>65</v>
      </c>
      <c r="AK173" s="33" t="s">
        <v>111</v>
      </c>
      <c r="AL173" s="33" t="s">
        <v>11</v>
      </c>
      <c r="AM173" s="34" t="s">
        <v>41</v>
      </c>
      <c r="AO173" s="33" t="s">
        <v>65</v>
      </c>
      <c r="AP173" s="33" t="s">
        <v>111</v>
      </c>
      <c r="AQ173" s="33" t="s">
        <v>11</v>
      </c>
      <c r="AR173" s="34" t="s">
        <v>41</v>
      </c>
      <c r="AT173" s="33" t="s">
        <v>65</v>
      </c>
      <c r="AU173" s="33" t="s">
        <v>111</v>
      </c>
      <c r="AV173" s="33" t="s">
        <v>11</v>
      </c>
      <c r="AW173" s="34" t="s">
        <v>41</v>
      </c>
      <c r="AY173" s="33" t="s">
        <v>65</v>
      </c>
      <c r="AZ173" s="33" t="s">
        <v>111</v>
      </c>
      <c r="BA173" s="33" t="s">
        <v>11</v>
      </c>
      <c r="BB173" s="34" t="s">
        <v>41</v>
      </c>
    </row>
    <row r="174" ht="15.5" spans="21:54">
      <c r="U174" s="34" t="s">
        <v>255</v>
      </c>
      <c r="V174" s="35" t="s">
        <v>317</v>
      </c>
      <c r="W174" s="34">
        <f t="shared" ref="W174:W177" si="346">W105</f>
        <v>0.011840997136601</v>
      </c>
      <c r="X174" s="34">
        <v>2020</v>
      </c>
      <c r="Z174" s="34" t="s">
        <v>257</v>
      </c>
      <c r="AA174" s="35" t="s">
        <v>317</v>
      </c>
      <c r="AB174" s="34">
        <f t="shared" ref="AB174:AB177" si="347">X105</f>
        <v>0.011377245508982</v>
      </c>
      <c r="AC174" s="34">
        <v>2020</v>
      </c>
      <c r="AE174" s="34" t="s">
        <v>259</v>
      </c>
      <c r="AF174" s="35" t="s">
        <v>317</v>
      </c>
      <c r="AG174" s="34">
        <f t="shared" ref="AG174:AG177" si="348">Y105</f>
        <v>0.0117668161434977</v>
      </c>
      <c r="AH174" s="34">
        <v>2020</v>
      </c>
      <c r="AJ174" s="34" t="s">
        <v>261</v>
      </c>
      <c r="AK174" s="35" t="s">
        <v>317</v>
      </c>
      <c r="AL174" s="34">
        <f t="shared" ref="AL174:AL177" si="349">Z105</f>
        <v>0.0120924943138741</v>
      </c>
      <c r="AM174" s="34">
        <v>2020</v>
      </c>
      <c r="AO174" s="34" t="s">
        <v>253</v>
      </c>
      <c r="AP174" s="35" t="s">
        <v>317</v>
      </c>
      <c r="AQ174" s="34">
        <f t="shared" ref="AQ174:AQ177" si="350">AA105</f>
        <v>0.0122878985642364</v>
      </c>
      <c r="AR174" s="34">
        <v>2020</v>
      </c>
      <c r="AT174" s="34" t="s">
        <v>252</v>
      </c>
      <c r="AU174" s="35" t="s">
        <v>317</v>
      </c>
      <c r="AV174" s="34">
        <f t="shared" ref="AV174:AV177" si="351">AB105</f>
        <v>0.00987208427389014</v>
      </c>
      <c r="AW174" s="34">
        <v>2020</v>
      </c>
      <c r="AY174" s="34" t="s">
        <v>250</v>
      </c>
      <c r="AZ174" s="35" t="s">
        <v>317</v>
      </c>
      <c r="BA174" s="34">
        <f t="shared" ref="BA174:BA177" si="352">AC105</f>
        <v>0.0116024053767244</v>
      </c>
      <c r="BB174" s="34">
        <v>2020</v>
      </c>
    </row>
    <row r="175" ht="15.5" spans="21:54">
      <c r="U175" s="34" t="str">
        <f t="shared" ref="U175:U177" si="353">U174</f>
        <v>HydRecy-NMC111</v>
      </c>
      <c r="V175" s="35" t="s">
        <v>318</v>
      </c>
      <c r="W175" s="34">
        <f t="shared" si="346"/>
        <v>0.0404413003200269</v>
      </c>
      <c r="X175" s="34">
        <v>2020</v>
      </c>
      <c r="Z175" s="34" t="str">
        <f t="shared" ref="Z175:Z177" si="354">Z174</f>
        <v>HydRecy-NMC532</v>
      </c>
      <c r="AA175" s="35" t="s">
        <v>318</v>
      </c>
      <c r="AB175" s="34">
        <f t="shared" si="347"/>
        <v>0.0389734816082122</v>
      </c>
      <c r="AC175" s="34">
        <v>2020</v>
      </c>
      <c r="AE175" s="34" t="str">
        <f t="shared" ref="AE175:AE177" si="355">AE174</f>
        <v>HydRecy-NMC622</v>
      </c>
      <c r="AF175" s="35" t="s">
        <v>318</v>
      </c>
      <c r="AG175" s="34">
        <f t="shared" si="348"/>
        <v>0.0403408071748879</v>
      </c>
      <c r="AH175" s="34">
        <v>2020</v>
      </c>
      <c r="AJ175" s="34" t="str">
        <f t="shared" ref="AJ175:AJ177" si="356">AJ174</f>
        <v>HydRecy-NMC811</v>
      </c>
      <c r="AK175" s="35" t="s">
        <v>318</v>
      </c>
      <c r="AL175" s="34">
        <f t="shared" si="349"/>
        <v>0.0420204700530705</v>
      </c>
      <c r="AM175" s="34">
        <v>2020</v>
      </c>
      <c r="AO175" s="34" t="str">
        <f t="shared" ref="AO175:AO177" si="357">AO174</f>
        <v>HydRecy-NCA</v>
      </c>
      <c r="AP175" s="35" t="s">
        <v>318</v>
      </c>
      <c r="AQ175" s="34">
        <f t="shared" si="350"/>
        <v>0.0428118590341227</v>
      </c>
      <c r="AR175" s="34">
        <v>2020</v>
      </c>
      <c r="AT175" s="34" t="str">
        <f t="shared" ref="AT175:AT177" si="358">AT174</f>
        <v>HydRecy-LMO</v>
      </c>
      <c r="AU175" s="35" t="s">
        <v>318</v>
      </c>
      <c r="AV175" s="34">
        <f t="shared" si="351"/>
        <v>0.0338449962377728</v>
      </c>
      <c r="AW175" s="34">
        <v>2020</v>
      </c>
      <c r="AY175" s="34" t="str">
        <f t="shared" ref="AY175:AY177" si="359">AY174</f>
        <v>HydRecy-LFP</v>
      </c>
      <c r="AZ175" s="35" t="s">
        <v>318</v>
      </c>
      <c r="BA175" s="34">
        <f t="shared" si="352"/>
        <v>0.0397771489211178</v>
      </c>
      <c r="BB175" s="34">
        <v>2020</v>
      </c>
    </row>
    <row r="176" ht="15.5" spans="21:54">
      <c r="U176" s="34" t="str">
        <f t="shared" si="353"/>
        <v>HydRecy-NMC111</v>
      </c>
      <c r="V176" s="35" t="s">
        <v>319</v>
      </c>
      <c r="W176" s="34">
        <f t="shared" si="346"/>
        <v>0.0870304867778339</v>
      </c>
      <c r="X176" s="34">
        <v>2020</v>
      </c>
      <c r="Z176" s="34" t="str">
        <f t="shared" si="354"/>
        <v>HydRecy-NMC532</v>
      </c>
      <c r="AA176" s="35" t="s">
        <v>319</v>
      </c>
      <c r="AB176" s="34">
        <f t="shared" si="347"/>
        <v>0.0843627031650984</v>
      </c>
      <c r="AC176" s="34">
        <v>2020</v>
      </c>
      <c r="AE176" s="34" t="str">
        <f t="shared" si="355"/>
        <v>HydRecy-NMC622</v>
      </c>
      <c r="AF176" s="35" t="s">
        <v>319</v>
      </c>
      <c r="AG176" s="34">
        <f t="shared" si="348"/>
        <v>0.0874439461883408</v>
      </c>
      <c r="AH176" s="34">
        <v>2020</v>
      </c>
      <c r="AJ176" s="34" t="str">
        <f t="shared" si="356"/>
        <v>HydRecy-NMC811</v>
      </c>
      <c r="AK176" s="35" t="s">
        <v>319</v>
      </c>
      <c r="AL176" s="34">
        <f t="shared" si="349"/>
        <v>0.0881918119787718</v>
      </c>
      <c r="AM176" s="34">
        <v>2020</v>
      </c>
      <c r="AO176" s="34" t="str">
        <f t="shared" si="357"/>
        <v>HydRecy-NCA</v>
      </c>
      <c r="AP176" s="35" t="s">
        <v>319</v>
      </c>
      <c r="AQ176" s="34">
        <f t="shared" si="350"/>
        <v>0.0922245012120082</v>
      </c>
      <c r="AR176" s="34">
        <v>2020</v>
      </c>
      <c r="AT176" s="34" t="str">
        <f t="shared" si="358"/>
        <v>HydRecy-LMO</v>
      </c>
      <c r="AU176" s="35" t="s">
        <v>319</v>
      </c>
      <c r="AV176" s="34">
        <f t="shared" si="351"/>
        <v>0.0733634311512415</v>
      </c>
      <c r="AW176" s="34">
        <v>2020</v>
      </c>
      <c r="AY176" s="34" t="str">
        <f t="shared" si="359"/>
        <v>HydRecy-LFP</v>
      </c>
      <c r="AZ176" s="35" t="s">
        <v>319</v>
      </c>
      <c r="BA176" s="34">
        <f t="shared" si="352"/>
        <v>0.0862221436151397</v>
      </c>
      <c r="BB176" s="34">
        <v>2020</v>
      </c>
    </row>
    <row r="177" ht="15.5" spans="21:54">
      <c r="U177" s="34" t="str">
        <f t="shared" si="353"/>
        <v>HydRecy-NMC111</v>
      </c>
      <c r="V177" s="35" t="s">
        <v>320</v>
      </c>
      <c r="W177" s="34">
        <f t="shared" si="346"/>
        <v>0.0133569142664645</v>
      </c>
      <c r="X177" s="34">
        <v>2020</v>
      </c>
      <c r="Z177" s="34" t="str">
        <f t="shared" si="354"/>
        <v>HydRecy-NMC532</v>
      </c>
      <c r="AA177" s="35" t="s">
        <v>320</v>
      </c>
      <c r="AB177" s="34">
        <f t="shared" si="347"/>
        <v>0.0131907613344739</v>
      </c>
      <c r="AC177" s="34">
        <v>2020</v>
      </c>
      <c r="AE177" s="34" t="str">
        <f t="shared" si="355"/>
        <v>HydRecy-NMC622</v>
      </c>
      <c r="AF177" s="35" t="s">
        <v>320</v>
      </c>
      <c r="AG177" s="34">
        <f t="shared" si="348"/>
        <v>0.0137399103139013</v>
      </c>
      <c r="AH177" s="34">
        <v>2020</v>
      </c>
      <c r="AJ177" s="34" t="str">
        <f t="shared" si="356"/>
        <v>HydRecy-NMC811</v>
      </c>
      <c r="AK177" s="35" t="s">
        <v>320</v>
      </c>
      <c r="AL177" s="34">
        <f t="shared" si="349"/>
        <v>0.0141015921152388</v>
      </c>
      <c r="AM177" s="34">
        <v>2020</v>
      </c>
      <c r="AO177" s="34" t="str">
        <f t="shared" si="357"/>
        <v>HydRecy-NCA</v>
      </c>
      <c r="AP177" s="35" t="s">
        <v>320</v>
      </c>
      <c r="AQ177" s="34">
        <f t="shared" si="350"/>
        <v>0.0143016968114861</v>
      </c>
      <c r="AR177" s="34">
        <v>2020</v>
      </c>
      <c r="AT177" s="34" t="str">
        <f t="shared" si="358"/>
        <v>HydRecy-LMO</v>
      </c>
      <c r="AU177" s="35" t="s">
        <v>320</v>
      </c>
      <c r="AV177" s="34">
        <f t="shared" si="351"/>
        <v>0.0115274642588412</v>
      </c>
      <c r="AW177" s="34">
        <v>2020</v>
      </c>
      <c r="AY177" s="34" t="str">
        <f t="shared" si="359"/>
        <v>HydRecy-LFP</v>
      </c>
      <c r="AZ177" s="35" t="s">
        <v>320</v>
      </c>
      <c r="BA177" s="34">
        <f t="shared" si="352"/>
        <v>0.0135479306685532</v>
      </c>
      <c r="BB177" s="34">
        <v>2020</v>
      </c>
    </row>
    <row r="178" ht="15.5" spans="21:54">
      <c r="U178" s="36"/>
      <c r="V178" s="36"/>
      <c r="W178" s="36"/>
      <c r="X178" s="36"/>
      <c r="Z178" s="36"/>
      <c r="AA178" s="36"/>
      <c r="AB178" s="36"/>
      <c r="AC178" s="36"/>
      <c r="AE178" s="36"/>
      <c r="AF178" s="36"/>
      <c r="AG178" s="36"/>
      <c r="AH178" s="36"/>
      <c r="AJ178" s="36"/>
      <c r="AK178" s="36"/>
      <c r="AL178" s="36"/>
      <c r="AM178" s="36"/>
      <c r="AO178" s="36"/>
      <c r="AP178" s="36"/>
      <c r="AQ178" s="36"/>
      <c r="AR178" s="36"/>
      <c r="AT178" s="36"/>
      <c r="AU178" s="36"/>
      <c r="AV178" s="36"/>
      <c r="AW178" s="36"/>
      <c r="AY178" s="36"/>
      <c r="AZ178" s="36"/>
      <c r="BA178" s="36"/>
    </row>
    <row r="183" ht="15.5" spans="21:54">
      <c r="U183" s="32"/>
      <c r="V183" s="33" t="s">
        <v>316</v>
      </c>
      <c r="W183" s="32"/>
      <c r="X183" s="34"/>
      <c r="Z183" s="32"/>
      <c r="AA183" s="33" t="s">
        <v>316</v>
      </c>
      <c r="AB183" s="32"/>
      <c r="AC183" s="34"/>
      <c r="AE183" s="32"/>
      <c r="AF183" s="33" t="s">
        <v>316</v>
      </c>
      <c r="AG183" s="32"/>
      <c r="AH183" s="34"/>
      <c r="AJ183" s="32"/>
      <c r="AK183" s="33" t="s">
        <v>316</v>
      </c>
      <c r="AL183" s="32"/>
      <c r="AM183" s="34"/>
      <c r="AO183" s="32"/>
      <c r="AP183" s="33" t="s">
        <v>316</v>
      </c>
      <c r="AQ183" s="32"/>
      <c r="AR183" s="34"/>
      <c r="AT183" s="32"/>
      <c r="AU183" s="33" t="s">
        <v>316</v>
      </c>
      <c r="AV183" s="32"/>
      <c r="AW183" s="34"/>
      <c r="AY183" s="32"/>
      <c r="AZ183" s="33" t="s">
        <v>316</v>
      </c>
      <c r="BA183" s="32"/>
    </row>
    <row r="184" ht="15.5" spans="21:54">
      <c r="U184" s="33" t="s">
        <v>65</v>
      </c>
      <c r="V184" s="33" t="s">
        <v>111</v>
      </c>
      <c r="W184" s="33" t="s">
        <v>11</v>
      </c>
      <c r="X184" s="34" t="s">
        <v>41</v>
      </c>
      <c r="Z184" s="33" t="s">
        <v>65</v>
      </c>
      <c r="AA184" s="33" t="s">
        <v>111</v>
      </c>
      <c r="AB184" s="33" t="s">
        <v>11</v>
      </c>
      <c r="AC184" s="34" t="s">
        <v>41</v>
      </c>
      <c r="AE184" s="33" t="s">
        <v>65</v>
      </c>
      <c r="AF184" s="33" t="s">
        <v>111</v>
      </c>
      <c r="AG184" s="33" t="s">
        <v>11</v>
      </c>
      <c r="AH184" s="34" t="s">
        <v>41</v>
      </c>
      <c r="AJ184" s="33" t="s">
        <v>65</v>
      </c>
      <c r="AK184" s="33" t="s">
        <v>111</v>
      </c>
      <c r="AL184" s="33" t="s">
        <v>11</v>
      </c>
      <c r="AM184" s="34" t="s">
        <v>41</v>
      </c>
      <c r="AO184" s="33" t="s">
        <v>65</v>
      </c>
      <c r="AP184" s="33" t="s">
        <v>111</v>
      </c>
      <c r="AQ184" s="33" t="s">
        <v>11</v>
      </c>
      <c r="AR184" s="34" t="s">
        <v>41</v>
      </c>
      <c r="AT184" s="33" t="s">
        <v>65</v>
      </c>
      <c r="AU184" s="33" t="s">
        <v>111</v>
      </c>
      <c r="AV184" s="33" t="s">
        <v>11</v>
      </c>
      <c r="AW184" s="34" t="s">
        <v>41</v>
      </c>
      <c r="AY184" s="33" t="s">
        <v>65</v>
      </c>
      <c r="AZ184" s="33" t="s">
        <v>111</v>
      </c>
      <c r="BA184" s="33" t="s">
        <v>11</v>
      </c>
      <c r="BB184" s="34" t="s">
        <v>41</v>
      </c>
    </row>
    <row r="185" ht="15.5" spans="21:54">
      <c r="U185" s="34" t="s">
        <v>268</v>
      </c>
      <c r="V185" s="35" t="s">
        <v>317</v>
      </c>
      <c r="W185" s="34">
        <f t="shared" ref="W185:W188" si="360">W125</f>
        <v>0.00810173488293751</v>
      </c>
      <c r="X185" s="34">
        <v>2020</v>
      </c>
      <c r="Z185" s="34" t="s">
        <v>270</v>
      </c>
      <c r="AA185" s="35" t="s">
        <v>317</v>
      </c>
      <c r="AB185" s="34">
        <f t="shared" ref="AB185:AB188" si="361">X125</f>
        <v>0.00786997433704022</v>
      </c>
      <c r="AC185" s="34">
        <v>2020</v>
      </c>
      <c r="AE185" s="34" t="s">
        <v>272</v>
      </c>
      <c r="AF185" s="35" t="s">
        <v>317</v>
      </c>
      <c r="AG185" s="34">
        <f t="shared" ref="AG185:AG188" si="362">Y125</f>
        <v>0.00817937219730942</v>
      </c>
      <c r="AH185" s="34">
        <v>2020</v>
      </c>
      <c r="AJ185" s="34" t="s">
        <v>273</v>
      </c>
      <c r="AK185" s="35" t="s">
        <v>317</v>
      </c>
      <c r="AL185" s="34">
        <f t="shared" ref="AL185:AL188" si="363">Z125</f>
        <v>0.00816906747536013</v>
      </c>
      <c r="AM185" s="34">
        <v>2020</v>
      </c>
      <c r="AO185" s="34" t="s">
        <v>267</v>
      </c>
      <c r="AP185" s="35" t="s">
        <v>317</v>
      </c>
      <c r="AQ185" s="34">
        <f t="shared" ref="AQ185:AQ188" si="364">AA125</f>
        <v>0.00826030206973706</v>
      </c>
      <c r="AR185" s="34">
        <v>2020</v>
      </c>
      <c r="AT185" s="34" t="s">
        <v>265</v>
      </c>
      <c r="AU185" s="35" t="s">
        <v>317</v>
      </c>
      <c r="AV185" s="34">
        <f t="shared" ref="AV185:AV188" si="365">AB125</f>
        <v>0.00686230248306997</v>
      </c>
      <c r="AW185" s="34">
        <v>2020</v>
      </c>
      <c r="AY185" s="34" t="s">
        <v>263</v>
      </c>
      <c r="AZ185" s="35" t="s">
        <v>317</v>
      </c>
      <c r="BA185" s="34">
        <f t="shared" ref="BA185:BA188" si="366">AC125</f>
        <v>0.00806508666430845</v>
      </c>
      <c r="BB185" s="34">
        <v>2020</v>
      </c>
    </row>
    <row r="186" ht="15.5" spans="21:54">
      <c r="U186" s="34" t="str">
        <f t="shared" ref="U186:U188" si="367">U185</f>
        <v>DirRecy-NMC111</v>
      </c>
      <c r="V186" s="35" t="s">
        <v>318</v>
      </c>
      <c r="W186" s="34">
        <f t="shared" si="360"/>
        <v>0.0319690079164561</v>
      </c>
      <c r="X186" s="34">
        <v>2020</v>
      </c>
      <c r="Z186" s="34" t="str">
        <f t="shared" ref="Z186:Z188" si="368">Z185</f>
        <v>DirRecy-NMC532</v>
      </c>
      <c r="AA186" s="35" t="s">
        <v>318</v>
      </c>
      <c r="AB186" s="34">
        <f t="shared" si="361"/>
        <v>0.0310692899914457</v>
      </c>
      <c r="AC186" s="34">
        <v>2020</v>
      </c>
      <c r="AE186" s="34" t="str">
        <f t="shared" ref="AE186:AE188" si="369">AE185</f>
        <v>DirRecy-NMC622</v>
      </c>
      <c r="AF186" s="35" t="s">
        <v>318</v>
      </c>
      <c r="AG186" s="34">
        <f t="shared" si="362"/>
        <v>0.0322331838565022</v>
      </c>
      <c r="AH186" s="34">
        <v>2020</v>
      </c>
      <c r="AJ186" s="34" t="str">
        <f t="shared" ref="AJ186:AJ188" si="370">AJ185</f>
        <v>DirRecy-NMC811</v>
      </c>
      <c r="AK186" s="35" t="s">
        <v>318</v>
      </c>
      <c r="AL186" s="34">
        <f t="shared" si="363"/>
        <v>0.0321645185746778</v>
      </c>
      <c r="AM186" s="34">
        <v>2020</v>
      </c>
      <c r="AO186" s="34" t="str">
        <f t="shared" ref="AO186:AO188" si="371">AO185</f>
        <v>DirRecy-NCA</v>
      </c>
      <c r="AP186" s="35" t="s">
        <v>318</v>
      </c>
      <c r="AQ186" s="34">
        <f t="shared" si="364"/>
        <v>0.0325750512772702</v>
      </c>
      <c r="AR186" s="34">
        <v>2020</v>
      </c>
      <c r="AT186" s="34" t="str">
        <f t="shared" ref="AT186:AT188" si="372">AT185</f>
        <v>DirRecy-LMO</v>
      </c>
      <c r="AU186" s="35" t="s">
        <v>318</v>
      </c>
      <c r="AV186" s="34">
        <f t="shared" si="365"/>
        <v>0.0270428893905192</v>
      </c>
      <c r="AW186" s="34">
        <v>2020</v>
      </c>
      <c r="AY186" s="34" t="str">
        <f t="shared" ref="AY186:AY188" si="373">AY185</f>
        <v>DirRecy-LFP</v>
      </c>
      <c r="AZ186" s="35" t="s">
        <v>318</v>
      </c>
      <c r="BA186" s="34">
        <f t="shared" si="366"/>
        <v>0.0317828086310577</v>
      </c>
      <c r="BB186" s="34">
        <v>2020</v>
      </c>
    </row>
    <row r="187" ht="15.5" spans="21:54">
      <c r="U187" s="34" t="str">
        <f t="shared" si="367"/>
        <v>DirRecy-NMC111</v>
      </c>
      <c r="V187" s="35" t="s">
        <v>319</v>
      </c>
      <c r="W187" s="34">
        <f t="shared" si="360"/>
        <v>0.0557183762843187</v>
      </c>
      <c r="X187" s="34">
        <v>2020</v>
      </c>
      <c r="Z187" s="34" t="str">
        <f t="shared" si="368"/>
        <v>DirRecy-NMC532</v>
      </c>
      <c r="AA187" s="35" t="s">
        <v>319</v>
      </c>
      <c r="AB187" s="34">
        <f t="shared" si="361"/>
        <v>0.055158254918734</v>
      </c>
      <c r="AC187" s="34">
        <v>2020</v>
      </c>
      <c r="AE187" s="34" t="str">
        <f t="shared" si="369"/>
        <v>DirRecy-NMC622</v>
      </c>
      <c r="AF187" s="35" t="s">
        <v>319</v>
      </c>
      <c r="AG187" s="34">
        <f t="shared" si="362"/>
        <v>0.0574887892376682</v>
      </c>
      <c r="AH187" s="34">
        <v>2020</v>
      </c>
      <c r="AJ187" s="34" t="str">
        <f t="shared" si="370"/>
        <v>DirRecy-NMC811</v>
      </c>
      <c r="AK187" s="35" t="s">
        <v>319</v>
      </c>
      <c r="AL187" s="34">
        <f t="shared" si="363"/>
        <v>0.0587755875663381</v>
      </c>
      <c r="AM187" s="34">
        <v>2020</v>
      </c>
      <c r="AO187" s="34" t="str">
        <f t="shared" si="371"/>
        <v>DirRecy-NCA</v>
      </c>
      <c r="AP187" s="35" t="s">
        <v>319</v>
      </c>
      <c r="AQ187" s="34">
        <f t="shared" si="364"/>
        <v>0.0587544284915159</v>
      </c>
      <c r="AR187" s="34">
        <v>2020</v>
      </c>
      <c r="AT187" s="34" t="str">
        <f t="shared" si="372"/>
        <v>DirRecy-LMO</v>
      </c>
      <c r="AU187" s="35" t="s">
        <v>319</v>
      </c>
      <c r="AV187" s="34">
        <f t="shared" si="365"/>
        <v>0.0482317531978932</v>
      </c>
      <c r="AW187" s="34">
        <v>2020</v>
      </c>
      <c r="AY187" s="34" t="str">
        <f t="shared" si="373"/>
        <v>DirRecy-LFP</v>
      </c>
      <c r="AZ187" s="35" t="s">
        <v>319</v>
      </c>
      <c r="BA187" s="34">
        <f t="shared" si="366"/>
        <v>0.0566855323664662</v>
      </c>
      <c r="BB187" s="34">
        <v>2020</v>
      </c>
    </row>
    <row r="188" ht="15.5" spans="21:54">
      <c r="U188" s="34" t="str">
        <f t="shared" si="367"/>
        <v>DirRecy-NMC111</v>
      </c>
      <c r="V188" s="35" t="s">
        <v>320</v>
      </c>
      <c r="W188" s="34">
        <f t="shared" si="360"/>
        <v>0.0130537308404918</v>
      </c>
      <c r="X188" s="34">
        <v>2020</v>
      </c>
      <c r="Z188" s="34" t="str">
        <f t="shared" si="368"/>
        <v>DirRecy-NMC532</v>
      </c>
      <c r="AA188" s="35" t="s">
        <v>320</v>
      </c>
      <c r="AB188" s="34">
        <f t="shared" si="361"/>
        <v>0.0129170230966638</v>
      </c>
      <c r="AC188" s="34">
        <v>2020</v>
      </c>
      <c r="AE188" s="34" t="str">
        <f t="shared" si="369"/>
        <v>DirRecy-NMC622</v>
      </c>
      <c r="AF188" s="35" t="s">
        <v>320</v>
      </c>
      <c r="AG188" s="34">
        <f t="shared" si="362"/>
        <v>0.0134529147982063</v>
      </c>
      <c r="AH188" s="34">
        <v>2020</v>
      </c>
      <c r="AJ188" s="34" t="str">
        <f t="shared" si="370"/>
        <v>DirRecy-NMC811</v>
      </c>
      <c r="AK188" s="35" t="s">
        <v>320</v>
      </c>
      <c r="AL188" s="34">
        <f t="shared" si="363"/>
        <v>0.0136846095526914</v>
      </c>
      <c r="AM188" s="34">
        <v>2020</v>
      </c>
      <c r="AO188" s="34" t="str">
        <f t="shared" si="371"/>
        <v>DirRecy-NCA</v>
      </c>
      <c r="AP188" s="35" t="s">
        <v>320</v>
      </c>
      <c r="AQ188" s="34">
        <f t="shared" si="364"/>
        <v>0.0137236621294052</v>
      </c>
      <c r="AR188" s="34">
        <v>2020</v>
      </c>
      <c r="AT188" s="34" t="str">
        <f t="shared" si="372"/>
        <v>DirRecy-LMO</v>
      </c>
      <c r="AU188" s="35" t="s">
        <v>320</v>
      </c>
      <c r="AV188" s="34">
        <f t="shared" si="365"/>
        <v>0.0112866817155756</v>
      </c>
      <c r="AW188" s="34">
        <v>2020</v>
      </c>
      <c r="AY188" s="34" t="str">
        <f t="shared" si="373"/>
        <v>DirRecy-LFP</v>
      </c>
      <c r="AZ188" s="35" t="s">
        <v>320</v>
      </c>
      <c r="BA188" s="34">
        <f t="shared" si="366"/>
        <v>0.01326494517156</v>
      </c>
      <c r="BB188" s="34">
        <v>2020</v>
      </c>
    </row>
    <row r="198" spans="21:54">
      <c r="V198" s="12" t="s">
        <v>316</v>
      </c>
      <c r="AA198" s="12" t="s">
        <v>316</v>
      </c>
      <c r="AF198" s="12" t="s">
        <v>316</v>
      </c>
      <c r="AK198" s="12" t="s">
        <v>316</v>
      </c>
      <c r="AP198" s="12" t="s">
        <v>316</v>
      </c>
      <c r="AU198" s="12" t="s">
        <v>316</v>
      </c>
      <c r="AZ198" s="12" t="s">
        <v>316</v>
      </c>
    </row>
    <row r="199" ht="15.5" spans="21:54">
      <c r="U199" s="12" t="s">
        <v>65</v>
      </c>
      <c r="V199" s="12" t="s">
        <v>111</v>
      </c>
      <c r="W199" s="12" t="s">
        <v>11</v>
      </c>
      <c r="X199" s="34" t="s">
        <v>41</v>
      </c>
      <c r="Z199" s="12" t="s">
        <v>65</v>
      </c>
      <c r="AA199" s="12" t="s">
        <v>111</v>
      </c>
      <c r="AB199" s="12" t="s">
        <v>11</v>
      </c>
      <c r="AC199" s="34" t="s">
        <v>41</v>
      </c>
      <c r="AE199" s="12" t="s">
        <v>65</v>
      </c>
      <c r="AF199" s="12" t="s">
        <v>111</v>
      </c>
      <c r="AG199" s="12" t="s">
        <v>11</v>
      </c>
      <c r="AH199" s="34" t="s">
        <v>41</v>
      </c>
      <c r="AJ199" s="12" t="s">
        <v>65</v>
      </c>
      <c r="AK199" s="12" t="s">
        <v>111</v>
      </c>
      <c r="AL199" s="12" t="s">
        <v>11</v>
      </c>
      <c r="AM199" s="34" t="s">
        <v>41</v>
      </c>
      <c r="AO199" s="12" t="s">
        <v>65</v>
      </c>
      <c r="AP199" s="12" t="s">
        <v>111</v>
      </c>
      <c r="AQ199" s="12" t="s">
        <v>11</v>
      </c>
      <c r="AR199" s="34" t="s">
        <v>41</v>
      </c>
      <c r="AT199" s="12" t="s">
        <v>65</v>
      </c>
      <c r="AU199" s="12" t="s">
        <v>111</v>
      </c>
      <c r="AV199" s="12" t="s">
        <v>11</v>
      </c>
      <c r="AW199" s="34" t="s">
        <v>41</v>
      </c>
      <c r="AY199" s="12" t="s">
        <v>65</v>
      </c>
      <c r="AZ199" s="12" t="s">
        <v>111</v>
      </c>
      <c r="BA199" s="12" t="s">
        <v>11</v>
      </c>
      <c r="BB199" s="34" t="s">
        <v>41</v>
      </c>
    </row>
    <row r="200" ht="15.5" spans="21:54">
      <c r="U200" s="12" t="s">
        <v>242</v>
      </c>
      <c r="V200" s="12" t="s">
        <v>317</v>
      </c>
      <c r="W200" s="12">
        <f>SUM(W162:W165)</f>
        <v>0.141182415361294</v>
      </c>
      <c r="X200" s="34" t="s">
        <v>342</v>
      </c>
      <c r="Z200" s="12" t="s">
        <v>244</v>
      </c>
      <c r="AA200" s="12" t="s">
        <v>317</v>
      </c>
      <c r="AB200" s="12">
        <f>SUM(AB162:AB165)</f>
        <v>0.136680923866553</v>
      </c>
      <c r="AC200" s="34" t="s">
        <v>342</v>
      </c>
      <c r="AE200" s="12" t="s">
        <v>246</v>
      </c>
      <c r="AF200" s="12" t="s">
        <v>317</v>
      </c>
      <c r="AG200" s="12">
        <f>SUM(AG162:AG165)</f>
        <v>0.141363228699552</v>
      </c>
      <c r="AH200" s="34" t="s">
        <v>342</v>
      </c>
      <c r="AJ200" s="12" t="s">
        <v>248</v>
      </c>
      <c r="AK200" s="12" t="s">
        <v>317</v>
      </c>
      <c r="AL200" s="12">
        <f>SUM(AL162:AL165)</f>
        <v>0.148483699772555</v>
      </c>
      <c r="AM200" s="34" t="s">
        <v>342</v>
      </c>
      <c r="AO200" s="12" t="s">
        <v>240</v>
      </c>
      <c r="AP200" s="12" t="s">
        <v>317</v>
      </c>
      <c r="AQ200" s="12">
        <f>SUM(AQ162:AQ165)</f>
        <v>0.153906395674063</v>
      </c>
      <c r="AR200" s="34" t="s">
        <v>342</v>
      </c>
      <c r="AT200" s="12" t="s">
        <v>238</v>
      </c>
      <c r="AU200" s="12" t="s">
        <v>317</v>
      </c>
      <c r="AV200" s="12">
        <f>SUM(AV162:AV165)</f>
        <v>0.118600451467269</v>
      </c>
      <c r="AW200" s="34" t="s">
        <v>342</v>
      </c>
      <c r="AY200" s="12" t="s">
        <v>236</v>
      </c>
      <c r="AZ200" s="12" t="s">
        <v>317</v>
      </c>
      <c r="BA200" s="12">
        <f>SUM(BA162:BA165)</f>
        <v>0.139388043862752</v>
      </c>
      <c r="BB200" s="34" t="s">
        <v>342</v>
      </c>
    </row>
    <row r="201" ht="15.5" spans="21:54">
      <c r="U201" s="12" t="s">
        <v>242</v>
      </c>
      <c r="V201" s="12" t="s">
        <v>318</v>
      </c>
      <c r="W201" s="12">
        <v>0</v>
      </c>
      <c r="X201" s="34" t="s">
        <v>342</v>
      </c>
      <c r="Z201" s="12" t="s">
        <v>244</v>
      </c>
      <c r="AA201" s="12" t="s">
        <v>318</v>
      </c>
      <c r="AB201" s="12">
        <v>0</v>
      </c>
      <c r="AC201" s="34" t="s">
        <v>342</v>
      </c>
      <c r="AE201" s="12" t="s">
        <v>246</v>
      </c>
      <c r="AF201" s="12" t="s">
        <v>318</v>
      </c>
      <c r="AG201" s="12">
        <v>0</v>
      </c>
      <c r="AH201" s="34" t="s">
        <v>342</v>
      </c>
      <c r="AJ201" s="12" t="s">
        <v>248</v>
      </c>
      <c r="AK201" s="12" t="s">
        <v>318</v>
      </c>
      <c r="AL201" s="12">
        <v>0</v>
      </c>
      <c r="AM201" s="34" t="s">
        <v>342</v>
      </c>
      <c r="AO201" s="12" t="s">
        <v>240</v>
      </c>
      <c r="AP201" s="12" t="s">
        <v>318</v>
      </c>
      <c r="AQ201" s="12">
        <v>0</v>
      </c>
      <c r="AR201" s="34" t="s">
        <v>342</v>
      </c>
      <c r="AT201" s="12" t="s">
        <v>238</v>
      </c>
      <c r="AU201" s="12" t="s">
        <v>318</v>
      </c>
      <c r="AV201" s="12">
        <v>0</v>
      </c>
      <c r="AW201" s="34" t="s">
        <v>342</v>
      </c>
      <c r="AY201" s="12" t="s">
        <v>236</v>
      </c>
      <c r="AZ201" s="12" t="s">
        <v>318</v>
      </c>
      <c r="BA201" s="12">
        <v>0</v>
      </c>
      <c r="BB201" s="34" t="s">
        <v>342</v>
      </c>
    </row>
    <row r="202" ht="15.5" spans="21:54">
      <c r="U202" s="12" t="s">
        <v>242</v>
      </c>
      <c r="V202" s="12" t="s">
        <v>319</v>
      </c>
      <c r="W202" s="12">
        <v>0</v>
      </c>
      <c r="X202" s="34" t="s">
        <v>342</v>
      </c>
      <c r="Z202" s="12" t="s">
        <v>244</v>
      </c>
      <c r="AA202" s="12" t="s">
        <v>319</v>
      </c>
      <c r="AB202" s="12">
        <v>0</v>
      </c>
      <c r="AC202" s="34" t="s">
        <v>342</v>
      </c>
      <c r="AE202" s="12" t="s">
        <v>246</v>
      </c>
      <c r="AF202" s="12" t="s">
        <v>319</v>
      </c>
      <c r="AG202" s="12">
        <v>0</v>
      </c>
      <c r="AH202" s="34" t="s">
        <v>342</v>
      </c>
      <c r="AJ202" s="12" t="s">
        <v>248</v>
      </c>
      <c r="AK202" s="12" t="s">
        <v>319</v>
      </c>
      <c r="AL202" s="12">
        <v>0</v>
      </c>
      <c r="AM202" s="34" t="s">
        <v>342</v>
      </c>
      <c r="AO202" s="12" t="s">
        <v>240</v>
      </c>
      <c r="AP202" s="12" t="s">
        <v>319</v>
      </c>
      <c r="AQ202" s="12">
        <v>0</v>
      </c>
      <c r="AR202" s="34" t="s">
        <v>342</v>
      </c>
      <c r="AT202" s="12" t="s">
        <v>238</v>
      </c>
      <c r="AU202" s="12" t="s">
        <v>319</v>
      </c>
      <c r="AV202" s="12">
        <v>0</v>
      </c>
      <c r="AW202" s="34" t="s">
        <v>342</v>
      </c>
      <c r="AY202" s="12" t="s">
        <v>236</v>
      </c>
      <c r="AZ202" s="12" t="s">
        <v>319</v>
      </c>
      <c r="BA202" s="12">
        <v>0</v>
      </c>
      <c r="BB202" s="34" t="s">
        <v>342</v>
      </c>
    </row>
    <row r="203" ht="15.5" spans="21:54">
      <c r="U203" s="12" t="s">
        <v>242</v>
      </c>
      <c r="V203" s="12" t="s">
        <v>320</v>
      </c>
      <c r="W203" s="12">
        <v>0</v>
      </c>
      <c r="X203" s="34" t="s">
        <v>342</v>
      </c>
      <c r="Z203" s="12" t="s">
        <v>244</v>
      </c>
      <c r="AA203" s="12" t="s">
        <v>320</v>
      </c>
      <c r="AB203" s="12">
        <v>0</v>
      </c>
      <c r="AC203" s="34" t="s">
        <v>342</v>
      </c>
      <c r="AE203" s="12" t="s">
        <v>246</v>
      </c>
      <c r="AF203" s="12" t="s">
        <v>320</v>
      </c>
      <c r="AG203" s="12">
        <v>0</v>
      </c>
      <c r="AH203" s="34" t="s">
        <v>342</v>
      </c>
      <c r="AJ203" s="12" t="s">
        <v>248</v>
      </c>
      <c r="AK203" s="12" t="s">
        <v>320</v>
      </c>
      <c r="AL203" s="12">
        <v>0</v>
      </c>
      <c r="AM203" s="34" t="s">
        <v>342</v>
      </c>
      <c r="AO203" s="12" t="s">
        <v>240</v>
      </c>
      <c r="AP203" s="12" t="s">
        <v>320</v>
      </c>
      <c r="AQ203" s="12">
        <v>0</v>
      </c>
      <c r="AR203" s="34" t="s">
        <v>342</v>
      </c>
      <c r="AT203" s="12" t="s">
        <v>238</v>
      </c>
      <c r="AU203" s="12" t="s">
        <v>320</v>
      </c>
      <c r="AV203" s="12">
        <v>0</v>
      </c>
      <c r="AW203" s="34" t="s">
        <v>342</v>
      </c>
      <c r="AY203" s="12" t="s">
        <v>236</v>
      </c>
      <c r="AZ203" s="12" t="s">
        <v>320</v>
      </c>
      <c r="BA203" s="12">
        <v>0</v>
      </c>
      <c r="BB203" s="34" t="s">
        <v>342</v>
      </c>
    </row>
    <row r="210" spans="21:54">
      <c r="V210" s="12" t="s">
        <v>316</v>
      </c>
      <c r="AA210" s="12" t="s">
        <v>316</v>
      </c>
      <c r="AF210" s="12" t="s">
        <v>316</v>
      </c>
      <c r="AK210" s="12" t="s">
        <v>316</v>
      </c>
      <c r="AP210" s="12" t="s">
        <v>316</v>
      </c>
      <c r="AU210" s="12" t="s">
        <v>316</v>
      </c>
      <c r="AZ210" s="12" t="s">
        <v>316</v>
      </c>
    </row>
    <row r="211" ht="15.5" spans="21:54">
      <c r="U211" s="12" t="s">
        <v>65</v>
      </c>
      <c r="V211" s="12" t="s">
        <v>111</v>
      </c>
      <c r="W211" s="12" t="s">
        <v>11</v>
      </c>
      <c r="X211" s="34" t="s">
        <v>41</v>
      </c>
      <c r="Z211" s="12" t="s">
        <v>65</v>
      </c>
      <c r="AA211" s="12" t="s">
        <v>111</v>
      </c>
      <c r="AB211" s="12" t="s">
        <v>11</v>
      </c>
      <c r="AC211" s="34" t="s">
        <v>41</v>
      </c>
      <c r="AE211" s="12" t="s">
        <v>65</v>
      </c>
      <c r="AF211" s="12" t="s">
        <v>111</v>
      </c>
      <c r="AG211" s="12" t="s">
        <v>11</v>
      </c>
      <c r="AH211" s="34" t="s">
        <v>41</v>
      </c>
      <c r="AJ211" s="12" t="s">
        <v>65</v>
      </c>
      <c r="AK211" s="12" t="s">
        <v>111</v>
      </c>
      <c r="AL211" s="12" t="s">
        <v>11</v>
      </c>
      <c r="AM211" s="34" t="s">
        <v>41</v>
      </c>
      <c r="AO211" s="12" t="s">
        <v>65</v>
      </c>
      <c r="AP211" s="12" t="s">
        <v>111</v>
      </c>
      <c r="AQ211" s="12" t="s">
        <v>11</v>
      </c>
      <c r="AR211" s="34" t="s">
        <v>41</v>
      </c>
      <c r="AT211" s="12" t="s">
        <v>65</v>
      </c>
      <c r="AU211" s="12" t="s">
        <v>111</v>
      </c>
      <c r="AV211" s="12" t="s">
        <v>11</v>
      </c>
      <c r="AW211" s="34" t="s">
        <v>41</v>
      </c>
      <c r="AY211" s="12" t="s">
        <v>65</v>
      </c>
      <c r="AZ211" s="12" t="s">
        <v>111</v>
      </c>
      <c r="BA211" s="12" t="s">
        <v>11</v>
      </c>
      <c r="BB211" s="34" t="s">
        <v>41</v>
      </c>
    </row>
    <row r="212" ht="15.5" spans="21:54">
      <c r="U212" s="12" t="s">
        <v>255</v>
      </c>
      <c r="V212" s="12" t="s">
        <v>317</v>
      </c>
      <c r="W212" s="12">
        <f>SUM(W174:W177)</f>
        <v>0.152669698500926</v>
      </c>
      <c r="X212" s="34" t="s">
        <v>342</v>
      </c>
      <c r="Z212" s="12" t="s">
        <v>257</v>
      </c>
      <c r="AA212" s="12" t="s">
        <v>317</v>
      </c>
      <c r="AB212" s="12">
        <f>SUM(AB174:AB177)</f>
        <v>0.147904191616766</v>
      </c>
      <c r="AC212" s="34" t="s">
        <v>342</v>
      </c>
      <c r="AE212" s="12" t="s">
        <v>259</v>
      </c>
      <c r="AF212" s="12" t="s">
        <v>317</v>
      </c>
      <c r="AG212" s="12">
        <f>SUM(AG174:AG177)</f>
        <v>0.153291479820628</v>
      </c>
      <c r="AH212" s="34" t="s">
        <v>342</v>
      </c>
      <c r="AJ212" s="12" t="s">
        <v>261</v>
      </c>
      <c r="AK212" s="12" t="s">
        <v>317</v>
      </c>
      <c r="AL212" s="12">
        <f>SUM(AL174:AL177)</f>
        <v>0.156406368460955</v>
      </c>
      <c r="AM212" s="34" t="s">
        <v>342</v>
      </c>
      <c r="AO212" s="12" t="s">
        <v>253</v>
      </c>
      <c r="AP212" s="12" t="s">
        <v>317</v>
      </c>
      <c r="AQ212" s="12">
        <f>SUM(AQ174:AQ177)</f>
        <v>0.161625955621853</v>
      </c>
      <c r="AR212" s="34" t="s">
        <v>342</v>
      </c>
      <c r="AT212" s="12" t="s">
        <v>252</v>
      </c>
      <c r="AU212" s="12" t="s">
        <v>317</v>
      </c>
      <c r="AV212" s="12">
        <f>SUM(AV174:AV177)</f>
        <v>0.128607975921746</v>
      </c>
      <c r="AW212" s="34" t="s">
        <v>342</v>
      </c>
      <c r="AY212" s="12" t="s">
        <v>250</v>
      </c>
      <c r="AZ212" s="12" t="s">
        <v>317</v>
      </c>
      <c r="BA212" s="12">
        <f>SUM(BA174:BA177)</f>
        <v>0.151149628581535</v>
      </c>
      <c r="BB212" s="34" t="s">
        <v>342</v>
      </c>
    </row>
    <row r="213" ht="15.5" spans="21:54">
      <c r="U213" s="12" t="s">
        <v>255</v>
      </c>
      <c r="V213" s="12" t="s">
        <v>318</v>
      </c>
      <c r="W213" s="12">
        <v>0</v>
      </c>
      <c r="X213" s="34" t="s">
        <v>342</v>
      </c>
      <c r="Z213" s="12" t="s">
        <v>257</v>
      </c>
      <c r="AA213" s="12" t="s">
        <v>318</v>
      </c>
      <c r="AB213" s="12">
        <v>0</v>
      </c>
      <c r="AC213" s="34" t="s">
        <v>342</v>
      </c>
      <c r="AE213" s="12" t="s">
        <v>259</v>
      </c>
      <c r="AF213" s="12" t="s">
        <v>318</v>
      </c>
      <c r="AG213" s="12">
        <v>0</v>
      </c>
      <c r="AH213" s="34" t="s">
        <v>342</v>
      </c>
      <c r="AJ213" s="12" t="s">
        <v>261</v>
      </c>
      <c r="AK213" s="12" t="s">
        <v>318</v>
      </c>
      <c r="AL213" s="12">
        <v>0</v>
      </c>
      <c r="AM213" s="34" t="s">
        <v>342</v>
      </c>
      <c r="AO213" s="12" t="s">
        <v>253</v>
      </c>
      <c r="AP213" s="12" t="s">
        <v>318</v>
      </c>
      <c r="AQ213" s="12">
        <v>0</v>
      </c>
      <c r="AR213" s="34" t="s">
        <v>342</v>
      </c>
      <c r="AT213" s="12" t="s">
        <v>252</v>
      </c>
      <c r="AU213" s="12" t="s">
        <v>318</v>
      </c>
      <c r="AV213" s="12">
        <v>0</v>
      </c>
      <c r="AW213" s="34" t="s">
        <v>342</v>
      </c>
      <c r="AY213" s="12" t="s">
        <v>250</v>
      </c>
      <c r="AZ213" s="12" t="s">
        <v>318</v>
      </c>
      <c r="BA213" s="12">
        <v>0</v>
      </c>
      <c r="BB213" s="34" t="s">
        <v>342</v>
      </c>
    </row>
    <row r="214" ht="15.5" spans="21:54">
      <c r="U214" s="12" t="s">
        <v>255</v>
      </c>
      <c r="V214" s="12" t="s">
        <v>319</v>
      </c>
      <c r="W214" s="12">
        <v>0</v>
      </c>
      <c r="X214" s="34" t="s">
        <v>342</v>
      </c>
      <c r="Z214" s="12" t="s">
        <v>257</v>
      </c>
      <c r="AA214" s="12" t="s">
        <v>319</v>
      </c>
      <c r="AB214" s="12">
        <v>0</v>
      </c>
      <c r="AC214" s="34" t="s">
        <v>342</v>
      </c>
      <c r="AE214" s="12" t="s">
        <v>259</v>
      </c>
      <c r="AF214" s="12" t="s">
        <v>319</v>
      </c>
      <c r="AG214" s="12">
        <v>0</v>
      </c>
      <c r="AH214" s="34" t="s">
        <v>342</v>
      </c>
      <c r="AJ214" s="12" t="s">
        <v>261</v>
      </c>
      <c r="AK214" s="12" t="s">
        <v>319</v>
      </c>
      <c r="AL214" s="12">
        <v>0</v>
      </c>
      <c r="AM214" s="34" t="s">
        <v>342</v>
      </c>
      <c r="AO214" s="12" t="s">
        <v>253</v>
      </c>
      <c r="AP214" s="12" t="s">
        <v>319</v>
      </c>
      <c r="AQ214" s="12">
        <v>0</v>
      </c>
      <c r="AR214" s="34" t="s">
        <v>342</v>
      </c>
      <c r="AT214" s="12" t="s">
        <v>252</v>
      </c>
      <c r="AU214" s="12" t="s">
        <v>319</v>
      </c>
      <c r="AV214" s="12">
        <v>0</v>
      </c>
      <c r="AW214" s="34" t="s">
        <v>342</v>
      </c>
      <c r="AY214" s="12" t="s">
        <v>250</v>
      </c>
      <c r="AZ214" s="12" t="s">
        <v>319</v>
      </c>
      <c r="BA214" s="12">
        <v>0</v>
      </c>
      <c r="BB214" s="34" t="s">
        <v>342</v>
      </c>
    </row>
    <row r="215" ht="15.5" spans="21:54">
      <c r="U215" s="12" t="s">
        <v>255</v>
      </c>
      <c r="V215" s="12" t="s">
        <v>320</v>
      </c>
      <c r="W215" s="12">
        <v>0</v>
      </c>
      <c r="X215" s="34" t="s">
        <v>342</v>
      </c>
      <c r="Z215" s="12" t="s">
        <v>257</v>
      </c>
      <c r="AA215" s="12" t="s">
        <v>320</v>
      </c>
      <c r="AB215" s="12">
        <v>0</v>
      </c>
      <c r="AC215" s="34" t="s">
        <v>342</v>
      </c>
      <c r="AE215" s="12" t="s">
        <v>259</v>
      </c>
      <c r="AF215" s="12" t="s">
        <v>320</v>
      </c>
      <c r="AG215" s="12">
        <v>0</v>
      </c>
      <c r="AH215" s="34" t="s">
        <v>342</v>
      </c>
      <c r="AJ215" s="12" t="s">
        <v>261</v>
      </c>
      <c r="AK215" s="12" t="s">
        <v>320</v>
      </c>
      <c r="AL215" s="12">
        <v>0</v>
      </c>
      <c r="AM215" s="34" t="s">
        <v>342</v>
      </c>
      <c r="AO215" s="12" t="s">
        <v>253</v>
      </c>
      <c r="AP215" s="12" t="s">
        <v>320</v>
      </c>
      <c r="AQ215" s="12">
        <v>0</v>
      </c>
      <c r="AR215" s="34" t="s">
        <v>342</v>
      </c>
      <c r="AT215" s="12" t="s">
        <v>252</v>
      </c>
      <c r="AU215" s="12" t="s">
        <v>320</v>
      </c>
      <c r="AV215" s="12">
        <v>0</v>
      </c>
      <c r="AW215" s="34" t="s">
        <v>342</v>
      </c>
      <c r="AY215" s="12" t="s">
        <v>250</v>
      </c>
      <c r="AZ215" s="12" t="s">
        <v>320</v>
      </c>
      <c r="BA215" s="12">
        <v>0</v>
      </c>
      <c r="BB215" s="34" t="s">
        <v>342</v>
      </c>
    </row>
    <row r="221" spans="21:54">
      <c r="V221" s="12" t="s">
        <v>316</v>
      </c>
      <c r="AA221" s="12" t="s">
        <v>316</v>
      </c>
      <c r="AF221" s="12" t="s">
        <v>316</v>
      </c>
      <c r="AK221" s="12" t="s">
        <v>316</v>
      </c>
      <c r="AP221" s="12" t="s">
        <v>316</v>
      </c>
      <c r="AU221" s="12" t="s">
        <v>316</v>
      </c>
      <c r="AZ221" s="12" t="s">
        <v>316</v>
      </c>
    </row>
    <row r="222" ht="15.5" spans="21:54">
      <c r="U222" s="12" t="s">
        <v>65</v>
      </c>
      <c r="V222" s="12" t="s">
        <v>111</v>
      </c>
      <c r="W222" s="12" t="s">
        <v>11</v>
      </c>
      <c r="X222" s="34" t="s">
        <v>41</v>
      </c>
      <c r="Z222" s="12" t="s">
        <v>65</v>
      </c>
      <c r="AA222" s="12" t="s">
        <v>111</v>
      </c>
      <c r="AB222" s="12" t="s">
        <v>11</v>
      </c>
      <c r="AC222" s="34" t="s">
        <v>41</v>
      </c>
      <c r="AE222" s="12" t="s">
        <v>65</v>
      </c>
      <c r="AF222" s="12" t="s">
        <v>111</v>
      </c>
      <c r="AG222" s="12" t="s">
        <v>11</v>
      </c>
      <c r="AH222" s="34" t="s">
        <v>41</v>
      </c>
      <c r="AJ222" s="12" t="s">
        <v>65</v>
      </c>
      <c r="AK222" s="12" t="s">
        <v>111</v>
      </c>
      <c r="AL222" s="12" t="s">
        <v>11</v>
      </c>
      <c r="AM222" s="34" t="s">
        <v>41</v>
      </c>
      <c r="AO222" s="12" t="s">
        <v>65</v>
      </c>
      <c r="AP222" s="12" t="s">
        <v>111</v>
      </c>
      <c r="AQ222" s="12" t="s">
        <v>11</v>
      </c>
      <c r="AR222" s="34" t="s">
        <v>41</v>
      </c>
      <c r="AT222" s="12" t="s">
        <v>65</v>
      </c>
      <c r="AU222" s="12" t="s">
        <v>111</v>
      </c>
      <c r="AV222" s="12" t="s">
        <v>11</v>
      </c>
      <c r="AW222" s="34" t="s">
        <v>41</v>
      </c>
      <c r="AY222" s="12" t="s">
        <v>65</v>
      </c>
      <c r="AZ222" s="12" t="s">
        <v>111</v>
      </c>
      <c r="BA222" s="12" t="s">
        <v>11</v>
      </c>
      <c r="BB222" s="34" t="s">
        <v>41</v>
      </c>
    </row>
    <row r="223" ht="15.5" spans="21:54">
      <c r="U223" s="12" t="s">
        <v>268</v>
      </c>
      <c r="V223" s="12" t="s">
        <v>317</v>
      </c>
      <c r="W223" s="12">
        <f>SUM(W185:W188)</f>
        <v>0.108842849924204</v>
      </c>
      <c r="X223" s="34" t="s">
        <v>342</v>
      </c>
      <c r="Z223" s="12" t="s">
        <v>270</v>
      </c>
      <c r="AA223" s="12" t="s">
        <v>317</v>
      </c>
      <c r="AB223" s="12">
        <f>SUM(AB185:AB188)</f>
        <v>0.107014542343884</v>
      </c>
      <c r="AC223" s="34" t="s">
        <v>342</v>
      </c>
      <c r="AE223" s="12" t="s">
        <v>272</v>
      </c>
      <c r="AF223" s="12" t="s">
        <v>317</v>
      </c>
      <c r="AG223" s="12">
        <f>SUM(AG185:AG188)</f>
        <v>0.111354260089686</v>
      </c>
      <c r="AH223" s="34" t="s">
        <v>342</v>
      </c>
      <c r="AJ223" s="12" t="s">
        <v>273</v>
      </c>
      <c r="AK223" s="12" t="s">
        <v>317</v>
      </c>
      <c r="AL223" s="12">
        <f>SUM(AL185:AL188)</f>
        <v>0.112793783169067</v>
      </c>
      <c r="AM223" s="34" t="s">
        <v>342</v>
      </c>
      <c r="AO223" s="12" t="s">
        <v>267</v>
      </c>
      <c r="AP223" s="12" t="s">
        <v>317</v>
      </c>
      <c r="AQ223" s="12">
        <f>SUM(AQ185:AQ188)</f>
        <v>0.113313443967928</v>
      </c>
      <c r="AR223" s="34" t="s">
        <v>342</v>
      </c>
      <c r="AT223" s="12" t="s">
        <v>265</v>
      </c>
      <c r="AU223" s="12" t="s">
        <v>317</v>
      </c>
      <c r="AV223" s="12">
        <f>SUM(AV185:AV188)</f>
        <v>0.0934236267870579</v>
      </c>
      <c r="AW223" s="34" t="s">
        <v>342</v>
      </c>
      <c r="AY223" s="12" t="s">
        <v>263</v>
      </c>
      <c r="AZ223" s="12" t="s">
        <v>317</v>
      </c>
      <c r="BA223" s="12">
        <f>SUM(BA185:BA188)</f>
        <v>0.109798372833392</v>
      </c>
      <c r="BB223" s="34" t="s">
        <v>342</v>
      </c>
    </row>
    <row r="224" ht="15.5" spans="21:54">
      <c r="U224" s="12" t="s">
        <v>268</v>
      </c>
      <c r="V224" s="12" t="s">
        <v>318</v>
      </c>
      <c r="W224" s="12">
        <v>0</v>
      </c>
      <c r="X224" s="34" t="s">
        <v>342</v>
      </c>
      <c r="Z224" s="12" t="s">
        <v>270</v>
      </c>
      <c r="AA224" s="12" t="s">
        <v>318</v>
      </c>
      <c r="AB224" s="12">
        <v>0</v>
      </c>
      <c r="AC224" s="34" t="s">
        <v>342</v>
      </c>
      <c r="AE224" s="12" t="s">
        <v>272</v>
      </c>
      <c r="AF224" s="12" t="s">
        <v>318</v>
      </c>
      <c r="AG224" s="12">
        <v>0</v>
      </c>
      <c r="AH224" s="34" t="s">
        <v>342</v>
      </c>
      <c r="AJ224" s="12" t="s">
        <v>273</v>
      </c>
      <c r="AK224" s="12" t="s">
        <v>318</v>
      </c>
      <c r="AL224" s="12">
        <v>0</v>
      </c>
      <c r="AM224" s="34" t="s">
        <v>342</v>
      </c>
      <c r="AO224" s="12" t="s">
        <v>267</v>
      </c>
      <c r="AP224" s="12" t="s">
        <v>318</v>
      </c>
      <c r="AQ224" s="12">
        <v>0</v>
      </c>
      <c r="AR224" s="34" t="s">
        <v>342</v>
      </c>
      <c r="AT224" s="12" t="s">
        <v>265</v>
      </c>
      <c r="AU224" s="12" t="s">
        <v>318</v>
      </c>
      <c r="AV224" s="12">
        <v>0</v>
      </c>
      <c r="AW224" s="34" t="s">
        <v>342</v>
      </c>
      <c r="AY224" s="12" t="s">
        <v>263</v>
      </c>
      <c r="AZ224" s="12" t="s">
        <v>318</v>
      </c>
      <c r="BA224" s="12">
        <v>0</v>
      </c>
      <c r="BB224" s="34" t="s">
        <v>342</v>
      </c>
    </row>
    <row r="225" ht="15.5" spans="21:54">
      <c r="U225" s="12" t="s">
        <v>268</v>
      </c>
      <c r="V225" s="12" t="s">
        <v>319</v>
      </c>
      <c r="W225" s="12">
        <v>0</v>
      </c>
      <c r="X225" s="34" t="s">
        <v>342</v>
      </c>
      <c r="Z225" s="12" t="s">
        <v>270</v>
      </c>
      <c r="AA225" s="12" t="s">
        <v>319</v>
      </c>
      <c r="AB225" s="12">
        <v>0</v>
      </c>
      <c r="AC225" s="34" t="s">
        <v>342</v>
      </c>
      <c r="AE225" s="12" t="s">
        <v>272</v>
      </c>
      <c r="AF225" s="12" t="s">
        <v>319</v>
      </c>
      <c r="AG225" s="12">
        <v>0</v>
      </c>
      <c r="AH225" s="34" t="s">
        <v>342</v>
      </c>
      <c r="AJ225" s="12" t="s">
        <v>273</v>
      </c>
      <c r="AK225" s="12" t="s">
        <v>319</v>
      </c>
      <c r="AL225" s="12">
        <v>0</v>
      </c>
      <c r="AM225" s="34" t="s">
        <v>342</v>
      </c>
      <c r="AO225" s="12" t="s">
        <v>267</v>
      </c>
      <c r="AP225" s="12" t="s">
        <v>319</v>
      </c>
      <c r="AQ225" s="12">
        <v>0</v>
      </c>
      <c r="AR225" s="34" t="s">
        <v>342</v>
      </c>
      <c r="AT225" s="12" t="s">
        <v>265</v>
      </c>
      <c r="AU225" s="12" t="s">
        <v>319</v>
      </c>
      <c r="AV225" s="12">
        <v>0</v>
      </c>
      <c r="AW225" s="34" t="s">
        <v>342</v>
      </c>
      <c r="AY225" s="12" t="s">
        <v>263</v>
      </c>
      <c r="AZ225" s="12" t="s">
        <v>319</v>
      </c>
      <c r="BA225" s="12">
        <v>0</v>
      </c>
      <c r="BB225" s="34" t="s">
        <v>342</v>
      </c>
    </row>
    <row r="226" ht="15.5" spans="21:54">
      <c r="U226" s="12" t="s">
        <v>268</v>
      </c>
      <c r="V226" s="12" t="s">
        <v>320</v>
      </c>
      <c r="W226" s="12">
        <v>0</v>
      </c>
      <c r="X226" s="34" t="s">
        <v>342</v>
      </c>
      <c r="Z226" s="12" t="s">
        <v>270</v>
      </c>
      <c r="AA226" s="12" t="s">
        <v>320</v>
      </c>
      <c r="AB226" s="12">
        <v>0</v>
      </c>
      <c r="AC226" s="34" t="s">
        <v>342</v>
      </c>
      <c r="AE226" s="12" t="s">
        <v>272</v>
      </c>
      <c r="AF226" s="12" t="s">
        <v>320</v>
      </c>
      <c r="AG226" s="12">
        <v>0</v>
      </c>
      <c r="AH226" s="34" t="s">
        <v>342</v>
      </c>
      <c r="AJ226" s="12" t="s">
        <v>273</v>
      </c>
      <c r="AK226" s="12" t="s">
        <v>320</v>
      </c>
      <c r="AL226" s="12">
        <v>0</v>
      </c>
      <c r="AM226" s="34" t="s">
        <v>342</v>
      </c>
      <c r="AO226" s="12" t="s">
        <v>267</v>
      </c>
      <c r="AP226" s="12" t="s">
        <v>320</v>
      </c>
      <c r="AQ226" s="12">
        <v>0</v>
      </c>
      <c r="AR226" s="34" t="s">
        <v>342</v>
      </c>
      <c r="AT226" s="12" t="s">
        <v>265</v>
      </c>
      <c r="AU226" s="12" t="s">
        <v>320</v>
      </c>
      <c r="AV226" s="12">
        <v>0</v>
      </c>
      <c r="AW226" s="34" t="s">
        <v>342</v>
      </c>
      <c r="AY226" s="12" t="s">
        <v>263</v>
      </c>
      <c r="AZ226" s="12" t="s">
        <v>320</v>
      </c>
      <c r="BA226" s="12">
        <v>0</v>
      </c>
      <c r="BB226" s="34" t="s">
        <v>342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92"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1" customWidth="1"/>
    <col min="6" max="6" width="12.8545454545455" style="11"/>
    <col min="9" max="10" width="12.8545454545455" style="11"/>
    <col min="12" max="12" width="12.8545454545455" style="11"/>
    <col min="22" max="22" width="12.8545454545455" style="11" customWidth="1"/>
  </cols>
  <sheetData>
    <row r="1" spans="1:89">
      <c r="A1" t="s">
        <v>361</v>
      </c>
      <c r="AI1" t="s">
        <v>362</v>
      </c>
      <c r="BL1" t="s">
        <v>363</v>
      </c>
    </row>
    <row r="2" spans="1:89">
      <c r="A2" t="s">
        <v>1</v>
      </c>
      <c r="B2" t="s">
        <v>135</v>
      </c>
      <c r="C2" t="s">
        <v>4</v>
      </c>
      <c r="D2" t="s">
        <v>4</v>
      </c>
      <c r="E2" s="11">
        <v>2020</v>
      </c>
      <c r="F2" s="11">
        <v>2024</v>
      </c>
      <c r="G2">
        <v>2025</v>
      </c>
      <c r="H2">
        <v>2030</v>
      </c>
      <c r="I2" s="11">
        <v>2035</v>
      </c>
      <c r="J2" s="11">
        <v>2040</v>
      </c>
      <c r="K2">
        <v>2045</v>
      </c>
      <c r="L2" s="11">
        <v>2050</v>
      </c>
      <c r="M2">
        <v>2055</v>
      </c>
      <c r="N2">
        <v>2060</v>
      </c>
      <c r="O2">
        <v>2065</v>
      </c>
      <c r="P2">
        <v>2070</v>
      </c>
      <c r="Q2">
        <v>2075</v>
      </c>
      <c r="R2">
        <v>2080</v>
      </c>
      <c r="S2">
        <v>2085</v>
      </c>
      <c r="T2">
        <v>2090</v>
      </c>
      <c r="U2">
        <v>2095</v>
      </c>
      <c r="V2" s="11">
        <v>2100</v>
      </c>
      <c r="W2">
        <v>0</v>
      </c>
      <c r="AH2" t="s">
        <v>364</v>
      </c>
      <c r="BK2" t="s">
        <v>364</v>
      </c>
    </row>
    <row r="3" spans="1:89">
      <c r="A3" t="s">
        <v>3</v>
      </c>
      <c r="B3" t="s">
        <v>365</v>
      </c>
      <c r="C3" t="s">
        <v>365</v>
      </c>
      <c r="E3" s="11">
        <v>29.5822608017472</v>
      </c>
      <c r="F3" s="11">
        <f>E3</f>
        <v>29.5822608017472</v>
      </c>
      <c r="I3" s="11">
        <f>F3</f>
        <v>29.5822608017472</v>
      </c>
      <c r="J3" s="11">
        <f>I3</f>
        <v>29.5822608017472</v>
      </c>
      <c r="L3" s="11">
        <f>J3</f>
        <v>29.5822608017472</v>
      </c>
      <c r="V3" s="11">
        <f>L3</f>
        <v>29.5822608017472</v>
      </c>
      <c r="W3">
        <v>5</v>
      </c>
      <c r="AG3" s="142" t="s">
        <v>366</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367</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368</v>
      </c>
      <c r="C4" t="s">
        <v>368</v>
      </c>
      <c r="E4" s="11">
        <v>101.446710074843</v>
      </c>
      <c r="F4" s="11">
        <f>E4</f>
        <v>101.446710074843</v>
      </c>
      <c r="I4" s="11">
        <f>F4</f>
        <v>101.446710074843</v>
      </c>
      <c r="J4" s="11">
        <f>I4</f>
        <v>101.446710074843</v>
      </c>
      <c r="L4" s="11">
        <f>J4</f>
        <v>101.446710074843</v>
      </c>
      <c r="V4" s="11">
        <f>L4</f>
        <v>101.446710074843</v>
      </c>
      <c r="W4">
        <v>5</v>
      </c>
      <c r="AG4" s="142" t="s">
        <v>366</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367</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369</v>
      </c>
      <c r="C5" t="s">
        <v>369</v>
      </c>
      <c r="E5" s="11">
        <v>7.339410306728</v>
      </c>
      <c r="I5" s="11">
        <v>13.841847071751</v>
      </c>
      <c r="J5" s="11">
        <v>17.0217286798939</v>
      </c>
      <c r="L5" s="11">
        <v>25.0152093842934</v>
      </c>
      <c r="V5" s="11">
        <v>87.2541501773716</v>
      </c>
      <c r="W5">
        <v>5</v>
      </c>
      <c r="AG5" s="142" t="s">
        <v>366</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367</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370</v>
      </c>
      <c r="C6" t="s">
        <v>370</v>
      </c>
      <c r="E6" s="11">
        <v>7.64151346723974</v>
      </c>
      <c r="I6" s="11">
        <v>9.2993927266152</v>
      </c>
      <c r="J6" s="11">
        <v>9.79653150802128</v>
      </c>
      <c r="L6" s="11">
        <v>10.6662053125579</v>
      </c>
      <c r="V6" s="11">
        <v>11.9574774350737</v>
      </c>
      <c r="W6">
        <v>5</v>
      </c>
      <c r="AG6" s="142" t="s">
        <v>371</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367</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372</v>
      </c>
      <c r="C7" t="s">
        <v>372</v>
      </c>
      <c r="E7" s="11">
        <v>12.3151564281066</v>
      </c>
      <c r="F7" s="11">
        <f>E7</f>
        <v>12.3151564281066</v>
      </c>
      <c r="I7" s="11">
        <f>F7</f>
        <v>12.3151564281066</v>
      </c>
      <c r="J7" s="11">
        <f>I7</f>
        <v>12.3151564281066</v>
      </c>
      <c r="L7" s="11">
        <f>J7</f>
        <v>12.3151564281066</v>
      </c>
      <c r="V7" s="11">
        <f>L7</f>
        <v>12.3151564281066</v>
      </c>
      <c r="W7">
        <v>5</v>
      </c>
      <c r="AG7" s="142" t="s">
        <v>366</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367</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373</v>
      </c>
      <c r="C8" t="s">
        <v>373</v>
      </c>
      <c r="E8" s="11">
        <v>36.6868983480112</v>
      </c>
      <c r="F8" s="11">
        <f>E8</f>
        <v>36.6868983480112</v>
      </c>
      <c r="I8" s="11">
        <f>F8</f>
        <v>36.6868983480112</v>
      </c>
      <c r="J8" s="11">
        <f>I8</f>
        <v>36.6868983480112</v>
      </c>
      <c r="L8" s="11">
        <f>J8</f>
        <v>36.6868983480112</v>
      </c>
      <c r="V8" s="11">
        <f>L8</f>
        <v>36.6868983480112</v>
      </c>
      <c r="W8">
        <v>5</v>
      </c>
      <c r="AG8" s="142" t="s">
        <v>366</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367</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374</v>
      </c>
      <c r="C9" t="s">
        <v>374</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42" t="s">
        <v>371</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367</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375</v>
      </c>
      <c r="C10" t="s">
        <v>375</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42" t="s">
        <v>371</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367</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376</v>
      </c>
      <c r="C11" t="s">
        <v>376</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42" t="s">
        <v>371</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367</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377</v>
      </c>
      <c r="C12" t="s">
        <v>377</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42" t="s">
        <v>378</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367</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379</v>
      </c>
      <c r="C13" t="s">
        <v>379</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42" t="s">
        <v>366</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367</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380</v>
      </c>
      <c r="C14" t="s">
        <v>380</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42" t="s">
        <v>366</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367</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365</v>
      </c>
      <c r="C15" t="s">
        <v>365</v>
      </c>
      <c r="E15" s="11">
        <v>23.1803432118412</v>
      </c>
      <c r="F15" s="11">
        <f>E15</f>
        <v>23.1803432118412</v>
      </c>
      <c r="I15" s="11">
        <f>F15</f>
        <v>23.1803432118412</v>
      </c>
      <c r="J15" s="11">
        <f>I15</f>
        <v>23.1803432118412</v>
      </c>
      <c r="L15" s="11">
        <f>J15</f>
        <v>23.1803432118412</v>
      </c>
      <c r="V15" s="11">
        <f>L15</f>
        <v>23.1803432118412</v>
      </c>
      <c r="W15">
        <v>5</v>
      </c>
      <c r="AG15" s="142" t="s">
        <v>366</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367</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368</v>
      </c>
      <c r="C16" t="s">
        <v>368</v>
      </c>
      <c r="E16" s="11">
        <v>196.398393249324</v>
      </c>
      <c r="F16" s="11">
        <f>E16</f>
        <v>196.398393249324</v>
      </c>
      <c r="I16" s="11">
        <f>F16</f>
        <v>196.398393249324</v>
      </c>
      <c r="J16" s="11">
        <f>I16</f>
        <v>196.398393249324</v>
      </c>
      <c r="L16" s="11">
        <f>J16</f>
        <v>196.398393249324</v>
      </c>
      <c r="V16" s="11">
        <f>L16</f>
        <v>196.398393249324</v>
      </c>
      <c r="W16">
        <v>5</v>
      </c>
      <c r="AG16" s="142" t="s">
        <v>366</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367</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369</v>
      </c>
      <c r="C17" t="s">
        <v>369</v>
      </c>
      <c r="E17" s="11">
        <v>10.9711987039902</v>
      </c>
      <c r="I17" s="11">
        <v>21.9803324306003</v>
      </c>
      <c r="J17" s="11">
        <v>27.9653136634823</v>
      </c>
      <c r="L17" s="11">
        <v>44.1146915834348</v>
      </c>
      <c r="V17" s="11">
        <v>243.633869506012</v>
      </c>
      <c r="W17">
        <v>5</v>
      </c>
      <c r="AG17" s="142" t="s">
        <v>366</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367</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370</v>
      </c>
      <c r="C18" t="s">
        <v>370</v>
      </c>
      <c r="E18" s="11">
        <v>4.81437254044958</v>
      </c>
      <c r="I18" s="11">
        <v>6.86787428674687</v>
      </c>
      <c r="J18" s="11">
        <v>7.58517428493052</v>
      </c>
      <c r="L18" s="11">
        <v>8.98931157796759</v>
      </c>
      <c r="V18" s="11">
        <v>13.0281374717101</v>
      </c>
      <c r="W18">
        <v>5</v>
      </c>
      <c r="AG18" s="142" t="s">
        <v>371</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367</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372</v>
      </c>
      <c r="C19" t="s">
        <v>372</v>
      </c>
      <c r="E19" s="11">
        <v>24.0823261432321</v>
      </c>
      <c r="F19" s="11">
        <f>E19</f>
        <v>24.0823261432321</v>
      </c>
      <c r="I19" s="11">
        <f>F19</f>
        <v>24.0823261432321</v>
      </c>
      <c r="J19" s="11">
        <f>I19</f>
        <v>24.0823261432321</v>
      </c>
      <c r="L19" s="11">
        <f>J19</f>
        <v>24.0823261432321</v>
      </c>
      <c r="V19" s="11">
        <f>L19</f>
        <v>24.0823261432321</v>
      </c>
      <c r="W19">
        <v>5</v>
      </c>
      <c r="AG19" s="142" t="s">
        <v>366</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367</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373</v>
      </c>
      <c r="C20" t="s">
        <v>373</v>
      </c>
      <c r="E20" s="11">
        <v>90.4088922329234</v>
      </c>
      <c r="F20" s="11">
        <f>E20</f>
        <v>90.4088922329234</v>
      </c>
      <c r="I20" s="11">
        <f>F20</f>
        <v>90.4088922329234</v>
      </c>
      <c r="J20" s="11">
        <f>I20</f>
        <v>90.4088922329234</v>
      </c>
      <c r="L20" s="11">
        <f>J20</f>
        <v>90.4088922329234</v>
      </c>
      <c r="V20" s="11">
        <f>L20</f>
        <v>90.4088922329234</v>
      </c>
      <c r="W20">
        <v>5</v>
      </c>
      <c r="AG20" s="142" t="s">
        <v>366</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367</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374</v>
      </c>
      <c r="C21" t="s">
        <v>374</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42" t="s">
        <v>371</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367</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375</v>
      </c>
      <c r="C22" t="s">
        <v>375</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42" t="s">
        <v>371</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367</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376</v>
      </c>
      <c r="C23" t="s">
        <v>376</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42" t="s">
        <v>371</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367</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377</v>
      </c>
      <c r="C24" t="s">
        <v>377</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42" t="s">
        <v>378</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367</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379</v>
      </c>
      <c r="C25" t="s">
        <v>379</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42" t="s">
        <v>366</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367</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380</v>
      </c>
      <c r="C26" t="s">
        <v>380</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42" t="s">
        <v>366</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367</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365</v>
      </c>
      <c r="C27" t="s">
        <v>365</v>
      </c>
      <c r="E27" s="11">
        <v>125.236568967332</v>
      </c>
      <c r="F27" s="11">
        <f>E27</f>
        <v>125.236568967332</v>
      </c>
      <c r="I27" s="11">
        <f>F27</f>
        <v>125.236568967332</v>
      </c>
      <c r="J27" s="11">
        <f>I27</f>
        <v>125.236568967332</v>
      </c>
      <c r="L27" s="11">
        <f>J27</f>
        <v>125.236568967332</v>
      </c>
      <c r="V27" s="11">
        <f>L27</f>
        <v>125.236568967332</v>
      </c>
      <c r="W27">
        <v>5</v>
      </c>
      <c r="AG27" s="142" t="s">
        <v>366</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381</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368</v>
      </c>
      <c r="C28" t="s">
        <v>368</v>
      </c>
      <c r="E28" s="11">
        <v>213.949612782254</v>
      </c>
      <c r="F28" s="11">
        <f>E28</f>
        <v>213.949612782254</v>
      </c>
      <c r="I28" s="11">
        <f>F28</f>
        <v>213.949612782254</v>
      </c>
      <c r="J28" s="11">
        <f>I28</f>
        <v>213.949612782254</v>
      </c>
      <c r="L28" s="11">
        <f>J28</f>
        <v>213.949612782254</v>
      </c>
      <c r="V28" s="11">
        <f>L28</f>
        <v>213.949612782254</v>
      </c>
      <c r="W28">
        <v>5</v>
      </c>
      <c r="AG28" s="142" t="s">
        <v>366</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381</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369</v>
      </c>
      <c r="C29" t="s">
        <v>369</v>
      </c>
      <c r="E29" s="11">
        <v>37.3435930436258</v>
      </c>
      <c r="I29" s="11">
        <v>50.867806738396</v>
      </c>
      <c r="J29" s="11">
        <v>55.6372129625937</v>
      </c>
      <c r="L29" s="11">
        <v>65.4610142006929</v>
      </c>
      <c r="V29" s="11">
        <v>104.777296697505</v>
      </c>
      <c r="W29">
        <v>5</v>
      </c>
      <c r="AG29" s="142" t="s">
        <v>366</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381</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370</v>
      </c>
      <c r="C30" t="s">
        <v>370</v>
      </c>
      <c r="E30" s="11">
        <v>22.6322603522854</v>
      </c>
      <c r="I30" s="11">
        <v>24.6222738080731</v>
      </c>
      <c r="J30" s="11">
        <v>25.1847275482685</v>
      </c>
      <c r="L30" s="11">
        <v>26.2652817642942</v>
      </c>
      <c r="V30" s="11">
        <v>28.4622983069202</v>
      </c>
      <c r="W30">
        <v>5</v>
      </c>
      <c r="AG30" s="142" t="s">
        <v>371</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381</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372</v>
      </c>
      <c r="C31" t="s">
        <v>372</v>
      </c>
      <c r="E31" s="11">
        <v>29.5450191028017</v>
      </c>
      <c r="F31" s="11">
        <f>E31</f>
        <v>29.5450191028017</v>
      </c>
      <c r="I31" s="11">
        <f>F31</f>
        <v>29.5450191028017</v>
      </c>
      <c r="J31" s="11">
        <f>I31</f>
        <v>29.5450191028017</v>
      </c>
      <c r="L31" s="11">
        <f>J31</f>
        <v>29.5450191028017</v>
      </c>
      <c r="V31" s="11">
        <f>L31</f>
        <v>29.5450191028017</v>
      </c>
      <c r="W31">
        <v>5</v>
      </c>
      <c r="AG31" s="142" t="s">
        <v>366</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381</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373</v>
      </c>
      <c r="C32" t="s">
        <v>373</v>
      </c>
      <c r="E32" s="11">
        <v>32.4911044377169</v>
      </c>
      <c r="F32" s="11">
        <f>E32</f>
        <v>32.4911044377169</v>
      </c>
      <c r="I32" s="11">
        <f>F32</f>
        <v>32.4911044377169</v>
      </c>
      <c r="J32" s="11">
        <f>I32</f>
        <v>32.4911044377169</v>
      </c>
      <c r="L32" s="11">
        <f>J32</f>
        <v>32.4911044377169</v>
      </c>
      <c r="V32" s="11">
        <f>L32</f>
        <v>32.4911044377169</v>
      </c>
      <c r="W32">
        <v>5</v>
      </c>
      <c r="AG32" s="142" t="s">
        <v>366</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381</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374</v>
      </c>
      <c r="C33" t="s">
        <v>374</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42" t="s">
        <v>371</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381</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375</v>
      </c>
      <c r="C34" t="s">
        <v>375</v>
      </c>
      <c r="D34">
        <v>0</v>
      </c>
      <c r="E34">
        <v>0</v>
      </c>
      <c r="F34"/>
      <c r="G34">
        <v>0</v>
      </c>
      <c r="H34">
        <v>0</v>
      </c>
      <c r="I34">
        <v>0</v>
      </c>
      <c r="J34">
        <v>0</v>
      </c>
      <c r="K34">
        <v>0</v>
      </c>
      <c r="L34">
        <v>0</v>
      </c>
      <c r="M34">
        <v>0</v>
      </c>
      <c r="N34">
        <v>0</v>
      </c>
      <c r="O34">
        <v>0</v>
      </c>
      <c r="P34">
        <v>0</v>
      </c>
      <c r="Q34">
        <v>0</v>
      </c>
      <c r="R34">
        <v>0</v>
      </c>
      <c r="S34">
        <v>0</v>
      </c>
      <c r="T34">
        <v>0</v>
      </c>
      <c r="U34">
        <v>0</v>
      </c>
      <c r="V34">
        <v>0</v>
      </c>
      <c r="W34">
        <v>5</v>
      </c>
      <c r="AG34" s="142" t="s">
        <v>371</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381</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376</v>
      </c>
      <c r="C35" t="s">
        <v>376</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42" t="s">
        <v>371</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381</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377</v>
      </c>
      <c r="C36" t="s">
        <v>377</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42" t="s">
        <v>378</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381</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379</v>
      </c>
      <c r="C37" t="s">
        <v>379</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42" t="s">
        <v>366</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381</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380</v>
      </c>
      <c r="C38" t="s">
        <v>380</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42" t="s">
        <v>366</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381</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365</v>
      </c>
      <c r="C39" t="s">
        <v>365</v>
      </c>
      <c r="E39" s="11">
        <v>1.31029971791135</v>
      </c>
      <c r="F39" s="11">
        <f>E39</f>
        <v>1.31029971791135</v>
      </c>
      <c r="I39" s="11">
        <f>F39</f>
        <v>1.31029971791135</v>
      </c>
      <c r="J39" s="11">
        <f>I39</f>
        <v>1.31029971791135</v>
      </c>
      <c r="L39" s="11">
        <f>J39</f>
        <v>1.31029971791135</v>
      </c>
      <c r="V39" s="11">
        <f>L39</f>
        <v>1.31029971791135</v>
      </c>
      <c r="W39">
        <v>5</v>
      </c>
      <c r="AG39" s="142" t="s">
        <v>366</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381</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368</v>
      </c>
      <c r="C40" t="s">
        <v>368</v>
      </c>
      <c r="E40" s="11">
        <v>39.7497370273663</v>
      </c>
      <c r="F40" s="11">
        <f>E40</f>
        <v>39.7497370273663</v>
      </c>
      <c r="I40" s="11">
        <f>F40</f>
        <v>39.7497370273663</v>
      </c>
      <c r="J40" s="11">
        <f>I40</f>
        <v>39.7497370273663</v>
      </c>
      <c r="L40" s="11">
        <f>J40</f>
        <v>39.7497370273663</v>
      </c>
      <c r="V40" s="11">
        <f>L40</f>
        <v>39.7497370273663</v>
      </c>
      <c r="W40">
        <v>5</v>
      </c>
      <c r="AG40" s="142" t="s">
        <v>366</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381</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369</v>
      </c>
      <c r="C41" t="s">
        <v>369</v>
      </c>
      <c r="E41" s="11">
        <v>1.27011069498277</v>
      </c>
      <c r="I41" s="11">
        <v>1.56700840734804</v>
      </c>
      <c r="J41" s="11">
        <v>1.64178868795761</v>
      </c>
      <c r="L41" s="11">
        <v>1.7820875475286</v>
      </c>
      <c r="V41" s="11">
        <v>2.26478361303252</v>
      </c>
      <c r="W41">
        <v>5</v>
      </c>
      <c r="AG41" s="142" t="s">
        <v>366</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381</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370</v>
      </c>
      <c r="C42" t="s">
        <v>370</v>
      </c>
      <c r="E42" s="11">
        <v>7.31143704140328</v>
      </c>
      <c r="I42" s="11">
        <v>7.4712788225843</v>
      </c>
      <c r="J42" s="11">
        <v>7.49446942090852</v>
      </c>
      <c r="L42" s="11">
        <v>7.53994546338287</v>
      </c>
      <c r="V42" s="11">
        <v>7.26035151569322</v>
      </c>
      <c r="W42">
        <v>5</v>
      </c>
      <c r="AG42" s="142" t="s">
        <v>371</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381</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372</v>
      </c>
      <c r="C43" t="s">
        <v>372</v>
      </c>
      <c r="E43" s="11">
        <v>1.13972076127334</v>
      </c>
      <c r="F43" s="11">
        <f>E43</f>
        <v>1.13972076127334</v>
      </c>
      <c r="I43" s="11">
        <f>F43</f>
        <v>1.13972076127334</v>
      </c>
      <c r="J43" s="11">
        <f>I43</f>
        <v>1.13972076127334</v>
      </c>
      <c r="L43" s="11">
        <f>J43</f>
        <v>1.13972076127334</v>
      </c>
      <c r="V43" s="11">
        <f>L43</f>
        <v>1.13972076127334</v>
      </c>
      <c r="W43">
        <v>5</v>
      </c>
      <c r="AG43" s="142" t="s">
        <v>366</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381</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373</v>
      </c>
      <c r="C44" t="s">
        <v>373</v>
      </c>
      <c r="E44" s="11">
        <v>0.614101020779717</v>
      </c>
      <c r="F44" s="11">
        <f>E44</f>
        <v>0.614101020779717</v>
      </c>
      <c r="I44" s="11">
        <f>F44</f>
        <v>0.614101020779717</v>
      </c>
      <c r="J44" s="11">
        <f>I44</f>
        <v>0.614101020779717</v>
      </c>
      <c r="L44" s="11">
        <f>J44</f>
        <v>0.614101020779717</v>
      </c>
      <c r="V44" s="11">
        <f>L44</f>
        <v>0.614101020779717</v>
      </c>
      <c r="W44">
        <v>5</v>
      </c>
      <c r="AG44" s="142" t="s">
        <v>366</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381</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374</v>
      </c>
      <c r="C45" t="s">
        <v>374</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42" t="s">
        <v>371</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381</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375</v>
      </c>
      <c r="C46" t="s">
        <v>375</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42" t="s">
        <v>371</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381</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376</v>
      </c>
      <c r="C47" t="s">
        <v>376</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42" t="s">
        <v>371</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381</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377</v>
      </c>
      <c r="C48" t="s">
        <v>377</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42" t="s">
        <v>378</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381</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379</v>
      </c>
      <c r="C49" t="s">
        <v>379</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42" t="s">
        <v>366</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381</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380</v>
      </c>
      <c r="C50" t="s">
        <v>380</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42" t="s">
        <v>366</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381</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365</v>
      </c>
      <c r="C51" t="s">
        <v>365</v>
      </c>
      <c r="E51" s="11">
        <v>0.0904007668523383</v>
      </c>
      <c r="F51" s="11">
        <f>E51</f>
        <v>0.0904007668523383</v>
      </c>
      <c r="I51" s="11">
        <f>F51</f>
        <v>0.0904007668523383</v>
      </c>
      <c r="J51" s="11">
        <f>I51</f>
        <v>0.0904007668523383</v>
      </c>
      <c r="L51" s="11">
        <f>J51</f>
        <v>0.0904007668523383</v>
      </c>
      <c r="V51" s="11">
        <f>L51</f>
        <v>0.0904007668523383</v>
      </c>
      <c r="W51">
        <v>5</v>
      </c>
      <c r="AG51" s="142" t="s">
        <v>366</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381</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368</v>
      </c>
      <c r="C52" t="s">
        <v>368</v>
      </c>
      <c r="E52" s="11">
        <v>14.8181528799758</v>
      </c>
      <c r="F52" s="11">
        <f>E52</f>
        <v>14.8181528799758</v>
      </c>
      <c r="I52" s="11">
        <f>F52</f>
        <v>14.8181528799758</v>
      </c>
      <c r="J52" s="11">
        <f>I52</f>
        <v>14.8181528799758</v>
      </c>
      <c r="L52" s="11">
        <f>J52</f>
        <v>14.8181528799758</v>
      </c>
      <c r="V52" s="11">
        <f>L52</f>
        <v>14.8181528799758</v>
      </c>
      <c r="W52">
        <v>5</v>
      </c>
      <c r="AG52" s="142" t="s">
        <v>366</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381</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369</v>
      </c>
      <c r="C53" t="s">
        <v>369</v>
      </c>
      <c r="E53" s="11">
        <v>4.41815872313833</v>
      </c>
      <c r="I53" s="11">
        <v>5.64904106823887</v>
      </c>
      <c r="J53" s="11">
        <v>5.82978759084491</v>
      </c>
      <c r="L53" s="11">
        <v>6.00578208244984</v>
      </c>
      <c r="V53" s="11">
        <v>6.43196534717608</v>
      </c>
      <c r="W53">
        <v>5</v>
      </c>
      <c r="AG53" s="142" t="s">
        <v>366</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381</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370</v>
      </c>
      <c r="C54" t="s">
        <v>370</v>
      </c>
      <c r="E54" s="11">
        <v>0.743295306072797</v>
      </c>
      <c r="I54" s="11">
        <v>0.677223548832968</v>
      </c>
      <c r="J54" s="11">
        <v>0.656209277870055</v>
      </c>
      <c r="L54" s="11">
        <v>0.62247470653344</v>
      </c>
      <c r="V54" s="11">
        <v>0.524452135498622</v>
      </c>
      <c r="W54">
        <v>5</v>
      </c>
      <c r="AG54" s="142" t="s">
        <v>371</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381</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372</v>
      </c>
      <c r="C55" t="s">
        <v>372</v>
      </c>
      <c r="E55" s="11">
        <v>0.53141239378321</v>
      </c>
      <c r="F55" s="11">
        <f>E55</f>
        <v>0.53141239378321</v>
      </c>
      <c r="I55" s="11">
        <f>F55</f>
        <v>0.53141239378321</v>
      </c>
      <c r="J55" s="11">
        <f>I55</f>
        <v>0.53141239378321</v>
      </c>
      <c r="L55" s="11">
        <f>J55</f>
        <v>0.53141239378321</v>
      </c>
      <c r="V55" s="11">
        <f>L55</f>
        <v>0.53141239378321</v>
      </c>
      <c r="W55">
        <v>5</v>
      </c>
      <c r="AG55" s="142" t="s">
        <v>366</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381</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373</v>
      </c>
      <c r="C56" t="s">
        <v>373</v>
      </c>
      <c r="E56" s="11">
        <v>28.7369724475552</v>
      </c>
      <c r="F56" s="11">
        <f>E56</f>
        <v>28.7369724475552</v>
      </c>
      <c r="I56" s="11">
        <f>F56</f>
        <v>28.7369724475552</v>
      </c>
      <c r="J56" s="11">
        <f>I56</f>
        <v>28.7369724475552</v>
      </c>
      <c r="L56" s="11">
        <f>J56</f>
        <v>28.7369724475552</v>
      </c>
      <c r="V56" s="11">
        <f>L56</f>
        <v>28.7369724475552</v>
      </c>
      <c r="W56">
        <v>5</v>
      </c>
      <c r="AG56" s="142" t="s">
        <v>366</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381</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374</v>
      </c>
      <c r="C57" t="s">
        <v>374</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42" t="s">
        <v>371</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381</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375</v>
      </c>
      <c r="C58" t="s">
        <v>375</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42" t="s">
        <v>371</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381</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376</v>
      </c>
      <c r="C59" t="s">
        <v>376</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42" t="s">
        <v>371</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381</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377</v>
      </c>
      <c r="C60" t="s">
        <v>377</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42" t="s">
        <v>378</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381</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379</v>
      </c>
      <c r="C61" t="s">
        <v>379</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42" t="s">
        <v>366</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381</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380</v>
      </c>
      <c r="C62" t="s">
        <v>380</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42" t="s">
        <v>366</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381</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365</v>
      </c>
      <c r="C63" t="s">
        <v>365</v>
      </c>
      <c r="E63" s="11">
        <v>0.556097471395552</v>
      </c>
      <c r="F63" s="11">
        <f>E63</f>
        <v>0.556097471395552</v>
      </c>
      <c r="I63" s="11">
        <f>F63</f>
        <v>0.556097471395552</v>
      </c>
      <c r="J63" s="11">
        <f>I63</f>
        <v>0.556097471395552</v>
      </c>
      <c r="L63" s="11">
        <f>J63</f>
        <v>0.556097471395552</v>
      </c>
      <c r="V63" s="11">
        <f>L63</f>
        <v>0.556097471395552</v>
      </c>
      <c r="W63">
        <v>5</v>
      </c>
      <c r="AG63" s="142" t="s">
        <v>366</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381</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368</v>
      </c>
      <c r="C64" t="s">
        <v>368</v>
      </c>
      <c r="E64" s="11">
        <v>262.50625171618</v>
      </c>
      <c r="F64" s="11">
        <f>E64</f>
        <v>262.50625171618</v>
      </c>
      <c r="I64" s="11">
        <f>F64</f>
        <v>262.50625171618</v>
      </c>
      <c r="J64" s="11">
        <f>I64</f>
        <v>262.50625171618</v>
      </c>
      <c r="L64" s="11">
        <f>J64</f>
        <v>262.50625171618</v>
      </c>
      <c r="V64" s="11">
        <f>L64</f>
        <v>262.50625171618</v>
      </c>
      <c r="W64">
        <v>5</v>
      </c>
      <c r="AG64" s="142" t="s">
        <v>366</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381</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369</v>
      </c>
      <c r="C65" t="s">
        <v>369</v>
      </c>
      <c r="E65" s="11">
        <v>1.78356265105312</v>
      </c>
      <c r="I65" s="11">
        <v>2.22661580785633</v>
      </c>
      <c r="J65" s="11">
        <v>2.32708131726095</v>
      </c>
      <c r="L65" s="11">
        <v>2.50388201247059</v>
      </c>
      <c r="V65" s="11">
        <v>3.07152023009688</v>
      </c>
      <c r="W65">
        <v>5</v>
      </c>
      <c r="AG65" s="142" t="s">
        <v>366</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381</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370</v>
      </c>
      <c r="C66" t="s">
        <v>370</v>
      </c>
      <c r="E66" s="11">
        <v>12.3807603168204</v>
      </c>
      <c r="I66" s="11">
        <v>12.6644810306856</v>
      </c>
      <c r="J66" s="11">
        <v>12.7260322944271</v>
      </c>
      <c r="L66" s="11">
        <v>12.8232854254518</v>
      </c>
      <c r="V66" s="11">
        <v>12.828033432102</v>
      </c>
      <c r="W66">
        <v>5</v>
      </c>
      <c r="AG66" s="142" t="s">
        <v>371</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381</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372</v>
      </c>
      <c r="C67" t="s">
        <v>372</v>
      </c>
      <c r="E67" s="11">
        <v>18.0740611496268</v>
      </c>
      <c r="F67" s="11">
        <f>E67</f>
        <v>18.0740611496268</v>
      </c>
      <c r="I67" s="11">
        <f>F67</f>
        <v>18.0740611496268</v>
      </c>
      <c r="J67" s="11">
        <f>I67</f>
        <v>18.0740611496268</v>
      </c>
      <c r="L67" s="11">
        <f>J67</f>
        <v>18.0740611496268</v>
      </c>
      <c r="V67" s="11">
        <f>L67</f>
        <v>18.0740611496268</v>
      </c>
      <c r="W67">
        <v>5</v>
      </c>
      <c r="AG67" s="142" t="s">
        <v>366</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381</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373</v>
      </c>
      <c r="C68" t="s">
        <v>373</v>
      </c>
      <c r="E68" s="11">
        <v>816.254772786243</v>
      </c>
      <c r="F68" s="11">
        <f>E68</f>
        <v>816.254772786243</v>
      </c>
      <c r="I68" s="11">
        <f>F68</f>
        <v>816.254772786243</v>
      </c>
      <c r="J68" s="11">
        <f>I68</f>
        <v>816.254772786243</v>
      </c>
      <c r="L68" s="11">
        <f>J68</f>
        <v>816.254772786243</v>
      </c>
      <c r="V68" s="11">
        <f>L68</f>
        <v>816.254772786243</v>
      </c>
      <c r="W68">
        <v>5</v>
      </c>
      <c r="AG68" s="142" t="s">
        <v>366</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381</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374</v>
      </c>
      <c r="C69" t="s">
        <v>374</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42" t="s">
        <v>371</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381</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375</v>
      </c>
      <c r="C70" t="s">
        <v>375</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42" t="s">
        <v>371</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381</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376</v>
      </c>
      <c r="C71" t="s">
        <v>376</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42" t="s">
        <v>371</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381</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377</v>
      </c>
      <c r="C72" t="s">
        <v>377</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42" t="s">
        <v>378</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381</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379</v>
      </c>
      <c r="C73" t="s">
        <v>379</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42" t="s">
        <v>366</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381</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380</v>
      </c>
      <c r="C74" t="s">
        <v>380</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42" t="s">
        <v>366</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381</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365</v>
      </c>
      <c r="C75" t="s">
        <v>365</v>
      </c>
      <c r="E75" s="11">
        <v>139.408253389821</v>
      </c>
      <c r="F75" s="11">
        <f>E75</f>
        <v>139.408253389821</v>
      </c>
      <c r="I75" s="11">
        <f>F75</f>
        <v>139.408253389821</v>
      </c>
      <c r="J75" s="11">
        <f>I75</f>
        <v>139.408253389821</v>
      </c>
      <c r="L75" s="11">
        <f>J75</f>
        <v>139.408253389821</v>
      </c>
      <c r="V75" s="11">
        <f>L75</f>
        <v>139.408253389821</v>
      </c>
      <c r="W75">
        <v>5</v>
      </c>
      <c r="AG75" s="142" t="s">
        <v>366</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367</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368</v>
      </c>
      <c r="C76" t="s">
        <v>368</v>
      </c>
      <c r="E76" s="11">
        <v>100.89549985663</v>
      </c>
      <c r="F76" s="11">
        <f>E76</f>
        <v>100.89549985663</v>
      </c>
      <c r="I76" s="11">
        <f>F76</f>
        <v>100.89549985663</v>
      </c>
      <c r="J76" s="11">
        <f>I76</f>
        <v>100.89549985663</v>
      </c>
      <c r="L76" s="11">
        <f>J76</f>
        <v>100.89549985663</v>
      </c>
      <c r="V76" s="11">
        <f>L76</f>
        <v>100.89549985663</v>
      </c>
      <c r="W76">
        <v>5</v>
      </c>
      <c r="AG76" s="142" t="s">
        <v>366</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367</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369</v>
      </c>
      <c r="C77" t="s">
        <v>369</v>
      </c>
      <c r="E77" s="11">
        <v>36.3491412681947</v>
      </c>
      <c r="I77" s="11">
        <v>51.7238503606635</v>
      </c>
      <c r="J77" s="11">
        <v>59.47712543275</v>
      </c>
      <c r="L77" s="11">
        <v>79.1294823604451</v>
      </c>
      <c r="V77" s="11">
        <v>192.459870143503</v>
      </c>
      <c r="W77">
        <v>5</v>
      </c>
      <c r="AG77" s="142" t="s">
        <v>366</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367</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370</v>
      </c>
      <c r="C78" t="s">
        <v>370</v>
      </c>
      <c r="E78" s="11">
        <v>16.8114020843873</v>
      </c>
      <c r="I78" s="11">
        <v>17.8160951323929</v>
      </c>
      <c r="J78" s="11">
        <v>17.9690096349578</v>
      </c>
      <c r="L78" s="11">
        <v>17.9821026520996</v>
      </c>
      <c r="V78" s="11">
        <v>14.8844598657544</v>
      </c>
      <c r="W78">
        <v>5</v>
      </c>
      <c r="AG78" s="142" t="s">
        <v>371</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367</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372</v>
      </c>
      <c r="C79" t="s">
        <v>372</v>
      </c>
      <c r="E79" s="11">
        <v>54.0166941738206</v>
      </c>
      <c r="F79" s="11">
        <f>E79</f>
        <v>54.0166941738206</v>
      </c>
      <c r="I79" s="11">
        <f>F79</f>
        <v>54.0166941738206</v>
      </c>
      <c r="J79" s="11">
        <f>I79</f>
        <v>54.0166941738206</v>
      </c>
      <c r="L79" s="11">
        <f>J79</f>
        <v>54.0166941738206</v>
      </c>
      <c r="V79" s="11">
        <f>L79</f>
        <v>54.0166941738206</v>
      </c>
      <c r="W79">
        <v>5</v>
      </c>
      <c r="AG79" s="142" t="s">
        <v>366</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367</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373</v>
      </c>
      <c r="C80" t="s">
        <v>373</v>
      </c>
      <c r="E80" s="11">
        <v>138.398524415336</v>
      </c>
      <c r="F80" s="11">
        <f>E80</f>
        <v>138.398524415336</v>
      </c>
      <c r="I80" s="11">
        <f>F80</f>
        <v>138.398524415336</v>
      </c>
      <c r="J80" s="11">
        <f>I80</f>
        <v>138.398524415336</v>
      </c>
      <c r="L80" s="11">
        <f>J80</f>
        <v>138.398524415336</v>
      </c>
      <c r="V80" s="11">
        <f>L80</f>
        <v>138.398524415336</v>
      </c>
      <c r="W80">
        <v>5</v>
      </c>
      <c r="AG80" s="142" t="s">
        <v>366</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367</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374</v>
      </c>
      <c r="C81" t="s">
        <v>374</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42" t="s">
        <v>371</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367</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375</v>
      </c>
      <c r="C82" t="s">
        <v>375</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42" t="s">
        <v>371</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367</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376</v>
      </c>
      <c r="C83" t="s">
        <v>376</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42" t="s">
        <v>371</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367</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377</v>
      </c>
      <c r="C84" t="s">
        <v>377</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42" t="s">
        <v>378</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367</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379</v>
      </c>
      <c r="C85" t="s">
        <v>379</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42" t="s">
        <v>366</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367</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380</v>
      </c>
      <c r="C86" t="s">
        <v>380</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42" t="s">
        <v>366</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367</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0" customFormat="1" spans="1:89">
      <c r="A87" s="10" t="s">
        <v>11</v>
      </c>
      <c r="B87" s="10" t="s">
        <v>365</v>
      </c>
      <c r="C87" s="10" t="s">
        <v>365</v>
      </c>
      <c r="E87" s="11">
        <v>1188.16711411818</v>
      </c>
      <c r="F87" s="11">
        <f>E87</f>
        <v>1188.16711411818</v>
      </c>
      <c r="I87" s="11">
        <f>F87</f>
        <v>1188.16711411818</v>
      </c>
      <c r="J87" s="11">
        <f>I87</f>
        <v>1188.16711411818</v>
      </c>
      <c r="L87" s="11">
        <f>J87</f>
        <v>1188.16711411818</v>
      </c>
      <c r="V87" s="11">
        <f>L87</f>
        <v>1188.16711411818</v>
      </c>
      <c r="W87" s="10">
        <v>5</v>
      </c>
      <c r="AG87" s="143" t="s">
        <v>366</v>
      </c>
      <c r="AI87" s="10">
        <v>1</v>
      </c>
      <c r="AJ87" s="10">
        <v>1.05112854144243</v>
      </c>
      <c r="AK87" s="10">
        <v>1.34748241570804</v>
      </c>
      <c r="AL87" s="10">
        <v>1.61939081647613</v>
      </c>
      <c r="AM87" s="10">
        <v>1.86637100263541</v>
      </c>
      <c r="AN87" s="10">
        <v>2.06432167722141</v>
      </c>
      <c r="AO87" s="10">
        <v>2.25382438235957</v>
      </c>
      <c r="AP87" s="10">
        <v>2.43076687895356</v>
      </c>
      <c r="AQ87" s="10">
        <v>2.58432772042495</v>
      </c>
      <c r="AR87" s="10">
        <v>2.73235938824186</v>
      </c>
      <c r="AS87" s="10">
        <v>2.8725062845741</v>
      </c>
      <c r="AT87" s="10">
        <v>2.98524868318952</v>
      </c>
      <c r="AU87" s="10">
        <v>3.06916517970485</v>
      </c>
      <c r="AV87" s="10">
        <v>3.130871115275</v>
      </c>
      <c r="AW87" s="10">
        <v>3.17630688746411</v>
      </c>
      <c r="AX87" s="10">
        <v>3.21307119895013</v>
      </c>
      <c r="AY87" s="10">
        <v>3.24296091942514</v>
      </c>
      <c r="AZ87" s="10">
        <v>3.25990155657189</v>
      </c>
      <c r="BA87" s="10">
        <v>0</v>
      </c>
      <c r="BB87" s="10">
        <v>0</v>
      </c>
      <c r="BC87" s="10">
        <v>0</v>
      </c>
      <c r="BD87" s="10">
        <v>0</v>
      </c>
      <c r="BE87" s="10">
        <v>0</v>
      </c>
      <c r="BF87" s="10">
        <v>0</v>
      </c>
      <c r="BG87" s="10">
        <v>0</v>
      </c>
      <c r="BH87" s="10">
        <v>0</v>
      </c>
      <c r="BJ87" s="10" t="s">
        <v>382</v>
      </c>
      <c r="BL87" s="10">
        <v>0.799999999999999</v>
      </c>
      <c r="BM87" s="10">
        <v>0.795121951219512</v>
      </c>
      <c r="BN87" s="10">
        <v>0.770731707317072</v>
      </c>
      <c r="BO87" s="10">
        <v>0.746341463414634</v>
      </c>
      <c r="BP87" s="10">
        <v>0.721951219512194</v>
      </c>
      <c r="BQ87" s="10">
        <v>0.697560975609756</v>
      </c>
      <c r="BR87" s="10">
        <v>0.673170731707316</v>
      </c>
      <c r="BS87" s="10">
        <v>0.648780487804878</v>
      </c>
      <c r="BT87" s="10">
        <v>0.62439024390244</v>
      </c>
      <c r="BU87" s="10">
        <v>0.6</v>
      </c>
      <c r="BV87" s="10">
        <v>0.574999999999999</v>
      </c>
      <c r="BW87" s="10">
        <v>0.550000000000001</v>
      </c>
      <c r="BX87" s="10">
        <v>0.525</v>
      </c>
      <c r="BY87" s="10">
        <v>0.5</v>
      </c>
      <c r="BZ87" s="10">
        <v>0.475</v>
      </c>
      <c r="CA87" s="10">
        <v>0.449999999999999</v>
      </c>
      <c r="CB87" s="10">
        <v>0.425000000000001</v>
      </c>
      <c r="CC87" s="10">
        <v>0.4</v>
      </c>
      <c r="CD87" s="10" t="e">
        <v>#VALUE!</v>
      </c>
      <c r="CE87" s="10" t="e">
        <v>#VALUE!</v>
      </c>
      <c r="CF87" s="10" t="e">
        <v>#VALUE!</v>
      </c>
      <c r="CG87" s="10" t="e">
        <v>#VALUE!</v>
      </c>
      <c r="CH87" s="10" t="e">
        <v>#VALUE!</v>
      </c>
      <c r="CI87" s="10" t="e">
        <v>#VALUE!</v>
      </c>
      <c r="CJ87" s="10" t="e">
        <v>#VALUE!</v>
      </c>
      <c r="CK87" s="10" t="e">
        <v>#VALUE!</v>
      </c>
    </row>
    <row r="88" spans="1:89">
      <c r="A88" t="s">
        <v>11</v>
      </c>
      <c r="B88" t="s">
        <v>368</v>
      </c>
      <c r="C88" t="s">
        <v>368</v>
      </c>
      <c r="E88" s="11">
        <v>467.444758409838</v>
      </c>
      <c r="F88" s="11">
        <f>E88</f>
        <v>467.444758409838</v>
      </c>
      <c r="I88" s="11">
        <f>F88</f>
        <v>467.444758409838</v>
      </c>
      <c r="J88" s="11">
        <f>I88</f>
        <v>467.444758409838</v>
      </c>
      <c r="L88" s="11">
        <f>J88</f>
        <v>467.444758409838</v>
      </c>
      <c r="V88" s="11">
        <f>L88</f>
        <v>467.444758409838</v>
      </c>
      <c r="W88">
        <v>5</v>
      </c>
      <c r="AG88" s="142" t="s">
        <v>366</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382</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369</v>
      </c>
      <c r="C89" t="s">
        <v>369</v>
      </c>
      <c r="E89" s="11">
        <v>144.327570907279</v>
      </c>
      <c r="I89" s="11">
        <v>224.407696622378</v>
      </c>
      <c r="J89" s="11">
        <v>241.010404715518</v>
      </c>
      <c r="L89" s="11">
        <v>268.938258912685</v>
      </c>
      <c r="V89" s="11">
        <v>317.390632286557</v>
      </c>
      <c r="W89">
        <v>5</v>
      </c>
      <c r="AG89" s="142" t="s">
        <v>366</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382</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370</v>
      </c>
      <c r="C90" t="s">
        <v>370</v>
      </c>
      <c r="E90" s="11">
        <v>326.607668327134</v>
      </c>
      <c r="I90" s="11">
        <v>322.411094673057</v>
      </c>
      <c r="J90" s="11">
        <v>318.688567557196</v>
      </c>
      <c r="L90" s="11">
        <v>308.001346625873</v>
      </c>
      <c r="V90" s="11">
        <v>240.985198947612</v>
      </c>
      <c r="W90">
        <v>5</v>
      </c>
      <c r="AG90" s="142" t="s">
        <v>371</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382</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372</v>
      </c>
      <c r="C91" t="s">
        <v>372</v>
      </c>
      <c r="E91" s="11">
        <v>1059.41231504256</v>
      </c>
      <c r="F91" s="11">
        <f>E91</f>
        <v>1059.41231504256</v>
      </c>
      <c r="I91" s="11">
        <f>F91</f>
        <v>1059.41231504256</v>
      </c>
      <c r="J91" s="11">
        <f>I91</f>
        <v>1059.41231504256</v>
      </c>
      <c r="L91" s="11">
        <f>J91</f>
        <v>1059.41231504256</v>
      </c>
      <c r="V91" s="11">
        <f>L91</f>
        <v>1059.41231504256</v>
      </c>
      <c r="W91">
        <v>5</v>
      </c>
      <c r="AG91" s="142" t="s">
        <v>366</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382</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373</v>
      </c>
      <c r="C92" t="s">
        <v>373</v>
      </c>
      <c r="E92" s="11">
        <v>494.941546836131</v>
      </c>
      <c r="F92" s="11">
        <f>E92</f>
        <v>494.941546836131</v>
      </c>
      <c r="I92" s="11">
        <f>F92</f>
        <v>494.941546836131</v>
      </c>
      <c r="J92" s="11">
        <f>I92</f>
        <v>494.941546836131</v>
      </c>
      <c r="L92" s="11">
        <f>J92</f>
        <v>494.941546836131</v>
      </c>
      <c r="V92" s="11">
        <f>L92</f>
        <v>494.941546836131</v>
      </c>
      <c r="W92">
        <v>5</v>
      </c>
      <c r="AG92" s="142" t="s">
        <v>366</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382</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374</v>
      </c>
      <c r="C93" t="s">
        <v>374</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42" t="s">
        <v>371</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382</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375</v>
      </c>
      <c r="C94" t="s">
        <v>375</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42" t="s">
        <v>371</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382</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376</v>
      </c>
      <c r="C95" t="s">
        <v>376</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42" t="s">
        <v>371</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382</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377</v>
      </c>
      <c r="C96" t="s">
        <v>377</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42" t="s">
        <v>378</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382</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379</v>
      </c>
      <c r="C97" t="s">
        <v>379</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42" t="s">
        <v>366</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382</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380</v>
      </c>
      <c r="C98" t="s">
        <v>380</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42" t="s">
        <v>366</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382</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365</v>
      </c>
      <c r="C99" t="s">
        <v>365</v>
      </c>
      <c r="E99" s="11">
        <v>0.474749727627687</v>
      </c>
      <c r="F99" s="11">
        <f>E99</f>
        <v>0.474749727627687</v>
      </c>
      <c r="I99" s="11">
        <f>F99</f>
        <v>0.474749727627687</v>
      </c>
      <c r="J99" s="11">
        <f>I99</f>
        <v>0.474749727627687</v>
      </c>
      <c r="L99" s="11">
        <f>J99</f>
        <v>0.474749727627687</v>
      </c>
      <c r="V99" s="11">
        <f>L99</f>
        <v>0.474749727627687</v>
      </c>
      <c r="W99">
        <v>5</v>
      </c>
      <c r="AG99" s="142" t="s">
        <v>366</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381</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368</v>
      </c>
      <c r="C100" t="s">
        <v>368</v>
      </c>
      <c r="E100" s="11">
        <v>9.59652531307715</v>
      </c>
      <c r="F100" s="11">
        <f>E100</f>
        <v>9.59652531307715</v>
      </c>
      <c r="I100" s="11">
        <f>F100</f>
        <v>9.59652531307715</v>
      </c>
      <c r="J100" s="11">
        <f>I100</f>
        <v>9.59652531307715</v>
      </c>
      <c r="L100" s="11">
        <f>J100</f>
        <v>9.59652531307715</v>
      </c>
      <c r="V100" s="11">
        <f>L100</f>
        <v>9.59652531307715</v>
      </c>
      <c r="W100">
        <v>5</v>
      </c>
      <c r="AG100" s="142" t="s">
        <v>366</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381</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369</v>
      </c>
      <c r="C101" t="s">
        <v>369</v>
      </c>
      <c r="E101" s="11">
        <v>1.00929896141801</v>
      </c>
      <c r="I101" s="11">
        <v>1.41658801405982</v>
      </c>
      <c r="J101" s="11">
        <v>1.47448946544171</v>
      </c>
      <c r="L101" s="11">
        <v>1.54503579850711</v>
      </c>
      <c r="V101" s="11">
        <v>1.74630995498665</v>
      </c>
      <c r="W101">
        <v>5</v>
      </c>
      <c r="AG101" s="142" t="s">
        <v>366</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381</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370</v>
      </c>
      <c r="C102" t="s">
        <v>370</v>
      </c>
      <c r="E102" s="11">
        <v>1.58463004706926</v>
      </c>
      <c r="I102" s="11">
        <v>1.50167208679505</v>
      </c>
      <c r="J102" s="11">
        <v>1.47566951737528</v>
      </c>
      <c r="L102" s="11">
        <v>1.42900847026344</v>
      </c>
      <c r="V102" s="11">
        <v>1.25848141112579</v>
      </c>
      <c r="W102">
        <v>5</v>
      </c>
      <c r="AG102" s="142" t="s">
        <v>371</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381</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372</v>
      </c>
      <c r="C103" t="s">
        <v>372</v>
      </c>
      <c r="E103" s="11">
        <v>2.11971648311455</v>
      </c>
      <c r="F103" s="11">
        <f>E103</f>
        <v>2.11971648311455</v>
      </c>
      <c r="I103" s="11">
        <f>F103</f>
        <v>2.11971648311455</v>
      </c>
      <c r="J103" s="11">
        <f>I103</f>
        <v>2.11971648311455</v>
      </c>
      <c r="L103" s="11">
        <f>J103</f>
        <v>2.11971648311455</v>
      </c>
      <c r="V103" s="11">
        <f>L103</f>
        <v>2.11971648311455</v>
      </c>
      <c r="W103">
        <v>5</v>
      </c>
      <c r="AG103" s="142" t="s">
        <v>366</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381</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373</v>
      </c>
      <c r="C104" t="s">
        <v>373</v>
      </c>
      <c r="E104" s="11">
        <v>8.94049211840846</v>
      </c>
      <c r="F104" s="11">
        <f>E104</f>
        <v>8.94049211840846</v>
      </c>
      <c r="I104" s="11">
        <f>F104</f>
        <v>8.94049211840846</v>
      </c>
      <c r="J104" s="11">
        <f>I104</f>
        <v>8.94049211840846</v>
      </c>
      <c r="L104" s="11">
        <f>J104</f>
        <v>8.94049211840846</v>
      </c>
      <c r="V104" s="11">
        <f>L104</f>
        <v>8.94049211840846</v>
      </c>
      <c r="W104">
        <v>5</v>
      </c>
      <c r="AG104" s="142" t="s">
        <v>366</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381</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374</v>
      </c>
      <c r="C105" t="s">
        <v>374</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42" t="s">
        <v>371</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381</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375</v>
      </c>
      <c r="C106" t="s">
        <v>375</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42" t="s">
        <v>371</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381</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376</v>
      </c>
      <c r="C107" t="s">
        <v>376</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42" t="s">
        <v>371</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381</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377</v>
      </c>
      <c r="C108" t="s">
        <v>377</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42" t="s">
        <v>378</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381</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379</v>
      </c>
      <c r="C109" t="s">
        <v>379</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42" t="s">
        <v>366</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381</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380</v>
      </c>
      <c r="C110" t="s">
        <v>380</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42" t="s">
        <v>366</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381</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365</v>
      </c>
      <c r="C111" t="s">
        <v>365</v>
      </c>
      <c r="E111" s="11">
        <v>2.00560851222116</v>
      </c>
      <c r="F111" s="11">
        <f>E111</f>
        <v>2.00560851222116</v>
      </c>
      <c r="I111" s="11">
        <f>F111</f>
        <v>2.00560851222116</v>
      </c>
      <c r="J111" s="11">
        <f>I111</f>
        <v>2.00560851222116</v>
      </c>
      <c r="L111" s="11">
        <f>J111</f>
        <v>2.00560851222116</v>
      </c>
      <c r="V111" s="11">
        <f>L111</f>
        <v>2.00560851222116</v>
      </c>
      <c r="W111">
        <v>5</v>
      </c>
      <c r="AG111" s="142" t="s">
        <v>366</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381</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368</v>
      </c>
      <c r="C112" t="s">
        <v>368</v>
      </c>
      <c r="E112" s="11">
        <v>19.5468221264771</v>
      </c>
      <c r="F112" s="11">
        <f>E112</f>
        <v>19.5468221264771</v>
      </c>
      <c r="I112" s="11">
        <f>F112</f>
        <v>19.5468221264771</v>
      </c>
      <c r="J112" s="11">
        <f>I112</f>
        <v>19.5468221264771</v>
      </c>
      <c r="L112" s="11">
        <f>J112</f>
        <v>19.5468221264771</v>
      </c>
      <c r="V112" s="11">
        <f>L112</f>
        <v>19.5468221264771</v>
      </c>
      <c r="W112">
        <v>5</v>
      </c>
      <c r="AG112" s="142" t="s">
        <v>366</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381</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369</v>
      </c>
      <c r="C113" t="s">
        <v>369</v>
      </c>
      <c r="E113" s="11">
        <v>3.92497340838634</v>
      </c>
      <c r="I113" s="11">
        <v>4.83125377216984</v>
      </c>
      <c r="J113" s="11">
        <v>5.09671332771343</v>
      </c>
      <c r="L113" s="11">
        <v>5.5506826861402</v>
      </c>
      <c r="V113" s="11">
        <v>7.01327729505485</v>
      </c>
      <c r="W113">
        <v>5</v>
      </c>
      <c r="AG113" s="142" t="s">
        <v>366</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381</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370</v>
      </c>
      <c r="C114" t="s">
        <v>370</v>
      </c>
      <c r="E114" s="11">
        <v>7.10295902802551</v>
      </c>
      <c r="I114" s="11">
        <v>7.09434671357223</v>
      </c>
      <c r="J114" s="11">
        <v>7.02400495859201</v>
      </c>
      <c r="L114" s="11">
        <v>6.91840009341947</v>
      </c>
      <c r="V114" s="11">
        <v>6.28230153212521</v>
      </c>
      <c r="W114">
        <v>5</v>
      </c>
      <c r="AG114" s="142" t="s">
        <v>371</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381</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372</v>
      </c>
      <c r="C115" t="s">
        <v>372</v>
      </c>
      <c r="E115" s="11">
        <v>0.215645069999914</v>
      </c>
      <c r="F115" s="11">
        <f>E115</f>
        <v>0.215645069999914</v>
      </c>
      <c r="I115" s="11">
        <f>F115</f>
        <v>0.215645069999914</v>
      </c>
      <c r="J115" s="11">
        <f>I115</f>
        <v>0.215645069999914</v>
      </c>
      <c r="L115" s="11">
        <f>J115</f>
        <v>0.215645069999914</v>
      </c>
      <c r="V115" s="11">
        <f>L115</f>
        <v>0.215645069999914</v>
      </c>
      <c r="W115">
        <v>5</v>
      </c>
      <c r="AG115" s="142" t="s">
        <v>366</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381</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373</v>
      </c>
      <c r="C116" t="s">
        <v>373</v>
      </c>
      <c r="E116" s="11">
        <v>0</v>
      </c>
      <c r="F116" s="11">
        <f>E116</f>
        <v>0</v>
      </c>
      <c r="I116" s="11">
        <f>F116</f>
        <v>0</v>
      </c>
      <c r="J116" s="11">
        <f>I116</f>
        <v>0</v>
      </c>
      <c r="L116" s="11">
        <f>J116</f>
        <v>0</v>
      </c>
      <c r="V116" s="11">
        <f>L116</f>
        <v>0</v>
      </c>
      <c r="W116">
        <v>5</v>
      </c>
      <c r="AG116" s="142" t="s">
        <v>366</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381</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374</v>
      </c>
      <c r="C117" t="s">
        <v>374</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42" t="s">
        <v>371</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381</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375</v>
      </c>
      <c r="C118" t="s">
        <v>375</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42" t="s">
        <v>371</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381</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376</v>
      </c>
      <c r="C119" t="s">
        <v>376</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42" t="s">
        <v>371</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381</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377</v>
      </c>
      <c r="C120" t="s">
        <v>377</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42" t="s">
        <v>378</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381</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379</v>
      </c>
      <c r="C121" t="s">
        <v>379</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42" t="s">
        <v>366</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381</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380</v>
      </c>
      <c r="C122" t="s">
        <v>380</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42" t="s">
        <v>366</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381</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365</v>
      </c>
      <c r="C123" t="s">
        <v>365</v>
      </c>
      <c r="E123" s="11">
        <v>67.7006244221446</v>
      </c>
      <c r="F123" s="11">
        <f>E123</f>
        <v>67.7006244221446</v>
      </c>
      <c r="I123" s="11">
        <f>F123</f>
        <v>67.7006244221446</v>
      </c>
      <c r="J123" s="11">
        <f>I123</f>
        <v>67.7006244221446</v>
      </c>
      <c r="L123" s="11">
        <f>J123</f>
        <v>67.7006244221446</v>
      </c>
      <c r="V123" s="11">
        <f>L123</f>
        <v>67.7006244221446</v>
      </c>
      <c r="W123">
        <v>5</v>
      </c>
      <c r="AG123" s="142" t="s">
        <v>366</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381</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368</v>
      </c>
      <c r="C124" t="s">
        <v>368</v>
      </c>
      <c r="E124" s="11">
        <v>259.667818336121</v>
      </c>
      <c r="F124" s="11">
        <f>E124</f>
        <v>259.667818336121</v>
      </c>
      <c r="I124" s="11">
        <f>F124</f>
        <v>259.667818336121</v>
      </c>
      <c r="J124" s="11">
        <f>I124</f>
        <v>259.667818336121</v>
      </c>
      <c r="L124" s="11">
        <f>J124</f>
        <v>259.667818336121</v>
      </c>
      <c r="V124" s="11">
        <f>L124</f>
        <v>259.667818336121</v>
      </c>
      <c r="W124">
        <v>5</v>
      </c>
      <c r="AG124" s="142" t="s">
        <v>366</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381</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369</v>
      </c>
      <c r="C125" t="s">
        <v>369</v>
      </c>
      <c r="E125" s="11">
        <v>4.72257563891638</v>
      </c>
      <c r="I125" s="11">
        <v>5.77714122000144</v>
      </c>
      <c r="J125" s="11">
        <v>6.05615573207307</v>
      </c>
      <c r="L125" s="11">
        <v>6.60926879552228</v>
      </c>
      <c r="V125" s="11">
        <v>9.30139354906975</v>
      </c>
      <c r="W125">
        <v>5</v>
      </c>
      <c r="AG125" s="142" t="s">
        <v>366</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381</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370</v>
      </c>
      <c r="C126" t="s">
        <v>370</v>
      </c>
      <c r="E126" s="11">
        <v>31.0685582966778</v>
      </c>
      <c r="I126" s="11">
        <v>31.8370089157593</v>
      </c>
      <c r="J126" s="11">
        <v>32.1180186747229</v>
      </c>
      <c r="L126" s="11">
        <v>32.5692744879249</v>
      </c>
      <c r="V126" s="11">
        <v>33.9075290194786</v>
      </c>
      <c r="W126">
        <v>5</v>
      </c>
      <c r="AG126" s="142" t="s">
        <v>371</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381</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372</v>
      </c>
      <c r="C127" t="s">
        <v>372</v>
      </c>
      <c r="E127" s="11">
        <v>21.0626926925154</v>
      </c>
      <c r="F127" s="11">
        <f>E127</f>
        <v>21.0626926925154</v>
      </c>
      <c r="I127" s="11">
        <f>F127</f>
        <v>21.0626926925154</v>
      </c>
      <c r="J127" s="11">
        <f>I127</f>
        <v>21.0626926925154</v>
      </c>
      <c r="L127" s="11">
        <f>J127</f>
        <v>21.0626926925154</v>
      </c>
      <c r="V127" s="11">
        <f>L127</f>
        <v>21.0626926925154</v>
      </c>
      <c r="W127">
        <v>5</v>
      </c>
      <c r="AG127" s="142" t="s">
        <v>366</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381</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373</v>
      </c>
      <c r="C128" t="s">
        <v>373</v>
      </c>
      <c r="E128" s="11">
        <v>70.9847274318518</v>
      </c>
      <c r="F128" s="11">
        <f>E128</f>
        <v>70.9847274318518</v>
      </c>
      <c r="I128" s="11">
        <f>F128</f>
        <v>70.9847274318518</v>
      </c>
      <c r="J128" s="11">
        <f>I128</f>
        <v>70.9847274318518</v>
      </c>
      <c r="L128" s="11">
        <f>J128</f>
        <v>70.9847274318518</v>
      </c>
      <c r="V128" s="11">
        <f>L128</f>
        <v>70.9847274318518</v>
      </c>
      <c r="W128">
        <v>5</v>
      </c>
      <c r="AG128" s="142" t="s">
        <v>366</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381</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374</v>
      </c>
      <c r="C129" t="s">
        <v>374</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42" t="s">
        <v>371</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381</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375</v>
      </c>
      <c r="C130" t="s">
        <v>375</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42" t="s">
        <v>371</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381</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376</v>
      </c>
      <c r="C131" t="s">
        <v>376</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42" t="s">
        <v>371</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381</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377</v>
      </c>
      <c r="C132" t="s">
        <v>377</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42" t="s">
        <v>378</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381</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379</v>
      </c>
      <c r="C133" t="s">
        <v>379</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42" t="s">
        <v>366</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381</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380</v>
      </c>
      <c r="C134" t="s">
        <v>380</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42" t="s">
        <v>366</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381</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365</v>
      </c>
      <c r="C135" t="s">
        <v>365</v>
      </c>
      <c r="E135" s="11">
        <v>30.8925002060472</v>
      </c>
      <c r="F135" s="11">
        <f>E135</f>
        <v>30.8925002060472</v>
      </c>
      <c r="I135" s="11">
        <f>F135</f>
        <v>30.8925002060472</v>
      </c>
      <c r="J135" s="11">
        <f>I135</f>
        <v>30.8925002060472</v>
      </c>
      <c r="L135" s="11">
        <f>J135</f>
        <v>30.8925002060472</v>
      </c>
      <c r="V135" s="11">
        <f>L135</f>
        <v>30.8925002060472</v>
      </c>
      <c r="W135">
        <v>5</v>
      </c>
      <c r="AG135" s="142" t="s">
        <v>366</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381</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368</v>
      </c>
      <c r="C136" t="s">
        <v>368</v>
      </c>
      <c r="E136" s="11">
        <v>411.735252066231</v>
      </c>
      <c r="F136" s="11">
        <f>E136</f>
        <v>411.735252066231</v>
      </c>
      <c r="I136" s="11">
        <f>F136</f>
        <v>411.735252066231</v>
      </c>
      <c r="J136" s="11">
        <f>I136</f>
        <v>411.735252066231</v>
      </c>
      <c r="L136" s="11">
        <f>J136</f>
        <v>411.735252066231</v>
      </c>
      <c r="V136" s="11">
        <f>L136</f>
        <v>411.735252066231</v>
      </c>
      <c r="W136">
        <v>5</v>
      </c>
      <c r="AG136" s="142" t="s">
        <v>366</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381</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369</v>
      </c>
      <c r="C137" t="s">
        <v>369</v>
      </c>
      <c r="E137" s="11">
        <v>10.2422820870275</v>
      </c>
      <c r="I137" s="11">
        <v>11.6970659852254</v>
      </c>
      <c r="J137" s="11">
        <v>12.2167840930765</v>
      </c>
      <c r="L137" s="11">
        <v>13.2500408782904</v>
      </c>
      <c r="V137" s="11">
        <v>16.4810771612383</v>
      </c>
      <c r="W137">
        <v>5</v>
      </c>
      <c r="AG137" s="142" t="s">
        <v>366</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381</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370</v>
      </c>
      <c r="C138" t="s">
        <v>370</v>
      </c>
      <c r="E138" s="11">
        <v>41.728037261455</v>
      </c>
      <c r="I138" s="11">
        <v>41.4076364519895</v>
      </c>
      <c r="J138" s="11">
        <v>41.206691240923</v>
      </c>
      <c r="L138" s="11">
        <v>40.8643391636625</v>
      </c>
      <c r="V138" s="11">
        <v>38.3848419306435</v>
      </c>
      <c r="W138">
        <v>5</v>
      </c>
      <c r="AG138" s="142" t="s">
        <v>371</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381</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372</v>
      </c>
      <c r="C139" t="s">
        <v>372</v>
      </c>
      <c r="E139" s="11">
        <v>11.29741306648</v>
      </c>
      <c r="F139" s="11">
        <f>E139</f>
        <v>11.29741306648</v>
      </c>
      <c r="I139" s="11">
        <f>F139</f>
        <v>11.29741306648</v>
      </c>
      <c r="J139" s="11">
        <f>I139</f>
        <v>11.29741306648</v>
      </c>
      <c r="L139" s="11">
        <f>J139</f>
        <v>11.29741306648</v>
      </c>
      <c r="V139" s="11">
        <f>L139</f>
        <v>11.29741306648</v>
      </c>
      <c r="W139">
        <v>5</v>
      </c>
      <c r="AG139" s="142" t="s">
        <v>366</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381</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373</v>
      </c>
      <c r="C140" t="s">
        <v>373</v>
      </c>
      <c r="E140" s="11">
        <v>57.0532322107784</v>
      </c>
      <c r="F140" s="11">
        <f>E140</f>
        <v>57.0532322107784</v>
      </c>
      <c r="I140" s="11">
        <f>F140</f>
        <v>57.0532322107784</v>
      </c>
      <c r="J140" s="11">
        <f>I140</f>
        <v>57.0532322107784</v>
      </c>
      <c r="L140" s="11">
        <f>J140</f>
        <v>57.0532322107784</v>
      </c>
      <c r="V140" s="11">
        <f>L140</f>
        <v>57.0532322107784</v>
      </c>
      <c r="W140">
        <v>5</v>
      </c>
      <c r="AG140" s="142" t="s">
        <v>366</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381</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374</v>
      </c>
      <c r="C141" t="s">
        <v>374</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42" t="s">
        <v>371</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381</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375</v>
      </c>
      <c r="C142" t="s">
        <v>375</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42" t="s">
        <v>371</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381</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376</v>
      </c>
      <c r="C143" t="s">
        <v>376</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42" t="s">
        <v>371</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381</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377</v>
      </c>
      <c r="C144" t="s">
        <v>377</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42" t="s">
        <v>378</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381</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379</v>
      </c>
      <c r="C145" t="s">
        <v>379</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42" t="s">
        <v>366</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381</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380</v>
      </c>
      <c r="C146" t="s">
        <v>380</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42" t="s">
        <v>366</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381</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365</v>
      </c>
      <c r="C147" t="s">
        <v>365</v>
      </c>
      <c r="E147" s="11">
        <v>9.41801071539259</v>
      </c>
      <c r="F147" s="11">
        <f>E147</f>
        <v>9.41801071539259</v>
      </c>
      <c r="I147" s="11">
        <f>F147</f>
        <v>9.41801071539259</v>
      </c>
      <c r="J147" s="11">
        <f>I147</f>
        <v>9.41801071539259</v>
      </c>
      <c r="L147" s="11">
        <f>J147</f>
        <v>9.41801071539259</v>
      </c>
      <c r="V147" s="11">
        <f>L147</f>
        <v>9.41801071539259</v>
      </c>
      <c r="W147">
        <v>5</v>
      </c>
      <c r="AG147" s="142" t="s">
        <v>366</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381</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368</v>
      </c>
      <c r="C148" t="s">
        <v>368</v>
      </c>
      <c r="E148" s="11">
        <v>60.0666943733252</v>
      </c>
      <c r="F148" s="11">
        <f>E148</f>
        <v>60.0666943733252</v>
      </c>
      <c r="I148" s="11">
        <f>F148</f>
        <v>60.0666943733252</v>
      </c>
      <c r="J148" s="11">
        <f>I148</f>
        <v>60.0666943733252</v>
      </c>
      <c r="L148" s="11">
        <f>J148</f>
        <v>60.0666943733252</v>
      </c>
      <c r="V148" s="11">
        <f>L148</f>
        <v>60.0666943733252</v>
      </c>
      <c r="W148">
        <v>5</v>
      </c>
      <c r="AG148" s="142" t="s">
        <v>366</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381</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369</v>
      </c>
      <c r="C149" t="s">
        <v>369</v>
      </c>
      <c r="E149" s="11">
        <v>0.407881973548625</v>
      </c>
      <c r="I149" s="11">
        <v>0.556269853938886</v>
      </c>
      <c r="J149" s="11">
        <v>0.592210356864755</v>
      </c>
      <c r="L149" s="11">
        <v>0.658731360506297</v>
      </c>
      <c r="V149" s="11">
        <v>0.856844601589363</v>
      </c>
      <c r="W149">
        <v>5</v>
      </c>
      <c r="AG149" s="142" t="s">
        <v>366</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381</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370</v>
      </c>
      <c r="C150" t="s">
        <v>370</v>
      </c>
      <c r="E150" s="11">
        <v>0.699362690149308</v>
      </c>
      <c r="I150" s="11">
        <v>0.682703126816235</v>
      </c>
      <c r="J150" s="11">
        <v>0.678924584296357</v>
      </c>
      <c r="L150" s="11">
        <v>0.673124624068275</v>
      </c>
      <c r="V150" s="11">
        <v>0.613005347160796</v>
      </c>
      <c r="W150">
        <v>5</v>
      </c>
      <c r="AG150" s="142" t="s">
        <v>371</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381</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372</v>
      </c>
      <c r="C151" t="s">
        <v>372</v>
      </c>
      <c r="E151" s="11">
        <v>26.7348015160745</v>
      </c>
      <c r="F151" s="11">
        <f>E151</f>
        <v>26.7348015160745</v>
      </c>
      <c r="I151" s="11">
        <f>F151</f>
        <v>26.7348015160745</v>
      </c>
      <c r="J151" s="11">
        <f>I151</f>
        <v>26.7348015160745</v>
      </c>
      <c r="L151" s="11">
        <f>J151</f>
        <v>26.7348015160745</v>
      </c>
      <c r="V151" s="11">
        <f>L151</f>
        <v>26.7348015160745</v>
      </c>
      <c r="W151">
        <v>5</v>
      </c>
      <c r="AG151" s="142" t="s">
        <v>366</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381</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373</v>
      </c>
      <c r="C152" t="s">
        <v>373</v>
      </c>
      <c r="E152" s="11">
        <v>116.52376180417</v>
      </c>
      <c r="F152" s="11">
        <f>E152</f>
        <v>116.52376180417</v>
      </c>
      <c r="I152" s="11">
        <f>F152</f>
        <v>116.52376180417</v>
      </c>
      <c r="J152" s="11">
        <f>I152</f>
        <v>116.52376180417</v>
      </c>
      <c r="L152" s="11">
        <f>J152</f>
        <v>116.52376180417</v>
      </c>
      <c r="V152" s="11">
        <f>L152</f>
        <v>116.52376180417</v>
      </c>
      <c r="W152">
        <v>5</v>
      </c>
      <c r="AG152" s="142" t="s">
        <v>366</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381</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374</v>
      </c>
      <c r="C153" t="s">
        <v>374</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42" t="s">
        <v>371</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381</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375</v>
      </c>
      <c r="C154" t="s">
        <v>375</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42" t="s">
        <v>371</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381</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376</v>
      </c>
      <c r="C155" t="s">
        <v>376</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42" t="s">
        <v>371</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381</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377</v>
      </c>
      <c r="C156" t="s">
        <v>377</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42" t="s">
        <v>378</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381</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379</v>
      </c>
      <c r="C157" t="s">
        <v>379</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42" t="s">
        <v>366</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381</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380</v>
      </c>
      <c r="C158" t="s">
        <v>380</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42" t="s">
        <v>366</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381</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365</v>
      </c>
      <c r="C159" t="s">
        <v>365</v>
      </c>
      <c r="E159" s="11">
        <v>3.26516627111412</v>
      </c>
      <c r="F159" s="11">
        <f>E159</f>
        <v>3.26516627111412</v>
      </c>
      <c r="I159" s="11">
        <f>F159</f>
        <v>3.26516627111412</v>
      </c>
      <c r="J159" s="11">
        <f>I159</f>
        <v>3.26516627111412</v>
      </c>
      <c r="L159" s="11">
        <f>J159</f>
        <v>3.26516627111412</v>
      </c>
      <c r="V159" s="11">
        <f>L159</f>
        <v>3.26516627111412</v>
      </c>
      <c r="W159">
        <v>5</v>
      </c>
      <c r="AG159" s="142" t="s">
        <v>366</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381</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368</v>
      </c>
      <c r="C160" t="s">
        <v>368</v>
      </c>
      <c r="E160" s="11">
        <v>28.7692351147517</v>
      </c>
      <c r="F160" s="11">
        <f>E160</f>
        <v>28.7692351147517</v>
      </c>
      <c r="I160" s="11">
        <f>F160</f>
        <v>28.7692351147517</v>
      </c>
      <c r="J160" s="11">
        <f>I160</f>
        <v>28.7692351147517</v>
      </c>
      <c r="L160" s="11">
        <f>J160</f>
        <v>28.7692351147517</v>
      </c>
      <c r="V160" s="11">
        <f>L160</f>
        <v>28.7692351147517</v>
      </c>
      <c r="W160">
        <v>5</v>
      </c>
      <c r="AG160" s="142" t="s">
        <v>366</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381</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369</v>
      </c>
      <c r="C161" t="s">
        <v>369</v>
      </c>
      <c r="E161" s="11">
        <v>7.75342561481203</v>
      </c>
      <c r="I161" s="11">
        <v>10.6106392868222</v>
      </c>
      <c r="J161" s="11">
        <v>11.184011651854</v>
      </c>
      <c r="L161" s="11">
        <v>11.9476259257563</v>
      </c>
      <c r="V161" s="11">
        <v>13.8206787126309</v>
      </c>
      <c r="W161">
        <v>5</v>
      </c>
      <c r="AG161" s="142" t="s">
        <v>366</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381</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370</v>
      </c>
      <c r="C162" t="s">
        <v>370</v>
      </c>
      <c r="E162" s="11">
        <v>8.67473913168791</v>
      </c>
      <c r="I162" s="11">
        <v>8.08336435165592</v>
      </c>
      <c r="J162" s="11">
        <v>7.89625828842359</v>
      </c>
      <c r="L162" s="11">
        <v>7.54541790110384</v>
      </c>
      <c r="V162" s="11">
        <v>6.17662652933353</v>
      </c>
      <c r="W162">
        <v>5</v>
      </c>
      <c r="AG162" s="142" t="s">
        <v>371</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381</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372</v>
      </c>
      <c r="C163" t="s">
        <v>372</v>
      </c>
      <c r="E163" s="11">
        <v>2.08057642901886</v>
      </c>
      <c r="F163" s="11">
        <f>E163</f>
        <v>2.08057642901886</v>
      </c>
      <c r="I163" s="11">
        <f>F163</f>
        <v>2.08057642901886</v>
      </c>
      <c r="J163" s="11">
        <f>I163</f>
        <v>2.08057642901886</v>
      </c>
      <c r="L163" s="11">
        <f>J163</f>
        <v>2.08057642901886</v>
      </c>
      <c r="V163" s="11">
        <f>L163</f>
        <v>2.08057642901886</v>
      </c>
      <c r="W163">
        <v>5</v>
      </c>
      <c r="AG163" s="142" t="s">
        <v>366</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381</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373</v>
      </c>
      <c r="C164" t="s">
        <v>373</v>
      </c>
      <c r="E164" s="11">
        <v>4.70380562556693</v>
      </c>
      <c r="F164" s="11">
        <f>E164</f>
        <v>4.70380562556693</v>
      </c>
      <c r="I164" s="11">
        <f>F164</f>
        <v>4.70380562556693</v>
      </c>
      <c r="J164" s="11">
        <f>I164</f>
        <v>4.70380562556693</v>
      </c>
      <c r="L164" s="11">
        <f>J164</f>
        <v>4.70380562556693</v>
      </c>
      <c r="V164" s="11">
        <f>L164</f>
        <v>4.70380562556693</v>
      </c>
      <c r="W164">
        <v>5</v>
      </c>
      <c r="AG164" s="142" t="s">
        <v>366</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381</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374</v>
      </c>
      <c r="C165" t="s">
        <v>374</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42" t="s">
        <v>371</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381</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375</v>
      </c>
      <c r="C166" t="s">
        <v>375</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42" t="s">
        <v>371</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381</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376</v>
      </c>
      <c r="C167" t="s">
        <v>376</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42" t="s">
        <v>371</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381</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377</v>
      </c>
      <c r="C168" t="s">
        <v>377</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42" t="s">
        <v>378</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381</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379</v>
      </c>
      <c r="C169" t="s">
        <v>379</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42" t="s">
        <v>366</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381</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380</v>
      </c>
      <c r="C170" t="s">
        <v>380</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42" t="s">
        <v>366</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381</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365</v>
      </c>
      <c r="C171" t="s">
        <v>365</v>
      </c>
      <c r="E171" s="11">
        <v>0.385231112178535</v>
      </c>
      <c r="F171" s="11">
        <f>E171</f>
        <v>0.385231112178535</v>
      </c>
      <c r="I171" s="11">
        <f>F171</f>
        <v>0.385231112178535</v>
      </c>
      <c r="J171" s="11">
        <f>I171</f>
        <v>0.385231112178535</v>
      </c>
      <c r="L171" s="11">
        <f>J171</f>
        <v>0.385231112178535</v>
      </c>
      <c r="V171" s="11">
        <f>L171</f>
        <v>0.385231112178535</v>
      </c>
      <c r="W171">
        <v>5</v>
      </c>
      <c r="AG171" s="142" t="s">
        <v>366</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381</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368</v>
      </c>
      <c r="C172" t="s">
        <v>368</v>
      </c>
      <c r="E172" s="11">
        <v>13.2313227078569</v>
      </c>
      <c r="F172" s="11">
        <f>E172</f>
        <v>13.2313227078569</v>
      </c>
      <c r="I172" s="11">
        <f>F172</f>
        <v>13.2313227078569</v>
      </c>
      <c r="J172" s="11">
        <f>I172</f>
        <v>13.2313227078569</v>
      </c>
      <c r="L172" s="11">
        <f>J172</f>
        <v>13.2313227078569</v>
      </c>
      <c r="V172" s="11">
        <f>L172</f>
        <v>13.2313227078569</v>
      </c>
      <c r="W172">
        <v>5</v>
      </c>
      <c r="AG172" s="142" t="s">
        <v>366</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381</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369</v>
      </c>
      <c r="C173" t="s">
        <v>369</v>
      </c>
      <c r="E173" s="11">
        <v>0</v>
      </c>
      <c r="I173" s="11">
        <v>0</v>
      </c>
      <c r="J173" s="11">
        <v>0</v>
      </c>
      <c r="L173" s="11">
        <v>0</v>
      </c>
      <c r="V173" s="11">
        <v>0</v>
      </c>
      <c r="W173">
        <v>5</v>
      </c>
      <c r="AG173" s="142" t="s">
        <v>366</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381</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370</v>
      </c>
      <c r="C174" t="s">
        <v>370</v>
      </c>
      <c r="E174" s="11">
        <v>0</v>
      </c>
      <c r="I174" s="11">
        <v>0</v>
      </c>
      <c r="J174" s="11">
        <v>0</v>
      </c>
      <c r="L174" s="11">
        <v>0</v>
      </c>
      <c r="V174" s="11">
        <v>0</v>
      </c>
      <c r="W174">
        <v>5</v>
      </c>
      <c r="AG174" s="142" t="s">
        <v>371</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381</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372</v>
      </c>
      <c r="C175" t="s">
        <v>372</v>
      </c>
      <c r="E175" s="11">
        <v>0.709145337885679</v>
      </c>
      <c r="F175" s="11">
        <f>E175</f>
        <v>0.709145337885679</v>
      </c>
      <c r="I175" s="11">
        <f>F175</f>
        <v>0.709145337885679</v>
      </c>
      <c r="J175" s="11">
        <f>I175</f>
        <v>0.709145337885679</v>
      </c>
      <c r="L175" s="11">
        <f>J175</f>
        <v>0.709145337885679</v>
      </c>
      <c r="V175" s="11">
        <f>L175</f>
        <v>0.709145337885679</v>
      </c>
      <c r="W175">
        <v>5</v>
      </c>
      <c r="AG175" s="142" t="s">
        <v>366</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381</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373</v>
      </c>
      <c r="C176" t="s">
        <v>373</v>
      </c>
      <c r="E176" s="11">
        <v>2.73749995706238</v>
      </c>
      <c r="F176" s="11">
        <f>E176</f>
        <v>2.73749995706238</v>
      </c>
      <c r="I176" s="11">
        <f>F176</f>
        <v>2.73749995706238</v>
      </c>
      <c r="J176" s="11">
        <f>I176</f>
        <v>2.73749995706238</v>
      </c>
      <c r="L176" s="11">
        <f>J176</f>
        <v>2.73749995706238</v>
      </c>
      <c r="V176" s="11">
        <f>L176</f>
        <v>2.73749995706238</v>
      </c>
      <c r="W176">
        <v>5</v>
      </c>
      <c r="AG176" s="142" t="s">
        <v>366</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381</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374</v>
      </c>
      <c r="C177" t="s">
        <v>374</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42" t="s">
        <v>371</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381</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375</v>
      </c>
      <c r="C178" t="s">
        <v>375</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42" t="s">
        <v>371</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381</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376</v>
      </c>
      <c r="C179" t="s">
        <v>376</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42" t="s">
        <v>371</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381</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377</v>
      </c>
      <c r="C180" t="s">
        <v>377</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42" t="s">
        <v>378</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381</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379</v>
      </c>
      <c r="C181" t="s">
        <v>379</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42" t="s">
        <v>366</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381</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380</v>
      </c>
      <c r="C182" t="s">
        <v>380</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42" t="s">
        <v>366</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381</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365</v>
      </c>
      <c r="C183" t="s">
        <v>365</v>
      </c>
      <c r="E183" s="11">
        <v>186.015286947819</v>
      </c>
      <c r="F183" s="11">
        <f>E183</f>
        <v>186.015286947819</v>
      </c>
      <c r="I183" s="11">
        <f>F183</f>
        <v>186.015286947819</v>
      </c>
      <c r="J183" s="11">
        <f>I183</f>
        <v>186.015286947819</v>
      </c>
      <c r="L183" s="11">
        <f>J183</f>
        <v>186.015286947819</v>
      </c>
      <c r="V183" s="11">
        <f>L183</f>
        <v>186.015286947819</v>
      </c>
      <c r="W183">
        <v>5</v>
      </c>
      <c r="AG183" s="142" t="s">
        <v>366</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367</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368</v>
      </c>
      <c r="C184" t="s">
        <v>368</v>
      </c>
      <c r="E184" s="11">
        <v>184.129899916563</v>
      </c>
      <c r="F184" s="11">
        <f>E184</f>
        <v>184.129899916563</v>
      </c>
      <c r="I184" s="11">
        <f>F184</f>
        <v>184.129899916563</v>
      </c>
      <c r="J184" s="11">
        <f>I184</f>
        <v>184.129899916563</v>
      </c>
      <c r="L184" s="11">
        <f>J184</f>
        <v>184.129899916563</v>
      </c>
      <c r="V184" s="11">
        <f>L184</f>
        <v>184.129899916563</v>
      </c>
      <c r="W184">
        <v>5</v>
      </c>
      <c r="AG184" s="142" t="s">
        <v>366</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367</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369</v>
      </c>
      <c r="C185" t="s">
        <v>369</v>
      </c>
      <c r="E185" s="11">
        <v>78.4974489885753</v>
      </c>
      <c r="I185" s="11">
        <v>179.473164032869</v>
      </c>
      <c r="J185" s="11">
        <v>217.58565066713</v>
      </c>
      <c r="L185" s="11">
        <v>299.687527515158</v>
      </c>
      <c r="V185" s="11">
        <v>700.385629999891</v>
      </c>
      <c r="W185">
        <v>5</v>
      </c>
      <c r="AG185" s="142" t="s">
        <v>366</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367</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370</v>
      </c>
      <c r="C186" t="s">
        <v>370</v>
      </c>
      <c r="E186" s="11">
        <v>104.060158429408</v>
      </c>
      <c r="I186" s="11">
        <v>115.579723919514</v>
      </c>
      <c r="J186" s="11">
        <v>118.102884953976</v>
      </c>
      <c r="L186" s="11">
        <v>120.651844860726</v>
      </c>
      <c r="V186" s="11">
        <v>106.318426449093</v>
      </c>
      <c r="W186">
        <v>5</v>
      </c>
      <c r="AG186" s="142" t="s">
        <v>371</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367</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372</v>
      </c>
      <c r="C187" t="s">
        <v>372</v>
      </c>
      <c r="E187" s="11">
        <v>66.791549374975</v>
      </c>
      <c r="F187" s="11">
        <f>E187</f>
        <v>66.791549374975</v>
      </c>
      <c r="I187" s="11">
        <f>F187</f>
        <v>66.791549374975</v>
      </c>
      <c r="J187" s="11">
        <f>I187</f>
        <v>66.791549374975</v>
      </c>
      <c r="L187" s="11">
        <f>J187</f>
        <v>66.791549374975</v>
      </c>
      <c r="V187" s="11">
        <f>L187</f>
        <v>66.791549374975</v>
      </c>
      <c r="W187">
        <v>5</v>
      </c>
      <c r="AG187" s="142" t="s">
        <v>366</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367</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373</v>
      </c>
      <c r="C188" t="s">
        <v>373</v>
      </c>
      <c r="E188" s="11">
        <v>70.7067159866117</v>
      </c>
      <c r="F188" s="11">
        <f>E188</f>
        <v>70.7067159866117</v>
      </c>
      <c r="I188" s="11">
        <f>F188</f>
        <v>70.7067159866117</v>
      </c>
      <c r="J188" s="11">
        <f>I188</f>
        <v>70.7067159866117</v>
      </c>
      <c r="L188" s="11">
        <f>J188</f>
        <v>70.7067159866117</v>
      </c>
      <c r="V188" s="11">
        <f>L188</f>
        <v>70.7067159866117</v>
      </c>
      <c r="W188">
        <v>5</v>
      </c>
      <c r="AG188" s="142" t="s">
        <v>366</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367</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374</v>
      </c>
      <c r="C189" t="s">
        <v>374</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42" t="s">
        <v>371</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367</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375</v>
      </c>
      <c r="C190" t="s">
        <v>375</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42" t="s">
        <v>371</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367</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376</v>
      </c>
      <c r="C191" t="s">
        <v>376</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42" t="s">
        <v>371</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367</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377</v>
      </c>
      <c r="C192" t="s">
        <v>377</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42" t="s">
        <v>378</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367</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379</v>
      </c>
      <c r="C193" t="s">
        <v>379</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42" t="s">
        <v>366</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367</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380</v>
      </c>
      <c r="C194" t="s">
        <v>380</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42" t="s">
        <v>366</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367</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365</v>
      </c>
      <c r="C195" t="s">
        <v>365</v>
      </c>
      <c r="E195" s="11">
        <v>0.256072074981676</v>
      </c>
      <c r="F195" s="11">
        <f>E195</f>
        <v>0.256072074981676</v>
      </c>
      <c r="I195" s="11">
        <f>F195</f>
        <v>0.256072074981676</v>
      </c>
      <c r="J195" s="11">
        <f>I195</f>
        <v>0.256072074981676</v>
      </c>
      <c r="L195" s="11">
        <f>J195</f>
        <v>0.256072074981676</v>
      </c>
      <c r="V195" s="11">
        <f>L195</f>
        <v>0.256072074981676</v>
      </c>
      <c r="W195">
        <v>5</v>
      </c>
      <c r="AG195" s="142" t="s">
        <v>366</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381</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368</v>
      </c>
      <c r="C196" t="s">
        <v>368</v>
      </c>
      <c r="E196" s="11">
        <v>47.3746158946769</v>
      </c>
      <c r="F196" s="11">
        <f>E196</f>
        <v>47.3746158946769</v>
      </c>
      <c r="I196" s="11">
        <f>F196</f>
        <v>47.3746158946769</v>
      </c>
      <c r="J196" s="11">
        <f>I196</f>
        <v>47.3746158946769</v>
      </c>
      <c r="L196" s="11">
        <f>J196</f>
        <v>47.3746158946769</v>
      </c>
      <c r="V196" s="11">
        <f>L196</f>
        <v>47.3746158946769</v>
      </c>
      <c r="W196">
        <v>5</v>
      </c>
      <c r="AG196" s="142" t="s">
        <v>366</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381</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369</v>
      </c>
      <c r="C197" t="s">
        <v>369</v>
      </c>
      <c r="E197" s="11">
        <v>1.54205978731801</v>
      </c>
      <c r="I197" s="11">
        <v>2.2933747443729</v>
      </c>
      <c r="J197" s="11">
        <v>2.50091005576803</v>
      </c>
      <c r="L197" s="11">
        <v>3.00411860431572</v>
      </c>
      <c r="V197" s="11">
        <v>4.38797476185201</v>
      </c>
      <c r="W197">
        <v>5</v>
      </c>
      <c r="AG197" s="142" t="s">
        <v>366</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381</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370</v>
      </c>
      <c r="C198" t="s">
        <v>370</v>
      </c>
      <c r="E198" s="11">
        <v>0.352843445576617</v>
      </c>
      <c r="I198" s="11">
        <v>0.380077614067599</v>
      </c>
      <c r="J198" s="11">
        <v>0.388635517829094</v>
      </c>
      <c r="L198" s="11">
        <v>0.405863584509525</v>
      </c>
      <c r="V198" s="11">
        <v>0.439997486713419</v>
      </c>
      <c r="W198">
        <v>5</v>
      </c>
      <c r="AG198" s="142" t="s">
        <v>371</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381</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372</v>
      </c>
      <c r="C199" t="s">
        <v>372</v>
      </c>
      <c r="E199" s="11">
        <v>3.84648924933516</v>
      </c>
      <c r="F199" s="11">
        <f>E199</f>
        <v>3.84648924933516</v>
      </c>
      <c r="I199" s="11">
        <f>F199</f>
        <v>3.84648924933516</v>
      </c>
      <c r="J199" s="11">
        <f>I199</f>
        <v>3.84648924933516</v>
      </c>
      <c r="L199" s="11">
        <f>J199</f>
        <v>3.84648924933516</v>
      </c>
      <c r="V199" s="11">
        <f>L199</f>
        <v>3.84648924933516</v>
      </c>
      <c r="W199">
        <v>5</v>
      </c>
      <c r="AG199" s="142" t="s">
        <v>366</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381</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373</v>
      </c>
      <c r="C200" t="s">
        <v>373</v>
      </c>
      <c r="E200" s="11">
        <v>6.11048510398272</v>
      </c>
      <c r="F200" s="11">
        <f>E200</f>
        <v>6.11048510398272</v>
      </c>
      <c r="I200" s="11">
        <f>F200</f>
        <v>6.11048510398272</v>
      </c>
      <c r="J200" s="11">
        <f>I200</f>
        <v>6.11048510398272</v>
      </c>
      <c r="L200" s="11">
        <f>J200</f>
        <v>6.11048510398272</v>
      </c>
      <c r="V200" s="11">
        <f>L200</f>
        <v>6.11048510398272</v>
      </c>
      <c r="W200">
        <v>5</v>
      </c>
      <c r="AG200" s="142" t="s">
        <v>366</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381</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374</v>
      </c>
      <c r="C201" t="s">
        <v>374</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42" t="s">
        <v>371</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381</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375</v>
      </c>
      <c r="C202" t="s">
        <v>375</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42" t="s">
        <v>371</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381</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376</v>
      </c>
      <c r="C203" t="s">
        <v>376</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42" t="s">
        <v>371</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381</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377</v>
      </c>
      <c r="C204" t="s">
        <v>377</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42" t="s">
        <v>378</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381</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379</v>
      </c>
      <c r="C205" t="s">
        <v>379</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42" t="s">
        <v>366</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381</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380</v>
      </c>
      <c r="C206" t="s">
        <v>380</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42" t="s">
        <v>366</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381</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365</v>
      </c>
      <c r="C207" t="s">
        <v>365</v>
      </c>
      <c r="E207" s="11">
        <v>37.6862690821027</v>
      </c>
      <c r="F207" s="11">
        <f>E207</f>
        <v>37.6862690821027</v>
      </c>
      <c r="I207" s="11">
        <f>F207</f>
        <v>37.6862690821027</v>
      </c>
      <c r="J207" s="11">
        <f>I207</f>
        <v>37.6862690821027</v>
      </c>
      <c r="L207" s="11">
        <f>J207</f>
        <v>37.6862690821027</v>
      </c>
      <c r="V207" s="11">
        <f>L207</f>
        <v>37.6862690821027</v>
      </c>
      <c r="W207">
        <v>5</v>
      </c>
      <c r="AG207" s="142" t="s">
        <v>366</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381</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368</v>
      </c>
      <c r="C208" t="s">
        <v>368</v>
      </c>
      <c r="E208" s="11">
        <v>171.695546898346</v>
      </c>
      <c r="F208" s="11">
        <f>E208</f>
        <v>171.695546898346</v>
      </c>
      <c r="I208" s="11">
        <f>F208</f>
        <v>171.695546898346</v>
      </c>
      <c r="J208" s="11">
        <f>I208</f>
        <v>171.695546898346</v>
      </c>
      <c r="L208" s="11">
        <f>J208</f>
        <v>171.695546898346</v>
      </c>
      <c r="V208" s="11">
        <f>L208</f>
        <v>171.695546898346</v>
      </c>
      <c r="W208">
        <v>5</v>
      </c>
      <c r="AG208" s="142" t="s">
        <v>366</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381</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369</v>
      </c>
      <c r="C209" t="s">
        <v>369</v>
      </c>
      <c r="E209" s="11">
        <v>1.63567528506496</v>
      </c>
      <c r="I209" s="11">
        <v>2.00210413796029</v>
      </c>
      <c r="J209" s="11">
        <v>2.09278038542612</v>
      </c>
      <c r="L209" s="11">
        <v>2.26532114634834</v>
      </c>
      <c r="V209" s="11">
        <v>2.74074096644458</v>
      </c>
      <c r="W209">
        <v>5</v>
      </c>
      <c r="AG209" s="142" t="s">
        <v>366</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381</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370</v>
      </c>
      <c r="C210" t="s">
        <v>370</v>
      </c>
      <c r="E210" s="11">
        <v>20.1251585840136</v>
      </c>
      <c r="I210" s="11">
        <v>19.5799173646443</v>
      </c>
      <c r="J210" s="11">
        <v>19.4340318121154</v>
      </c>
      <c r="L210" s="11">
        <v>19.1689954097244</v>
      </c>
      <c r="V210" s="11">
        <v>17.2937393473289</v>
      </c>
      <c r="W210">
        <v>5</v>
      </c>
      <c r="AG210" s="142" t="s">
        <v>371</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381</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372</v>
      </c>
      <c r="C211" t="s">
        <v>372</v>
      </c>
      <c r="E211" s="11">
        <v>25.7362823995911</v>
      </c>
      <c r="F211" s="11">
        <f>E211</f>
        <v>25.7362823995911</v>
      </c>
      <c r="I211" s="11">
        <f>F211</f>
        <v>25.7362823995911</v>
      </c>
      <c r="J211" s="11">
        <f>I211</f>
        <v>25.7362823995911</v>
      </c>
      <c r="L211" s="11">
        <f>J211</f>
        <v>25.7362823995911</v>
      </c>
      <c r="V211" s="11">
        <f>L211</f>
        <v>25.7362823995911</v>
      </c>
      <c r="W211">
        <v>5</v>
      </c>
      <c r="AG211" s="142" t="s">
        <v>366</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381</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373</v>
      </c>
      <c r="C212" t="s">
        <v>373</v>
      </c>
      <c r="E212" s="11">
        <v>204.212343478537</v>
      </c>
      <c r="F212" s="11">
        <f>E212</f>
        <v>204.212343478537</v>
      </c>
      <c r="I212" s="11">
        <f>F212</f>
        <v>204.212343478537</v>
      </c>
      <c r="J212" s="11">
        <f>I212</f>
        <v>204.212343478537</v>
      </c>
      <c r="L212" s="11">
        <f>J212</f>
        <v>204.212343478537</v>
      </c>
      <c r="V212" s="11">
        <f>L212</f>
        <v>204.212343478537</v>
      </c>
      <c r="W212">
        <v>5</v>
      </c>
      <c r="AG212" s="142" t="s">
        <v>366</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381</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374</v>
      </c>
      <c r="C213" t="s">
        <v>374</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42" t="s">
        <v>371</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381</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375</v>
      </c>
      <c r="C214" t="s">
        <v>375</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42" t="s">
        <v>371</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381</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376</v>
      </c>
      <c r="C215" t="s">
        <v>376</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42" t="s">
        <v>371</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381</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377</v>
      </c>
      <c r="C216" t="s">
        <v>377</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42" t="s">
        <v>378</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381</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379</v>
      </c>
      <c r="C217" t="s">
        <v>379</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42" t="s">
        <v>366</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381</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380</v>
      </c>
      <c r="C218" t="s">
        <v>380</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42" t="s">
        <v>366</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381</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365</v>
      </c>
      <c r="C219" t="s">
        <v>365</v>
      </c>
      <c r="E219" s="11">
        <v>147.201253049397</v>
      </c>
      <c r="F219" s="11">
        <f>E219</f>
        <v>147.201253049397</v>
      </c>
      <c r="I219" s="11">
        <f>F219</f>
        <v>147.201253049397</v>
      </c>
      <c r="J219" s="11">
        <f>I219</f>
        <v>147.201253049397</v>
      </c>
      <c r="L219" s="11">
        <f>J219</f>
        <v>147.201253049397</v>
      </c>
      <c r="V219" s="11">
        <f>L219</f>
        <v>147.201253049397</v>
      </c>
      <c r="W219">
        <v>5</v>
      </c>
      <c r="AG219" s="142" t="s">
        <v>366</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381</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368</v>
      </c>
      <c r="C220" t="s">
        <v>368</v>
      </c>
      <c r="E220" s="11">
        <v>304.698744172512</v>
      </c>
      <c r="F220" s="11">
        <f>E220</f>
        <v>304.698744172512</v>
      </c>
      <c r="I220" s="11">
        <f>F220</f>
        <v>304.698744172512</v>
      </c>
      <c r="J220" s="11">
        <f>I220</f>
        <v>304.698744172512</v>
      </c>
      <c r="L220" s="11">
        <f>J220</f>
        <v>304.698744172512</v>
      </c>
      <c r="V220" s="11">
        <f>L220</f>
        <v>304.698744172512</v>
      </c>
      <c r="W220">
        <v>5</v>
      </c>
      <c r="AG220" s="142" t="s">
        <v>366</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381</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369</v>
      </c>
      <c r="C221" t="s">
        <v>369</v>
      </c>
      <c r="E221" s="11">
        <v>2.00415370193619</v>
      </c>
      <c r="I221" s="11">
        <v>2.25537567940657</v>
      </c>
      <c r="J221" s="11">
        <v>2.31451247838056</v>
      </c>
      <c r="L221" s="11">
        <v>2.43518133307239</v>
      </c>
      <c r="V221" s="11">
        <v>2.7227704244893</v>
      </c>
      <c r="W221">
        <v>5</v>
      </c>
      <c r="AG221" s="142" t="s">
        <v>366</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381</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370</v>
      </c>
      <c r="C222" t="s">
        <v>370</v>
      </c>
      <c r="E222" s="11">
        <v>66.7506994732046</v>
      </c>
      <c r="I222" s="11">
        <v>62.8279897332199</v>
      </c>
      <c r="J222" s="11">
        <v>61.4557974881527</v>
      </c>
      <c r="L222" s="11">
        <v>58.7814507762721</v>
      </c>
      <c r="V222" s="11">
        <v>46.9474788673513</v>
      </c>
      <c r="W222">
        <v>5</v>
      </c>
      <c r="AG222" s="142" t="s">
        <v>371</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381</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372</v>
      </c>
      <c r="C223" t="s">
        <v>372</v>
      </c>
      <c r="E223" s="11">
        <v>130.648113917981</v>
      </c>
      <c r="F223" s="11">
        <f>E223</f>
        <v>130.648113917981</v>
      </c>
      <c r="I223" s="11">
        <f>F223</f>
        <v>130.648113917981</v>
      </c>
      <c r="J223" s="11">
        <f>I223</f>
        <v>130.648113917981</v>
      </c>
      <c r="L223" s="11">
        <f>J223</f>
        <v>130.648113917981</v>
      </c>
      <c r="V223" s="11">
        <f>L223</f>
        <v>130.648113917981</v>
      </c>
      <c r="W223">
        <v>5</v>
      </c>
      <c r="AG223" s="142" t="s">
        <v>366</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381</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373</v>
      </c>
      <c r="C224" t="s">
        <v>373</v>
      </c>
      <c r="E224" s="11">
        <v>187.66044154924</v>
      </c>
      <c r="F224" s="11">
        <f>E224</f>
        <v>187.66044154924</v>
      </c>
      <c r="I224" s="11">
        <f>F224</f>
        <v>187.66044154924</v>
      </c>
      <c r="J224" s="11">
        <f>I224</f>
        <v>187.66044154924</v>
      </c>
      <c r="L224" s="11">
        <f>J224</f>
        <v>187.66044154924</v>
      </c>
      <c r="V224" s="11">
        <f>L224</f>
        <v>187.66044154924</v>
      </c>
      <c r="W224">
        <v>5</v>
      </c>
      <c r="AG224" s="142" t="s">
        <v>366</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381</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374</v>
      </c>
      <c r="C225" t="s">
        <v>374</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42" t="s">
        <v>371</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381</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375</v>
      </c>
      <c r="C226" t="s">
        <v>375</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42" t="s">
        <v>371</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381</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376</v>
      </c>
      <c r="C227" t="s">
        <v>376</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42" t="s">
        <v>371</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381</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377</v>
      </c>
      <c r="C228" t="s">
        <v>377</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42" t="s">
        <v>378</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381</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379</v>
      </c>
      <c r="C229" t="s">
        <v>379</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42" t="s">
        <v>366</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381</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380</v>
      </c>
      <c r="C230" t="s">
        <v>380</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42" t="s">
        <v>366</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381</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365</v>
      </c>
      <c r="C231" t="s">
        <v>365</v>
      </c>
      <c r="E231" s="11">
        <v>90.136915586846</v>
      </c>
      <c r="F231" s="11">
        <f>E231</f>
        <v>90.136915586846</v>
      </c>
      <c r="I231" s="11">
        <f>F231</f>
        <v>90.136915586846</v>
      </c>
      <c r="J231" s="11">
        <f>I231</f>
        <v>90.136915586846</v>
      </c>
      <c r="L231" s="11">
        <f>J231</f>
        <v>90.136915586846</v>
      </c>
      <c r="V231" s="11">
        <f>L231</f>
        <v>90.136915586846</v>
      </c>
      <c r="W231">
        <v>5</v>
      </c>
      <c r="AG231" s="142" t="s">
        <v>366</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367</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368</v>
      </c>
      <c r="C232" t="s">
        <v>368</v>
      </c>
      <c r="E232" s="11">
        <v>322.671564831785</v>
      </c>
      <c r="F232" s="11">
        <f>E232</f>
        <v>322.671564831785</v>
      </c>
      <c r="I232" s="11">
        <f>F232</f>
        <v>322.671564831785</v>
      </c>
      <c r="J232" s="11">
        <f>I232</f>
        <v>322.671564831785</v>
      </c>
      <c r="L232" s="11">
        <f>J232</f>
        <v>322.671564831785</v>
      </c>
      <c r="V232" s="11">
        <f>L232</f>
        <v>322.671564831785</v>
      </c>
      <c r="W232">
        <v>5</v>
      </c>
      <c r="AG232" s="142" t="s">
        <v>366</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367</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369</v>
      </c>
      <c r="C233" t="s">
        <v>369</v>
      </c>
      <c r="E233" s="11">
        <v>1.84646348307184</v>
      </c>
      <c r="I233" s="11">
        <v>2.9750260287217</v>
      </c>
      <c r="J233" s="11">
        <v>3.41960386866863</v>
      </c>
      <c r="L233" s="11">
        <v>4.40674604488185</v>
      </c>
      <c r="V233" s="11">
        <v>10.1928288864832</v>
      </c>
      <c r="W233">
        <v>5</v>
      </c>
      <c r="AG233" s="142" t="s">
        <v>366</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367</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370</v>
      </c>
      <c r="C234" t="s">
        <v>370</v>
      </c>
      <c r="E234" s="11">
        <v>5.37764191828844</v>
      </c>
      <c r="I234" s="11">
        <v>5.9759908455789</v>
      </c>
      <c r="J234" s="11">
        <v>6.11874641816906</v>
      </c>
      <c r="L234" s="11">
        <v>6.30184396491898</v>
      </c>
      <c r="V234" s="11">
        <v>5.931543434921</v>
      </c>
      <c r="W234">
        <v>5</v>
      </c>
      <c r="AG234" s="142" t="s">
        <v>371</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367</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372</v>
      </c>
      <c r="C235" t="s">
        <v>372</v>
      </c>
      <c r="E235" s="11">
        <v>51.9865510775928</v>
      </c>
      <c r="F235" s="11">
        <f>E235</f>
        <v>51.9865510775928</v>
      </c>
      <c r="I235" s="11">
        <f>F235</f>
        <v>51.9865510775928</v>
      </c>
      <c r="J235" s="11">
        <f>I235</f>
        <v>51.9865510775928</v>
      </c>
      <c r="L235" s="11">
        <f>J235</f>
        <v>51.9865510775928</v>
      </c>
      <c r="V235" s="11">
        <f>L235</f>
        <v>51.9865510775928</v>
      </c>
      <c r="W235">
        <v>5</v>
      </c>
      <c r="AG235" s="142" t="s">
        <v>366</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367</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373</v>
      </c>
      <c r="C236" t="s">
        <v>373</v>
      </c>
      <c r="E236" s="11">
        <v>361.380565652376</v>
      </c>
      <c r="F236" s="11">
        <f>E236</f>
        <v>361.380565652376</v>
      </c>
      <c r="I236" s="11">
        <f>F236</f>
        <v>361.380565652376</v>
      </c>
      <c r="J236" s="11">
        <f>I236</f>
        <v>361.380565652376</v>
      </c>
      <c r="L236" s="11">
        <f>J236</f>
        <v>361.380565652376</v>
      </c>
      <c r="V236" s="11">
        <f>L236</f>
        <v>361.380565652376</v>
      </c>
      <c r="W236">
        <v>5</v>
      </c>
      <c r="AG236" s="142" t="s">
        <v>366</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367</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374</v>
      </c>
      <c r="C237" t="s">
        <v>374</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42" t="s">
        <v>371</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367</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375</v>
      </c>
      <c r="C238" t="s">
        <v>375</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42" t="s">
        <v>371</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367</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376</v>
      </c>
      <c r="C239" t="s">
        <v>376</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42" t="s">
        <v>371</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367</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377</v>
      </c>
      <c r="C240" t="s">
        <v>377</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42" t="s">
        <v>378</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367</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379</v>
      </c>
      <c r="C241" t="s">
        <v>379</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42" t="s">
        <v>366</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367</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380</v>
      </c>
      <c r="C242" t="s">
        <v>380</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42" t="s">
        <v>366</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367</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365</v>
      </c>
      <c r="C243" t="s">
        <v>365</v>
      </c>
      <c r="E243" s="11">
        <v>60.7568958307909</v>
      </c>
      <c r="F243" s="11">
        <f>E243</f>
        <v>60.7568958307909</v>
      </c>
      <c r="I243" s="11">
        <f>F243</f>
        <v>60.7568958307909</v>
      </c>
      <c r="J243" s="11">
        <f>I243</f>
        <v>60.7568958307909</v>
      </c>
      <c r="L243" s="11">
        <f>J243</f>
        <v>60.7568958307909</v>
      </c>
      <c r="V243" s="11">
        <f>L243</f>
        <v>60.7568958307909</v>
      </c>
      <c r="W243">
        <v>5</v>
      </c>
      <c r="AG243" s="142" t="s">
        <v>366</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367</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368</v>
      </c>
      <c r="C244" t="s">
        <v>368</v>
      </c>
      <c r="E244" s="11">
        <v>769.872325083212</v>
      </c>
      <c r="F244" s="11">
        <f>E244</f>
        <v>769.872325083212</v>
      </c>
      <c r="I244" s="11">
        <f>F244</f>
        <v>769.872325083212</v>
      </c>
      <c r="J244" s="11">
        <f>I244</f>
        <v>769.872325083212</v>
      </c>
      <c r="L244" s="11">
        <f>J244</f>
        <v>769.872325083212</v>
      </c>
      <c r="V244" s="11">
        <f>L244</f>
        <v>769.872325083212</v>
      </c>
      <c r="W244">
        <v>5</v>
      </c>
      <c r="AG244" s="142" t="s">
        <v>366</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367</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369</v>
      </c>
      <c r="C245" t="s">
        <v>369</v>
      </c>
      <c r="E245" s="11">
        <v>2.42303774855836</v>
      </c>
      <c r="I245" s="11">
        <v>3.84384051393692</v>
      </c>
      <c r="J245" s="11">
        <v>4.4294966471537</v>
      </c>
      <c r="L245" s="11">
        <v>5.66688008820451</v>
      </c>
      <c r="V245" s="11">
        <v>12.5737312548675</v>
      </c>
      <c r="W245">
        <v>5</v>
      </c>
      <c r="AG245" s="142" t="s">
        <v>366</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367</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370</v>
      </c>
      <c r="C246" t="s">
        <v>370</v>
      </c>
      <c r="E246" s="11">
        <v>1.04527510225683</v>
      </c>
      <c r="I246" s="11">
        <v>1.28003974811183</v>
      </c>
      <c r="J246" s="11">
        <v>1.34969977903957</v>
      </c>
      <c r="L246" s="11">
        <v>1.46831105505433</v>
      </c>
      <c r="V246" s="11">
        <v>1.60221331092418</v>
      </c>
      <c r="W246">
        <v>5</v>
      </c>
      <c r="AG246" s="142" t="s">
        <v>371</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367</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372</v>
      </c>
      <c r="C247" t="s">
        <v>372</v>
      </c>
      <c r="E247" s="11">
        <v>0</v>
      </c>
      <c r="F247" s="11">
        <f>E247</f>
        <v>0</v>
      </c>
      <c r="I247" s="11">
        <f>F247</f>
        <v>0</v>
      </c>
      <c r="J247" s="11">
        <f>I247</f>
        <v>0</v>
      </c>
      <c r="L247" s="11">
        <f>J247</f>
        <v>0</v>
      </c>
      <c r="V247" s="11">
        <f>L247</f>
        <v>0</v>
      </c>
      <c r="W247">
        <v>5</v>
      </c>
      <c r="AG247" s="142" t="s">
        <v>366</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367</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373</v>
      </c>
      <c r="C248" t="s">
        <v>373</v>
      </c>
      <c r="E248" s="11">
        <v>877.340866458265</v>
      </c>
      <c r="F248" s="11">
        <f>E248</f>
        <v>877.340866458265</v>
      </c>
      <c r="I248" s="11">
        <f>F248</f>
        <v>877.340866458265</v>
      </c>
      <c r="J248" s="11">
        <f>I248</f>
        <v>877.340866458265</v>
      </c>
      <c r="L248" s="11">
        <f>J248</f>
        <v>877.340866458265</v>
      </c>
      <c r="V248" s="11">
        <f>L248</f>
        <v>877.340866458265</v>
      </c>
      <c r="W248">
        <v>5</v>
      </c>
      <c r="AG248" s="142" t="s">
        <v>366</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367</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374</v>
      </c>
      <c r="C249" t="s">
        <v>374</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42" t="s">
        <v>371</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367</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375</v>
      </c>
      <c r="C250" t="s">
        <v>375</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42" t="s">
        <v>371</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367</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376</v>
      </c>
      <c r="C251" t="s">
        <v>376</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42" t="s">
        <v>371</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367</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377</v>
      </c>
      <c r="C252" t="s">
        <v>377</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42" t="s">
        <v>378</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367</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379</v>
      </c>
      <c r="C253" t="s">
        <v>379</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42" t="s">
        <v>366</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367</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380</v>
      </c>
      <c r="C254" t="s">
        <v>380</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42" t="s">
        <v>366</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367</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365</v>
      </c>
      <c r="C255" t="s">
        <v>365</v>
      </c>
      <c r="E255" s="11">
        <v>2841.17573671432</v>
      </c>
      <c r="F255" s="11">
        <f>E255</f>
        <v>2841.17573671432</v>
      </c>
      <c r="I255" s="11">
        <f>F255</f>
        <v>2841.17573671432</v>
      </c>
      <c r="J255" s="11">
        <f>I255</f>
        <v>2841.17573671432</v>
      </c>
      <c r="L255" s="11">
        <f>J255</f>
        <v>2841.17573671432</v>
      </c>
      <c r="V255" s="11">
        <f>L255</f>
        <v>2841.17573671432</v>
      </c>
      <c r="W255">
        <v>5</v>
      </c>
      <c r="AG255" s="142" t="s">
        <v>366</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381</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368</v>
      </c>
      <c r="C256" t="s">
        <v>368</v>
      </c>
      <c r="E256" s="11">
        <v>1296.87718269106</v>
      </c>
      <c r="F256" s="11">
        <f>E256</f>
        <v>1296.87718269106</v>
      </c>
      <c r="I256" s="11">
        <f>F256</f>
        <v>1296.87718269106</v>
      </c>
      <c r="J256" s="11">
        <f>I256</f>
        <v>1296.87718269106</v>
      </c>
      <c r="L256" s="11">
        <f>J256</f>
        <v>1296.87718269106</v>
      </c>
      <c r="V256" s="11">
        <f>L256</f>
        <v>1296.87718269106</v>
      </c>
      <c r="W256">
        <v>5</v>
      </c>
      <c r="AG256" s="142" t="s">
        <v>366</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381</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369</v>
      </c>
      <c r="C257" t="s">
        <v>369</v>
      </c>
      <c r="E257" s="11">
        <v>679.575521485568</v>
      </c>
      <c r="I257" s="11">
        <v>871.443239460521</v>
      </c>
      <c r="J257" s="11">
        <v>923.557036642287</v>
      </c>
      <c r="L257" s="11">
        <v>1023.3743399238</v>
      </c>
      <c r="V257" s="11">
        <v>1430.88134514306</v>
      </c>
      <c r="W257">
        <v>5</v>
      </c>
      <c r="AG257" s="142" t="s">
        <v>366</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381</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370</v>
      </c>
      <c r="C258" t="s">
        <v>370</v>
      </c>
      <c r="E258" s="11">
        <v>58.4320094976446</v>
      </c>
      <c r="I258" s="11">
        <v>61.9365902820291</v>
      </c>
      <c r="J258" s="11">
        <v>62.9423237956776</v>
      </c>
      <c r="L258" s="11">
        <v>64.5538136248101</v>
      </c>
      <c r="V258" s="11">
        <v>66.6913174585817</v>
      </c>
      <c r="W258">
        <v>5</v>
      </c>
      <c r="AG258" s="142" t="s">
        <v>371</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381</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372</v>
      </c>
      <c r="C259" t="s">
        <v>372</v>
      </c>
      <c r="E259" s="11">
        <v>449.84905940102</v>
      </c>
      <c r="F259" s="11">
        <f>E259</f>
        <v>449.84905940102</v>
      </c>
      <c r="I259" s="11">
        <f>F259</f>
        <v>449.84905940102</v>
      </c>
      <c r="J259" s="11">
        <f>I259</f>
        <v>449.84905940102</v>
      </c>
      <c r="L259" s="11">
        <f>J259</f>
        <v>449.84905940102</v>
      </c>
      <c r="V259" s="11">
        <f>L259</f>
        <v>449.84905940102</v>
      </c>
      <c r="W259">
        <v>5</v>
      </c>
      <c r="AG259" s="142" t="s">
        <v>366</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381</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373</v>
      </c>
      <c r="C260" t="s">
        <v>373</v>
      </c>
      <c r="E260" s="11">
        <v>1024.60125475921</v>
      </c>
      <c r="F260" s="11">
        <f>E260</f>
        <v>1024.60125475921</v>
      </c>
      <c r="I260" s="11">
        <f>F260</f>
        <v>1024.60125475921</v>
      </c>
      <c r="J260" s="11">
        <f>I260</f>
        <v>1024.60125475921</v>
      </c>
      <c r="L260" s="11">
        <f>J260</f>
        <v>1024.60125475921</v>
      </c>
      <c r="V260" s="11">
        <f>L260</f>
        <v>1024.60125475921</v>
      </c>
      <c r="W260">
        <v>5</v>
      </c>
      <c r="AG260" s="142" t="s">
        <v>366</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381</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374</v>
      </c>
      <c r="C261" t="s">
        <v>374</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42" t="s">
        <v>371</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381</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375</v>
      </c>
      <c r="C262" t="s">
        <v>375</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42" t="s">
        <v>371</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381</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376</v>
      </c>
      <c r="C263" t="s">
        <v>376</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42" t="s">
        <v>371</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381</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377</v>
      </c>
      <c r="C264" t="s">
        <v>377</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42" t="s">
        <v>378</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381</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379</v>
      </c>
      <c r="C265" t="s">
        <v>379</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42" t="s">
        <v>366</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381</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380</v>
      </c>
      <c r="C266" t="s">
        <v>380</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42" t="s">
        <v>366</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381</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365</v>
      </c>
      <c r="C267" t="s">
        <v>365</v>
      </c>
      <c r="E267" s="11">
        <v>14.7984681944307</v>
      </c>
      <c r="F267" s="11">
        <f>E267</f>
        <v>14.7984681944307</v>
      </c>
      <c r="I267" s="11">
        <f>F267</f>
        <v>14.7984681944307</v>
      </c>
      <c r="J267" s="11">
        <f>I267</f>
        <v>14.7984681944307</v>
      </c>
      <c r="L267" s="11">
        <f>J267</f>
        <v>14.7984681944307</v>
      </c>
      <c r="V267" s="11">
        <f>L267</f>
        <v>14.7984681944307</v>
      </c>
      <c r="W267">
        <v>5</v>
      </c>
      <c r="AG267" s="142" t="s">
        <v>366</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381</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368</v>
      </c>
      <c r="C268" t="s">
        <v>368</v>
      </c>
      <c r="E268" s="11">
        <v>23.0960305800922</v>
      </c>
      <c r="F268" s="11">
        <f>E268</f>
        <v>23.0960305800922</v>
      </c>
      <c r="I268" s="11">
        <f>F268</f>
        <v>23.0960305800922</v>
      </c>
      <c r="J268" s="11">
        <f>I268</f>
        <v>23.0960305800922</v>
      </c>
      <c r="L268" s="11">
        <f>J268</f>
        <v>23.0960305800922</v>
      </c>
      <c r="V268" s="11">
        <f>L268</f>
        <v>23.0960305800922</v>
      </c>
      <c r="W268">
        <v>5</v>
      </c>
      <c r="AG268" s="142" t="s">
        <v>366</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381</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369</v>
      </c>
      <c r="C269" t="s">
        <v>369</v>
      </c>
      <c r="E269" s="11">
        <v>0.51595754320536</v>
      </c>
      <c r="I269" s="11">
        <v>0.638928901592722</v>
      </c>
      <c r="J269" s="11">
        <v>0.677045949641929</v>
      </c>
      <c r="L269" s="11">
        <v>0.753366829922741</v>
      </c>
      <c r="V269" s="11">
        <v>1.0359150852844</v>
      </c>
      <c r="W269">
        <v>5</v>
      </c>
      <c r="AG269" s="142" t="s">
        <v>366</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381</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370</v>
      </c>
      <c r="C270" t="s">
        <v>370</v>
      </c>
      <c r="E270" s="11">
        <v>2.17914793638656</v>
      </c>
      <c r="I270" s="11">
        <v>2.29597042282211</v>
      </c>
      <c r="J270" s="11">
        <v>2.33082853795445</v>
      </c>
      <c r="L270" s="11">
        <v>2.40103698525162</v>
      </c>
      <c r="V270" s="11">
        <v>2.54308329491963</v>
      </c>
      <c r="W270">
        <v>5</v>
      </c>
      <c r="AG270" s="142" t="s">
        <v>371</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381</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372</v>
      </c>
      <c r="C271" t="s">
        <v>372</v>
      </c>
      <c r="E271" s="11">
        <v>42.2817941023615</v>
      </c>
      <c r="F271" s="11">
        <f>E271</f>
        <v>42.2817941023615</v>
      </c>
      <c r="I271" s="11">
        <f>F271</f>
        <v>42.2817941023615</v>
      </c>
      <c r="J271" s="11">
        <f>I271</f>
        <v>42.2817941023615</v>
      </c>
      <c r="L271" s="11">
        <f>J271</f>
        <v>42.2817941023615</v>
      </c>
      <c r="V271" s="11">
        <f>L271</f>
        <v>42.2817941023615</v>
      </c>
      <c r="W271">
        <v>5</v>
      </c>
      <c r="AG271" s="142" t="s">
        <v>366</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381</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373</v>
      </c>
      <c r="C272" t="s">
        <v>373</v>
      </c>
      <c r="E272" s="11">
        <v>13.8699028407244</v>
      </c>
      <c r="F272" s="11">
        <f>E272</f>
        <v>13.8699028407244</v>
      </c>
      <c r="I272" s="11">
        <f>F272</f>
        <v>13.8699028407244</v>
      </c>
      <c r="J272" s="11">
        <f>I272</f>
        <v>13.8699028407244</v>
      </c>
      <c r="L272" s="11">
        <f>J272</f>
        <v>13.8699028407244</v>
      </c>
      <c r="V272" s="11">
        <f>L272</f>
        <v>13.8699028407244</v>
      </c>
      <c r="W272">
        <v>5</v>
      </c>
      <c r="AG272" s="142" t="s">
        <v>366</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381</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374</v>
      </c>
      <c r="C273" t="s">
        <v>374</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42" t="s">
        <v>371</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381</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375</v>
      </c>
      <c r="C274" t="s">
        <v>375</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42" t="s">
        <v>371</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381</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376</v>
      </c>
      <c r="C275" t="s">
        <v>376</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42" t="s">
        <v>371</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381</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377</v>
      </c>
      <c r="C276" t="s">
        <v>377</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42" t="s">
        <v>378</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381</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379</v>
      </c>
      <c r="C277" t="s">
        <v>379</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42" t="s">
        <v>366</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381</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380</v>
      </c>
      <c r="C278" t="s">
        <v>380</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42" t="s">
        <v>366</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381</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365</v>
      </c>
      <c r="C279" t="s">
        <v>365</v>
      </c>
      <c r="E279" s="11">
        <v>1.45078903816604</v>
      </c>
      <c r="F279" s="11">
        <f>E279</f>
        <v>1.45078903816604</v>
      </c>
      <c r="I279" s="11">
        <f>F279</f>
        <v>1.45078903816604</v>
      </c>
      <c r="J279" s="11">
        <f>I279</f>
        <v>1.45078903816604</v>
      </c>
      <c r="L279" s="11">
        <f>J279</f>
        <v>1.45078903816604</v>
      </c>
      <c r="V279" s="11">
        <f>L279</f>
        <v>1.45078903816604</v>
      </c>
      <c r="W279">
        <v>5</v>
      </c>
      <c r="AG279" s="142" t="s">
        <v>366</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381</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368</v>
      </c>
      <c r="C280" t="s">
        <v>368</v>
      </c>
      <c r="E280" s="11">
        <v>46.1548724636098</v>
      </c>
      <c r="F280" s="11">
        <f>E280</f>
        <v>46.1548724636098</v>
      </c>
      <c r="I280" s="11">
        <f>F280</f>
        <v>46.1548724636098</v>
      </c>
      <c r="J280" s="11">
        <f>I280</f>
        <v>46.1548724636098</v>
      </c>
      <c r="L280" s="11">
        <f>J280</f>
        <v>46.1548724636098</v>
      </c>
      <c r="V280" s="11">
        <f>L280</f>
        <v>46.1548724636098</v>
      </c>
      <c r="W280">
        <v>5</v>
      </c>
      <c r="AG280" s="142" t="s">
        <v>366</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381</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369</v>
      </c>
      <c r="C281" t="s">
        <v>369</v>
      </c>
      <c r="E281" s="11">
        <v>4.46314013629739</v>
      </c>
      <c r="I281" s="11">
        <v>6.35758734024323</v>
      </c>
      <c r="J281" s="11">
        <v>6.76445580300758</v>
      </c>
      <c r="L281" s="11">
        <v>7.22461343573354</v>
      </c>
      <c r="V281" s="11">
        <v>7.83606786808991</v>
      </c>
      <c r="W281">
        <v>5</v>
      </c>
      <c r="AG281" s="142" t="s">
        <v>366</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381</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370</v>
      </c>
      <c r="C282" t="s">
        <v>370</v>
      </c>
      <c r="E282" s="11">
        <v>10.5765290940029</v>
      </c>
      <c r="I282" s="11">
        <v>10.347440240102</v>
      </c>
      <c r="J282" s="11">
        <v>10.1800295633949</v>
      </c>
      <c r="L282" s="11">
        <v>9.87991671494312</v>
      </c>
      <c r="V282" s="11">
        <v>8.4582264030971</v>
      </c>
      <c r="W282">
        <v>5</v>
      </c>
      <c r="AG282" s="142" t="s">
        <v>371</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381</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372</v>
      </c>
      <c r="C283" t="s">
        <v>372</v>
      </c>
      <c r="E283" s="11">
        <v>0.0798619145042989</v>
      </c>
      <c r="F283" s="11">
        <f>E283</f>
        <v>0.0798619145042989</v>
      </c>
      <c r="I283" s="11">
        <f>F283</f>
        <v>0.0798619145042989</v>
      </c>
      <c r="J283" s="11">
        <f>I283</f>
        <v>0.0798619145042989</v>
      </c>
      <c r="L283" s="11">
        <f>J283</f>
        <v>0.0798619145042989</v>
      </c>
      <c r="V283" s="11">
        <f>L283</f>
        <v>0.0798619145042989</v>
      </c>
      <c r="W283">
        <v>5</v>
      </c>
      <c r="AG283" s="142" t="s">
        <v>366</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381</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373</v>
      </c>
      <c r="C284" t="s">
        <v>373</v>
      </c>
      <c r="E284" s="11">
        <v>11.6805555781569</v>
      </c>
      <c r="F284" s="11">
        <f>E284</f>
        <v>11.6805555781569</v>
      </c>
      <c r="I284" s="11">
        <f>F284</f>
        <v>11.6805555781569</v>
      </c>
      <c r="J284" s="11">
        <f>I284</f>
        <v>11.6805555781569</v>
      </c>
      <c r="L284" s="11">
        <f>J284</f>
        <v>11.6805555781569</v>
      </c>
      <c r="V284" s="11">
        <f>L284</f>
        <v>11.6805555781569</v>
      </c>
      <c r="W284">
        <v>5</v>
      </c>
      <c r="AG284" s="142" t="s">
        <v>366</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381</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374</v>
      </c>
      <c r="C285" t="s">
        <v>374</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42" t="s">
        <v>371</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381</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375</v>
      </c>
      <c r="C286" t="s">
        <v>375</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42" t="s">
        <v>371</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381</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376</v>
      </c>
      <c r="C287" t="s">
        <v>376</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42" t="s">
        <v>371</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381</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377</v>
      </c>
      <c r="C288" t="s">
        <v>377</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42" t="s">
        <v>378</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381</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379</v>
      </c>
      <c r="C289" t="s">
        <v>379</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42" t="s">
        <v>366</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381</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380</v>
      </c>
      <c r="C290" t="s">
        <v>380</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42" t="s">
        <v>366</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381</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365</v>
      </c>
      <c r="C291" t="s">
        <v>365</v>
      </c>
      <c r="E291" s="11">
        <v>375.856107261349</v>
      </c>
      <c r="F291" s="11">
        <f>E291</f>
        <v>375.856107261349</v>
      </c>
      <c r="I291" s="11">
        <f>F291</f>
        <v>375.856107261349</v>
      </c>
      <c r="J291" s="11">
        <f>I291</f>
        <v>375.856107261349</v>
      </c>
      <c r="L291" s="11">
        <f>J291</f>
        <v>375.856107261349</v>
      </c>
      <c r="V291" s="11">
        <f>L291</f>
        <v>375.856107261349</v>
      </c>
      <c r="W291">
        <v>5</v>
      </c>
      <c r="AG291" s="142" t="s">
        <v>366</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367</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368</v>
      </c>
      <c r="C292" t="s">
        <v>368</v>
      </c>
      <c r="E292" s="11">
        <v>1793.42387251125</v>
      </c>
      <c r="F292" s="11">
        <f>E292</f>
        <v>1793.42387251125</v>
      </c>
      <c r="I292" s="11">
        <f>F292</f>
        <v>1793.42387251125</v>
      </c>
      <c r="J292" s="11">
        <f>I292</f>
        <v>1793.42387251125</v>
      </c>
      <c r="L292" s="11">
        <f>J292</f>
        <v>1793.42387251125</v>
      </c>
      <c r="V292" s="11">
        <f>L292</f>
        <v>1793.42387251125</v>
      </c>
      <c r="W292">
        <v>5</v>
      </c>
      <c r="AG292" s="142" t="s">
        <v>366</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367</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369</v>
      </c>
      <c r="C293" t="s">
        <v>369</v>
      </c>
      <c r="E293" s="11">
        <v>68.1480988096855</v>
      </c>
      <c r="I293" s="11">
        <v>120.210053388916</v>
      </c>
      <c r="J293" s="11">
        <v>138.717891505017</v>
      </c>
      <c r="L293" s="11">
        <v>176.096796523436</v>
      </c>
      <c r="V293" s="11">
        <v>396.400729239108</v>
      </c>
      <c r="W293">
        <v>5</v>
      </c>
      <c r="AG293" s="142" t="s">
        <v>366</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367</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370</v>
      </c>
      <c r="C294" t="s">
        <v>370</v>
      </c>
      <c r="E294" s="11">
        <v>65.0197081639144</v>
      </c>
      <c r="I294" s="11">
        <v>74.8789879038112</v>
      </c>
      <c r="J294" s="11">
        <v>77.4311006071278</v>
      </c>
      <c r="L294" s="11">
        <v>81.3506404193642</v>
      </c>
      <c r="V294" s="11">
        <v>82.103251456904</v>
      </c>
      <c r="W294">
        <v>5</v>
      </c>
      <c r="AG294" s="142" t="s">
        <v>371</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367</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372</v>
      </c>
      <c r="C295" t="s">
        <v>372</v>
      </c>
      <c r="E295" s="11">
        <v>289.95526653166</v>
      </c>
      <c r="F295" s="11">
        <f>E295</f>
        <v>289.95526653166</v>
      </c>
      <c r="I295" s="11">
        <f>F295</f>
        <v>289.95526653166</v>
      </c>
      <c r="J295" s="11">
        <f>I295</f>
        <v>289.95526653166</v>
      </c>
      <c r="L295" s="11">
        <f>J295</f>
        <v>289.95526653166</v>
      </c>
      <c r="V295" s="11">
        <f>L295</f>
        <v>289.95526653166</v>
      </c>
      <c r="W295">
        <v>5</v>
      </c>
      <c r="AG295" s="142" t="s">
        <v>366</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367</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373</v>
      </c>
      <c r="C296" t="s">
        <v>373</v>
      </c>
      <c r="E296" s="11">
        <v>2967.54737989209</v>
      </c>
      <c r="F296" s="11">
        <f>E296</f>
        <v>2967.54737989209</v>
      </c>
      <c r="I296" s="11">
        <f>F296</f>
        <v>2967.54737989209</v>
      </c>
      <c r="J296" s="11">
        <f>I296</f>
        <v>2967.54737989209</v>
      </c>
      <c r="L296" s="11">
        <f>J296</f>
        <v>2967.54737989209</v>
      </c>
      <c r="V296" s="11">
        <f>L296</f>
        <v>2967.54737989209</v>
      </c>
      <c r="W296">
        <v>5</v>
      </c>
      <c r="AG296" s="142" t="s">
        <v>366</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367</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374</v>
      </c>
      <c r="C297" t="s">
        <v>374</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42" t="s">
        <v>371</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367</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375</v>
      </c>
      <c r="C298" t="s">
        <v>375</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42" t="s">
        <v>371</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367</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376</v>
      </c>
      <c r="C299" t="s">
        <v>376</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42" t="s">
        <v>371</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367</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377</v>
      </c>
      <c r="C300" t="s">
        <v>377</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42" t="s">
        <v>378</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367</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379</v>
      </c>
      <c r="C301" t="s">
        <v>379</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42" t="s">
        <v>366</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367</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380</v>
      </c>
      <c r="C302" t="s">
        <v>380</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42" t="s">
        <v>366</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367</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365</v>
      </c>
      <c r="C303" t="s">
        <v>365</v>
      </c>
      <c r="E303" s="11">
        <v>247.424732991695</v>
      </c>
      <c r="F303" s="11">
        <f>E303</f>
        <v>247.424732991695</v>
      </c>
      <c r="I303" s="11">
        <f>F303</f>
        <v>247.424732991695</v>
      </c>
      <c r="J303" s="11">
        <f>I303</f>
        <v>247.424732991695</v>
      </c>
      <c r="L303" s="11">
        <f>J303</f>
        <v>247.424732991695</v>
      </c>
      <c r="V303" s="11">
        <f>L303</f>
        <v>247.424732991695</v>
      </c>
      <c r="W303">
        <v>5</v>
      </c>
      <c r="AG303" s="142" t="s">
        <v>366</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381</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368</v>
      </c>
      <c r="C304" t="s">
        <v>368</v>
      </c>
      <c r="E304" s="11">
        <v>254.796113659036</v>
      </c>
      <c r="F304" s="11">
        <f>E304</f>
        <v>254.796113659036</v>
      </c>
      <c r="I304" s="11">
        <f>F304</f>
        <v>254.796113659036</v>
      </c>
      <c r="J304" s="11">
        <f>I304</f>
        <v>254.796113659036</v>
      </c>
      <c r="L304" s="11">
        <f>J304</f>
        <v>254.796113659036</v>
      </c>
      <c r="V304" s="11">
        <f>L304</f>
        <v>254.796113659036</v>
      </c>
      <c r="W304">
        <v>5</v>
      </c>
      <c r="AG304" s="142" t="s">
        <v>366</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381</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369</v>
      </c>
      <c r="C305" t="s">
        <v>369</v>
      </c>
      <c r="E305" s="11">
        <v>195.540546638997</v>
      </c>
      <c r="I305" s="11">
        <v>233.403341867434</v>
      </c>
      <c r="J305" s="11">
        <v>249.181754381167</v>
      </c>
      <c r="L305" s="11">
        <v>279.646185639978</v>
      </c>
      <c r="V305" s="11">
        <v>454.057544816134</v>
      </c>
      <c r="W305">
        <v>5</v>
      </c>
      <c r="AG305" s="142" t="s">
        <v>366</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381</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370</v>
      </c>
      <c r="C306" t="s">
        <v>370</v>
      </c>
      <c r="E306" s="11">
        <v>172.001941684198</v>
      </c>
      <c r="I306" s="11">
        <v>167.898987057315</v>
      </c>
      <c r="J306" s="11">
        <v>166.624883992822</v>
      </c>
      <c r="L306" s="11">
        <v>165.248837367325</v>
      </c>
      <c r="V306" s="11">
        <v>154.25511252623</v>
      </c>
      <c r="W306">
        <v>5</v>
      </c>
      <c r="AG306" s="142" t="s">
        <v>371</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381</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372</v>
      </c>
      <c r="C307" t="s">
        <v>372</v>
      </c>
      <c r="E307" s="11">
        <v>25.7643640096326</v>
      </c>
      <c r="F307" s="11">
        <f>E307</f>
        <v>25.7643640096326</v>
      </c>
      <c r="I307" s="11">
        <f>F307</f>
        <v>25.7643640096326</v>
      </c>
      <c r="J307" s="11">
        <f>I307</f>
        <v>25.7643640096326</v>
      </c>
      <c r="L307" s="11">
        <f>J307</f>
        <v>25.7643640096326</v>
      </c>
      <c r="V307" s="11">
        <f>L307</f>
        <v>25.7643640096326</v>
      </c>
      <c r="W307">
        <v>5</v>
      </c>
      <c r="AG307" s="142" t="s">
        <v>366</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381</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373</v>
      </c>
      <c r="C308" t="s">
        <v>373</v>
      </c>
      <c r="E308" s="11">
        <v>455.503588512067</v>
      </c>
      <c r="F308" s="11">
        <f>E308</f>
        <v>455.503588512067</v>
      </c>
      <c r="I308" s="11">
        <f>F308</f>
        <v>455.503588512067</v>
      </c>
      <c r="J308" s="11">
        <f>I308</f>
        <v>455.503588512067</v>
      </c>
      <c r="L308" s="11">
        <f>J308</f>
        <v>455.503588512067</v>
      </c>
      <c r="V308" s="11">
        <f>L308</f>
        <v>455.503588512067</v>
      </c>
      <c r="W308">
        <v>5</v>
      </c>
      <c r="AG308" s="142" t="s">
        <v>366</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381</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374</v>
      </c>
      <c r="C309" t="s">
        <v>374</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42" t="s">
        <v>371</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381</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375</v>
      </c>
      <c r="C310" t="s">
        <v>375</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42" t="s">
        <v>371</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381</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376</v>
      </c>
      <c r="C311" t="s">
        <v>376</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42" t="s">
        <v>371</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381</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377</v>
      </c>
      <c r="C312" t="s">
        <v>377</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42" t="s">
        <v>378</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381</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379</v>
      </c>
      <c r="C313" t="s">
        <v>379</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42" t="s">
        <v>366</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381</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380</v>
      </c>
      <c r="C314" t="s">
        <v>380</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42" t="s">
        <v>366</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381</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365</v>
      </c>
      <c r="C315" t="s">
        <v>365</v>
      </c>
      <c r="E315" s="11">
        <v>40.9363086427679</v>
      </c>
      <c r="F315" s="11">
        <f>E315</f>
        <v>40.9363086427679</v>
      </c>
      <c r="I315" s="11">
        <f>F315</f>
        <v>40.9363086427679</v>
      </c>
      <c r="J315" s="11">
        <f>I315</f>
        <v>40.9363086427679</v>
      </c>
      <c r="L315" s="11">
        <f>J315</f>
        <v>40.9363086427679</v>
      </c>
      <c r="V315" s="11">
        <f>L315</f>
        <v>40.9363086427679</v>
      </c>
      <c r="W315">
        <v>5</v>
      </c>
      <c r="AG315" s="142" t="s">
        <v>366</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381</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368</v>
      </c>
      <c r="C316" t="s">
        <v>368</v>
      </c>
      <c r="E316" s="11">
        <v>153.428915688234</v>
      </c>
      <c r="F316" s="11">
        <f>E316</f>
        <v>153.428915688234</v>
      </c>
      <c r="I316" s="11">
        <f>F316</f>
        <v>153.428915688234</v>
      </c>
      <c r="J316" s="11">
        <f>I316</f>
        <v>153.428915688234</v>
      </c>
      <c r="L316" s="11">
        <f>J316</f>
        <v>153.428915688234</v>
      </c>
      <c r="V316" s="11">
        <f>L316</f>
        <v>153.428915688234</v>
      </c>
      <c r="W316">
        <v>5</v>
      </c>
      <c r="AG316" s="142" t="s">
        <v>366</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381</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369</v>
      </c>
      <c r="C317" t="s">
        <v>369</v>
      </c>
      <c r="E317" s="11">
        <v>0</v>
      </c>
      <c r="I317" s="11">
        <v>0</v>
      </c>
      <c r="J317" s="11">
        <v>0</v>
      </c>
      <c r="L317" s="11">
        <v>0</v>
      </c>
      <c r="V317" s="11">
        <v>0</v>
      </c>
      <c r="W317">
        <v>5</v>
      </c>
      <c r="AG317" s="142" t="s">
        <v>366</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381</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370</v>
      </c>
      <c r="C318" t="s">
        <v>370</v>
      </c>
      <c r="E318" s="11">
        <v>0</v>
      </c>
      <c r="I318" s="11">
        <v>0</v>
      </c>
      <c r="J318" s="11">
        <v>0</v>
      </c>
      <c r="L318" s="11">
        <v>0</v>
      </c>
      <c r="V318" s="11">
        <v>0</v>
      </c>
      <c r="W318">
        <v>5</v>
      </c>
      <c r="AG318" s="142" t="s">
        <v>371</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381</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372</v>
      </c>
      <c r="C319" t="s">
        <v>372</v>
      </c>
      <c r="E319" s="11">
        <v>0</v>
      </c>
      <c r="F319" s="11">
        <f>E319</f>
        <v>0</v>
      </c>
      <c r="I319" s="11">
        <f>F319</f>
        <v>0</v>
      </c>
      <c r="J319" s="11">
        <f>I319</f>
        <v>0</v>
      </c>
      <c r="L319" s="11">
        <f>J319</f>
        <v>0</v>
      </c>
      <c r="V319" s="11">
        <f>L319</f>
        <v>0</v>
      </c>
      <c r="W319">
        <v>5</v>
      </c>
      <c r="AG319" s="142" t="s">
        <v>366</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381</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373</v>
      </c>
      <c r="C320" t="s">
        <v>373</v>
      </c>
      <c r="E320" s="11">
        <v>135.303709517611</v>
      </c>
      <c r="F320" s="11">
        <f>E320</f>
        <v>135.303709517611</v>
      </c>
      <c r="I320" s="11">
        <f>F320</f>
        <v>135.303709517611</v>
      </c>
      <c r="J320" s="11">
        <f>I320</f>
        <v>135.303709517611</v>
      </c>
      <c r="L320" s="11">
        <f>J320</f>
        <v>135.303709517611</v>
      </c>
      <c r="V320" s="11">
        <f>L320</f>
        <v>135.303709517611</v>
      </c>
      <c r="W320">
        <v>5</v>
      </c>
      <c r="AG320" s="142" t="s">
        <v>366</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381</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374</v>
      </c>
      <c r="C321" t="s">
        <v>374</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42" t="s">
        <v>371</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381</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375</v>
      </c>
      <c r="C322" t="s">
        <v>375</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42" t="s">
        <v>371</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381</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376</v>
      </c>
      <c r="C323" t="s">
        <v>376</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42" t="s">
        <v>371</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381</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377</v>
      </c>
      <c r="C324" t="s">
        <v>377</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42" t="s">
        <v>378</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381</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379</v>
      </c>
      <c r="C325" t="s">
        <v>379</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42" t="s">
        <v>366</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381</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380</v>
      </c>
      <c r="C326" t="s">
        <v>380</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42" t="s">
        <v>366</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381</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365</v>
      </c>
      <c r="C327" t="s">
        <v>365</v>
      </c>
      <c r="E327" s="11">
        <v>52.4749917783354</v>
      </c>
      <c r="F327" s="11">
        <f>E327</f>
        <v>52.4749917783354</v>
      </c>
      <c r="I327" s="11">
        <f>F327</f>
        <v>52.4749917783354</v>
      </c>
      <c r="J327" s="11">
        <f>I327</f>
        <v>52.4749917783354</v>
      </c>
      <c r="L327" s="11">
        <f>J327</f>
        <v>52.4749917783354</v>
      </c>
      <c r="V327" s="11">
        <f>L327</f>
        <v>52.4749917783354</v>
      </c>
      <c r="W327">
        <v>5</v>
      </c>
      <c r="AG327" s="142" t="s">
        <v>366</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367</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368</v>
      </c>
      <c r="C328" t="s">
        <v>368</v>
      </c>
      <c r="E328" s="11">
        <v>45.8382269487756</v>
      </c>
      <c r="F328" s="11">
        <f>E328</f>
        <v>45.8382269487756</v>
      </c>
      <c r="I328" s="11">
        <f>F328</f>
        <v>45.8382269487756</v>
      </c>
      <c r="J328" s="11">
        <f>I328</f>
        <v>45.8382269487756</v>
      </c>
      <c r="L328" s="11">
        <f>J328</f>
        <v>45.8382269487756</v>
      </c>
      <c r="V328" s="11">
        <f>L328</f>
        <v>45.8382269487756</v>
      </c>
      <c r="W328">
        <v>5</v>
      </c>
      <c r="AG328" s="142" t="s">
        <v>366</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367</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369</v>
      </c>
      <c r="C329" t="s">
        <v>369</v>
      </c>
      <c r="E329" s="11">
        <v>9.12676390579556</v>
      </c>
      <c r="I329" s="11">
        <v>12.3280833254511</v>
      </c>
      <c r="J329" s="11">
        <v>14.3309310966871</v>
      </c>
      <c r="L329" s="11">
        <v>19.4316201953666</v>
      </c>
      <c r="V329" s="11">
        <v>53.2382589133765</v>
      </c>
      <c r="W329">
        <v>5</v>
      </c>
      <c r="AG329" s="142" t="s">
        <v>366</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367</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370</v>
      </c>
      <c r="C330" t="s">
        <v>370</v>
      </c>
      <c r="E330" s="11">
        <v>9.74070027471122</v>
      </c>
      <c r="I330" s="11">
        <v>10.8414100633482</v>
      </c>
      <c r="J330" s="11">
        <v>11.0821321791008</v>
      </c>
      <c r="L330" s="11">
        <v>11.335909074956</v>
      </c>
      <c r="V330" s="11">
        <v>9.99259949010795</v>
      </c>
      <c r="W330">
        <v>5</v>
      </c>
      <c r="AG330" s="142" t="s">
        <v>371</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367</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372</v>
      </c>
      <c r="C331" t="s">
        <v>372</v>
      </c>
      <c r="E331" s="11">
        <v>10.9989574210474</v>
      </c>
      <c r="F331" s="11">
        <f>E331</f>
        <v>10.9989574210474</v>
      </c>
      <c r="I331" s="11">
        <f>F331</f>
        <v>10.9989574210474</v>
      </c>
      <c r="J331" s="11">
        <f>I331</f>
        <v>10.9989574210474</v>
      </c>
      <c r="L331" s="11">
        <f>J331</f>
        <v>10.9989574210474</v>
      </c>
      <c r="V331" s="11">
        <f>L331</f>
        <v>10.9989574210474</v>
      </c>
      <c r="W331">
        <v>5</v>
      </c>
      <c r="AG331" s="142" t="s">
        <v>366</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367</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373</v>
      </c>
      <c r="C332" t="s">
        <v>373</v>
      </c>
      <c r="E332" s="11">
        <v>125.722145353272</v>
      </c>
      <c r="F332" s="11">
        <f>E332</f>
        <v>125.722145353272</v>
      </c>
      <c r="I332" s="11">
        <f>F332</f>
        <v>125.722145353272</v>
      </c>
      <c r="J332" s="11">
        <f>I332</f>
        <v>125.722145353272</v>
      </c>
      <c r="L332" s="11">
        <f>J332</f>
        <v>125.722145353272</v>
      </c>
      <c r="V332" s="11">
        <f>L332</f>
        <v>125.722145353272</v>
      </c>
      <c r="W332">
        <v>5</v>
      </c>
      <c r="AG332" s="142" t="s">
        <v>366</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367</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374</v>
      </c>
      <c r="C333" t="s">
        <v>374</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42" t="s">
        <v>371</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367</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375</v>
      </c>
      <c r="C334" t="s">
        <v>375</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42" t="s">
        <v>371</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367</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376</v>
      </c>
      <c r="C335" t="s">
        <v>376</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42" t="s">
        <v>371</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367</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377</v>
      </c>
      <c r="C336" t="s">
        <v>377</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42" t="s">
        <v>378</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367</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379</v>
      </c>
      <c r="C337" t="s">
        <v>379</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42" t="s">
        <v>366</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367</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380</v>
      </c>
      <c r="C338" t="s">
        <v>380</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42" t="s">
        <v>366</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367</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365</v>
      </c>
      <c r="C339" t="s">
        <v>365</v>
      </c>
      <c r="E339" s="11">
        <v>103.891851463989</v>
      </c>
      <c r="F339" s="11">
        <f>E339</f>
        <v>103.891851463989</v>
      </c>
      <c r="I339" s="11">
        <f>F339</f>
        <v>103.891851463989</v>
      </c>
      <c r="J339" s="11">
        <f>I339</f>
        <v>103.891851463989</v>
      </c>
      <c r="L339" s="11">
        <f>J339</f>
        <v>103.891851463989</v>
      </c>
      <c r="V339" s="11">
        <f>L339</f>
        <v>103.891851463989</v>
      </c>
      <c r="W339">
        <v>5</v>
      </c>
      <c r="AG339" s="142" t="s">
        <v>366</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381</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368</v>
      </c>
      <c r="C340" t="s">
        <v>368</v>
      </c>
      <c r="E340" s="11">
        <v>260.258225243851</v>
      </c>
      <c r="F340" s="11">
        <f>E340</f>
        <v>260.258225243851</v>
      </c>
      <c r="I340" s="11">
        <f>F340</f>
        <v>260.258225243851</v>
      </c>
      <c r="J340" s="11">
        <f>I340</f>
        <v>260.258225243851</v>
      </c>
      <c r="L340" s="11">
        <f>J340</f>
        <v>260.258225243851</v>
      </c>
      <c r="V340" s="11">
        <f>L340</f>
        <v>260.258225243851</v>
      </c>
      <c r="W340">
        <v>5</v>
      </c>
      <c r="AG340" s="142" t="s">
        <v>366</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381</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369</v>
      </c>
      <c r="C341" t="s">
        <v>369</v>
      </c>
      <c r="E341" s="11">
        <v>3.47343215679999</v>
      </c>
      <c r="I341" s="11">
        <v>4.5230426202522</v>
      </c>
      <c r="J341" s="11">
        <v>4.8408389135394</v>
      </c>
      <c r="L341" s="11">
        <v>5.47408246075369</v>
      </c>
      <c r="V341" s="11">
        <v>7.4792063275324</v>
      </c>
      <c r="W341">
        <v>5</v>
      </c>
      <c r="AG341" s="142" t="s">
        <v>366</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381</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370</v>
      </c>
      <c r="C342" t="s">
        <v>370</v>
      </c>
      <c r="E342" s="11">
        <v>14.626041583712</v>
      </c>
      <c r="I342" s="11">
        <v>14.7086189446099</v>
      </c>
      <c r="J342" s="11">
        <v>14.7592524756673</v>
      </c>
      <c r="L342" s="11">
        <v>14.8957022241977</v>
      </c>
      <c r="V342" s="11">
        <v>14.2703428586092</v>
      </c>
      <c r="W342">
        <v>5</v>
      </c>
      <c r="AG342" s="142" t="s">
        <v>371</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381</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372</v>
      </c>
      <c r="C343" t="s">
        <v>372</v>
      </c>
      <c r="E343" s="11">
        <v>46.6214604970415</v>
      </c>
      <c r="F343" s="11">
        <f>E343</f>
        <v>46.6214604970415</v>
      </c>
      <c r="I343" s="11">
        <f>F343</f>
        <v>46.6214604970415</v>
      </c>
      <c r="J343" s="11">
        <f>I343</f>
        <v>46.6214604970415</v>
      </c>
      <c r="L343" s="11">
        <f>J343</f>
        <v>46.6214604970415</v>
      </c>
      <c r="V343" s="11">
        <f>L343</f>
        <v>46.6214604970415</v>
      </c>
      <c r="W343">
        <v>5</v>
      </c>
      <c r="AG343" s="142" t="s">
        <v>366</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381</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373</v>
      </c>
      <c r="C344" t="s">
        <v>373</v>
      </c>
      <c r="E344" s="11">
        <v>337.154179744827</v>
      </c>
      <c r="F344" s="11">
        <f>E344</f>
        <v>337.154179744827</v>
      </c>
      <c r="I344" s="11">
        <f>F344</f>
        <v>337.154179744827</v>
      </c>
      <c r="J344" s="11">
        <f>I344</f>
        <v>337.154179744827</v>
      </c>
      <c r="L344" s="11">
        <f>J344</f>
        <v>337.154179744827</v>
      </c>
      <c r="V344" s="11">
        <f>L344</f>
        <v>337.154179744827</v>
      </c>
      <c r="W344">
        <v>5</v>
      </c>
      <c r="AG344" s="142" t="s">
        <v>366</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381</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374</v>
      </c>
      <c r="C345" t="s">
        <v>374</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42" t="s">
        <v>371</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381</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375</v>
      </c>
      <c r="C346" t="s">
        <v>375</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42" t="s">
        <v>371</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381</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376</v>
      </c>
      <c r="C347" t="s">
        <v>376</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42" t="s">
        <v>371</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381</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377</v>
      </c>
      <c r="C348" t="s">
        <v>377</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42" t="s">
        <v>378</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381</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379</v>
      </c>
      <c r="C349" t="s">
        <v>379</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42" t="s">
        <v>366</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381</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380</v>
      </c>
      <c r="C350" t="s">
        <v>380</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42" t="s">
        <v>366</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381</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365</v>
      </c>
      <c r="C351" t="s">
        <v>365</v>
      </c>
      <c r="E351" s="11">
        <v>10.8787135219328</v>
      </c>
      <c r="F351" s="11">
        <f>E351</f>
        <v>10.8787135219328</v>
      </c>
      <c r="I351" s="11">
        <f>F351</f>
        <v>10.8787135219328</v>
      </c>
      <c r="J351" s="11">
        <f>I351</f>
        <v>10.8787135219328</v>
      </c>
      <c r="L351" s="11">
        <f>J351</f>
        <v>10.8787135219328</v>
      </c>
      <c r="V351" s="11">
        <f>L351</f>
        <v>10.8787135219328</v>
      </c>
      <c r="W351">
        <v>5</v>
      </c>
      <c r="AG351" s="142" t="s">
        <v>366</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381</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368</v>
      </c>
      <c r="C352" t="s">
        <v>368</v>
      </c>
      <c r="E352" s="11">
        <v>116.616235183285</v>
      </c>
      <c r="F352" s="11">
        <f>E352</f>
        <v>116.616235183285</v>
      </c>
      <c r="I352" s="11">
        <f>F352</f>
        <v>116.616235183285</v>
      </c>
      <c r="J352" s="11">
        <f>I352</f>
        <v>116.616235183285</v>
      </c>
      <c r="L352" s="11">
        <f>J352</f>
        <v>116.616235183285</v>
      </c>
      <c r="V352" s="11">
        <f>L352</f>
        <v>116.616235183285</v>
      </c>
      <c r="W352">
        <v>5</v>
      </c>
      <c r="AG352" s="142" t="s">
        <v>366</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381</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369</v>
      </c>
      <c r="C353" t="s">
        <v>369</v>
      </c>
      <c r="E353" s="11">
        <v>4.13885072055123</v>
      </c>
      <c r="I353" s="11">
        <v>5.17869535206599</v>
      </c>
      <c r="J353" s="11">
        <v>5.45308235480547</v>
      </c>
      <c r="L353" s="11">
        <v>5.97960378256308</v>
      </c>
      <c r="V353" s="11">
        <v>8.15145189420441</v>
      </c>
      <c r="W353">
        <v>5</v>
      </c>
      <c r="AG353" s="142" t="s">
        <v>366</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381</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370</v>
      </c>
      <c r="C354" t="s">
        <v>370</v>
      </c>
      <c r="E354" s="11">
        <v>13.7458008530983</v>
      </c>
      <c r="I354" s="11">
        <v>14.148885907274</v>
      </c>
      <c r="J354" s="11">
        <v>14.2616938690585</v>
      </c>
      <c r="L354" s="11">
        <v>14.5485180546064</v>
      </c>
      <c r="V354" s="11">
        <v>15.3661972671952</v>
      </c>
      <c r="W354">
        <v>5</v>
      </c>
      <c r="AG354" s="142" t="s">
        <v>371</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381</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372</v>
      </c>
      <c r="C355" t="s">
        <v>372</v>
      </c>
      <c r="E355" s="11">
        <v>16.6107321567818</v>
      </c>
      <c r="F355" s="11">
        <f>E355</f>
        <v>16.6107321567818</v>
      </c>
      <c r="I355" s="11">
        <f>F355</f>
        <v>16.6107321567818</v>
      </c>
      <c r="J355" s="11">
        <f>I355</f>
        <v>16.6107321567818</v>
      </c>
      <c r="L355" s="11">
        <f>J355</f>
        <v>16.6107321567818</v>
      </c>
      <c r="V355" s="11">
        <f>L355</f>
        <v>16.6107321567818</v>
      </c>
      <c r="W355">
        <v>5</v>
      </c>
      <c r="AG355" s="142" t="s">
        <v>366</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381</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373</v>
      </c>
      <c r="C356" t="s">
        <v>373</v>
      </c>
      <c r="E356" s="11">
        <v>129.840269242668</v>
      </c>
      <c r="F356" s="11">
        <f>E356</f>
        <v>129.840269242668</v>
      </c>
      <c r="I356" s="11">
        <f>F356</f>
        <v>129.840269242668</v>
      </c>
      <c r="J356" s="11">
        <f>I356</f>
        <v>129.840269242668</v>
      </c>
      <c r="L356" s="11">
        <f>J356</f>
        <v>129.840269242668</v>
      </c>
      <c r="V356" s="11">
        <f>L356</f>
        <v>129.840269242668</v>
      </c>
      <c r="W356">
        <v>5</v>
      </c>
      <c r="AG356" s="142" t="s">
        <v>366</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381</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374</v>
      </c>
      <c r="C357" t="s">
        <v>374</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42" t="s">
        <v>371</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381</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375</v>
      </c>
      <c r="C358" t="s">
        <v>375</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42" t="s">
        <v>371</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381</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376</v>
      </c>
      <c r="C359" t="s">
        <v>376</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42" t="s">
        <v>371</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381</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377</v>
      </c>
      <c r="C360" t="s">
        <v>377</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42" t="s">
        <v>378</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381</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379</v>
      </c>
      <c r="C361" t="s">
        <v>379</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42" t="s">
        <v>366</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381</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380</v>
      </c>
      <c r="C362" t="s">
        <v>380</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42" t="s">
        <v>366</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381</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365</v>
      </c>
      <c r="C363" t="s">
        <v>365</v>
      </c>
      <c r="E363" s="11">
        <v>2.7922333831801</v>
      </c>
      <c r="F363" s="11">
        <f>E363</f>
        <v>2.7922333831801</v>
      </c>
      <c r="I363" s="11">
        <f>F363</f>
        <v>2.7922333831801</v>
      </c>
      <c r="J363" s="11">
        <f>I363</f>
        <v>2.7922333831801</v>
      </c>
      <c r="L363" s="11">
        <f>J363</f>
        <v>2.7922333831801</v>
      </c>
      <c r="V363" s="11">
        <f>L363</f>
        <v>2.7922333831801</v>
      </c>
      <c r="W363">
        <v>5</v>
      </c>
      <c r="AG363" s="142" t="s">
        <v>366</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381</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368</v>
      </c>
      <c r="C364" t="s">
        <v>368</v>
      </c>
      <c r="E364" s="11">
        <v>78.5809754084052</v>
      </c>
      <c r="F364" s="11">
        <f>E364</f>
        <v>78.5809754084052</v>
      </c>
      <c r="I364" s="11">
        <f>F364</f>
        <v>78.5809754084052</v>
      </c>
      <c r="J364" s="11">
        <f>I364</f>
        <v>78.5809754084052</v>
      </c>
      <c r="L364" s="11">
        <f>J364</f>
        <v>78.5809754084052</v>
      </c>
      <c r="V364" s="11">
        <f>L364</f>
        <v>78.5809754084052</v>
      </c>
      <c r="W364">
        <v>5</v>
      </c>
      <c r="AG364" s="142" t="s">
        <v>366</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381</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369</v>
      </c>
      <c r="C365" t="s">
        <v>369</v>
      </c>
      <c r="E365" s="11">
        <v>0.356036346642533</v>
      </c>
      <c r="I365" s="11">
        <v>0.422268318976179</v>
      </c>
      <c r="J365" s="11">
        <v>0.437318678711944</v>
      </c>
      <c r="L365" s="11">
        <v>0.465843190262119</v>
      </c>
      <c r="V365" s="11">
        <v>0.587643350380561</v>
      </c>
      <c r="W365">
        <v>5</v>
      </c>
      <c r="AG365" s="142" t="s">
        <v>366</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381</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370</v>
      </c>
      <c r="C366" t="s">
        <v>370</v>
      </c>
      <c r="E366" s="11">
        <v>11.0388847973258</v>
      </c>
      <c r="I366" s="11">
        <v>11.6000229964462</v>
      </c>
      <c r="J366" s="11">
        <v>11.7445834962148</v>
      </c>
      <c r="L366" s="11">
        <v>12.0632503469926</v>
      </c>
      <c r="V366" s="11">
        <v>12.6327834024112</v>
      </c>
      <c r="W366">
        <v>5</v>
      </c>
      <c r="AG366" s="142" t="s">
        <v>371</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381</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372</v>
      </c>
      <c r="C367" t="s">
        <v>372</v>
      </c>
      <c r="E367" s="11">
        <v>1.5612086088509</v>
      </c>
      <c r="F367" s="11">
        <f>E367</f>
        <v>1.5612086088509</v>
      </c>
      <c r="I367" s="11">
        <f>F367</f>
        <v>1.5612086088509</v>
      </c>
      <c r="J367" s="11">
        <f>I367</f>
        <v>1.5612086088509</v>
      </c>
      <c r="L367" s="11">
        <f>J367</f>
        <v>1.5612086088509</v>
      </c>
      <c r="V367" s="11">
        <f>L367</f>
        <v>1.5612086088509</v>
      </c>
      <c r="W367">
        <v>5</v>
      </c>
      <c r="AG367" s="142" t="s">
        <v>366</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381</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373</v>
      </c>
      <c r="C368" t="s">
        <v>373</v>
      </c>
      <c r="E368" s="11">
        <v>0.112388280015901</v>
      </c>
      <c r="F368" s="11">
        <f>E368</f>
        <v>0.112388280015901</v>
      </c>
      <c r="I368" s="11">
        <f>F368</f>
        <v>0.112388280015901</v>
      </c>
      <c r="J368" s="11">
        <f>I368</f>
        <v>0.112388280015901</v>
      </c>
      <c r="L368" s="11">
        <f>J368</f>
        <v>0.112388280015901</v>
      </c>
      <c r="V368" s="11">
        <f>L368</f>
        <v>0.112388280015901</v>
      </c>
      <c r="W368">
        <v>5</v>
      </c>
      <c r="AG368" s="142" t="s">
        <v>366</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381</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374</v>
      </c>
      <c r="C369" t="s">
        <v>374</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42" t="s">
        <v>371</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381</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375</v>
      </c>
      <c r="C370" t="s">
        <v>375</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42" t="s">
        <v>371</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381</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376</v>
      </c>
      <c r="C371" t="s">
        <v>376</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42" t="s">
        <v>371</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381</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377</v>
      </c>
      <c r="C372" t="s">
        <v>377</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42" t="s">
        <v>378</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381</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379</v>
      </c>
      <c r="C373" t="s">
        <v>379</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42" t="s">
        <v>366</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381</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380</v>
      </c>
      <c r="C374" t="s">
        <v>380</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42" t="s">
        <v>366</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381</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365</v>
      </c>
      <c r="C375" t="s">
        <v>365</v>
      </c>
      <c r="E375" s="11">
        <v>51.6742677900742</v>
      </c>
      <c r="F375" s="11">
        <f>E375</f>
        <v>51.6742677900742</v>
      </c>
      <c r="I375" s="11">
        <f>F375</f>
        <v>51.6742677900742</v>
      </c>
      <c r="J375" s="11">
        <f>I375</f>
        <v>51.6742677900742</v>
      </c>
      <c r="L375" s="11">
        <f>J375</f>
        <v>51.6742677900742</v>
      </c>
      <c r="V375" s="11">
        <f>L375</f>
        <v>51.6742677900742</v>
      </c>
      <c r="W375">
        <v>5</v>
      </c>
      <c r="AG375" s="142" t="s">
        <v>366</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381</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368</v>
      </c>
      <c r="C376" t="s">
        <v>368</v>
      </c>
      <c r="E376" s="11">
        <v>188.943680282024</v>
      </c>
      <c r="F376" s="11">
        <f>E376</f>
        <v>188.943680282024</v>
      </c>
      <c r="I376" s="11">
        <f>F376</f>
        <v>188.943680282024</v>
      </c>
      <c r="J376" s="11">
        <f>I376</f>
        <v>188.943680282024</v>
      </c>
      <c r="L376" s="11">
        <f>J376</f>
        <v>188.943680282024</v>
      </c>
      <c r="V376" s="11">
        <f>L376</f>
        <v>188.943680282024</v>
      </c>
      <c r="W376">
        <v>5</v>
      </c>
      <c r="AG376" s="142" t="s">
        <v>366</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381</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369</v>
      </c>
      <c r="C377" t="s">
        <v>369</v>
      </c>
      <c r="E377" s="11">
        <v>3.95764867674044</v>
      </c>
      <c r="I377" s="11">
        <v>6.4464674603342</v>
      </c>
      <c r="J377" s="11">
        <v>7.10077394538316</v>
      </c>
      <c r="L377" s="11">
        <v>8.21786107201598</v>
      </c>
      <c r="V377" s="11">
        <v>10.5694547388171</v>
      </c>
      <c r="W377">
        <v>5</v>
      </c>
      <c r="AG377" s="142" t="s">
        <v>366</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381</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370</v>
      </c>
      <c r="C378" t="s">
        <v>370</v>
      </c>
      <c r="E378" s="11">
        <v>5.66430246258363</v>
      </c>
      <c r="I378" s="11">
        <v>6.10401954633122</v>
      </c>
      <c r="J378" s="11">
        <v>6.19700482916527</v>
      </c>
      <c r="L378" s="11">
        <v>6.30371330506704</v>
      </c>
      <c r="V378" s="11">
        <v>5.7761418345808</v>
      </c>
      <c r="W378">
        <v>5</v>
      </c>
      <c r="AG378" s="142" t="s">
        <v>371</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381</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372</v>
      </c>
      <c r="C379" t="s">
        <v>372</v>
      </c>
      <c r="E379" s="11">
        <v>16.622151379341</v>
      </c>
      <c r="F379" s="11">
        <f>E379</f>
        <v>16.622151379341</v>
      </c>
      <c r="I379" s="11">
        <f>F379</f>
        <v>16.622151379341</v>
      </c>
      <c r="J379" s="11">
        <f>I379</f>
        <v>16.622151379341</v>
      </c>
      <c r="L379" s="11">
        <f>J379</f>
        <v>16.622151379341</v>
      </c>
      <c r="V379" s="11">
        <f>L379</f>
        <v>16.622151379341</v>
      </c>
      <c r="W379">
        <v>5</v>
      </c>
      <c r="AG379" s="142" t="s">
        <v>366</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381</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373</v>
      </c>
      <c r="C380" t="s">
        <v>373</v>
      </c>
      <c r="E380" s="11">
        <v>37.8006200912268</v>
      </c>
      <c r="F380" s="11">
        <f>E380</f>
        <v>37.8006200912268</v>
      </c>
      <c r="I380" s="11">
        <f>F380</f>
        <v>37.8006200912268</v>
      </c>
      <c r="J380" s="11">
        <f>I380</f>
        <v>37.8006200912268</v>
      </c>
      <c r="L380" s="11">
        <f>J380</f>
        <v>37.8006200912268</v>
      </c>
      <c r="V380" s="11">
        <f>L380</f>
        <v>37.8006200912268</v>
      </c>
      <c r="W380">
        <v>5</v>
      </c>
      <c r="AG380" s="142" t="s">
        <v>366</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381</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374</v>
      </c>
      <c r="C381" t="s">
        <v>374</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42" t="s">
        <v>371</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381</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375</v>
      </c>
      <c r="C382" t="s">
        <v>375</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42" t="s">
        <v>371</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381</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376</v>
      </c>
      <c r="C383" t="s">
        <v>376</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42" t="s">
        <v>371</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381</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377</v>
      </c>
      <c r="C384" t="s">
        <v>377</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42" t="s">
        <v>378</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381</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379</v>
      </c>
      <c r="C385" t="s">
        <v>379</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42" t="s">
        <v>366</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381</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380</v>
      </c>
      <c r="C386" t="s">
        <v>380</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42" t="s">
        <v>366</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381</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365</v>
      </c>
      <c r="C387" t="s">
        <v>365</v>
      </c>
      <c r="E387" s="11">
        <v>36.9226194799132</v>
      </c>
      <c r="F387" s="11">
        <f>E387</f>
        <v>36.9226194799132</v>
      </c>
      <c r="I387" s="11">
        <f>F387</f>
        <v>36.9226194799132</v>
      </c>
      <c r="J387" s="11">
        <f>I387</f>
        <v>36.9226194799132</v>
      </c>
      <c r="L387" s="11">
        <f>J387</f>
        <v>36.9226194799132</v>
      </c>
      <c r="V387" s="11">
        <f>L387</f>
        <v>36.9226194799132</v>
      </c>
      <c r="W387">
        <v>5</v>
      </c>
      <c r="AG387" s="142" t="s">
        <v>366</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381</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368</v>
      </c>
      <c r="C388" t="s">
        <v>368</v>
      </c>
      <c r="E388" s="11">
        <v>490.543871571096</v>
      </c>
      <c r="F388" s="11">
        <f>E388</f>
        <v>490.543871571096</v>
      </c>
      <c r="I388" s="11">
        <f>F388</f>
        <v>490.543871571096</v>
      </c>
      <c r="J388" s="11">
        <f>I388</f>
        <v>490.543871571096</v>
      </c>
      <c r="L388" s="11">
        <f>J388</f>
        <v>490.543871571096</v>
      </c>
      <c r="V388" s="11">
        <f>L388</f>
        <v>490.543871571096</v>
      </c>
      <c r="W388">
        <v>5</v>
      </c>
      <c r="AG388" s="142" t="s">
        <v>366</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381</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369</v>
      </c>
      <c r="C389" t="s">
        <v>369</v>
      </c>
      <c r="E389" s="11">
        <v>24.6033770922968</v>
      </c>
      <c r="I389" s="11">
        <v>31.7384471153733</v>
      </c>
      <c r="J389" s="11">
        <v>34.1423828187106</v>
      </c>
      <c r="L389" s="11">
        <v>39.4372995434473</v>
      </c>
      <c r="V389" s="11">
        <v>61.3720467254865</v>
      </c>
      <c r="W389">
        <v>5</v>
      </c>
      <c r="AG389" s="142" t="s">
        <v>366</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381</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370</v>
      </c>
      <c r="C390" t="s">
        <v>370</v>
      </c>
      <c r="E390" s="11">
        <v>23.1089699635029</v>
      </c>
      <c r="I390" s="11">
        <v>23.8134228090774</v>
      </c>
      <c r="J390" s="11">
        <v>24.0593576107348</v>
      </c>
      <c r="L390" s="11">
        <v>24.6177722207965</v>
      </c>
      <c r="V390" s="11">
        <v>25.7219062863884</v>
      </c>
      <c r="W390">
        <v>5</v>
      </c>
      <c r="AG390" s="142" t="s">
        <v>371</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381</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372</v>
      </c>
      <c r="C391" t="s">
        <v>372</v>
      </c>
      <c r="E391" s="11">
        <v>36.9758094058833</v>
      </c>
      <c r="F391" s="11">
        <f>E391</f>
        <v>36.9758094058833</v>
      </c>
      <c r="I391" s="11">
        <f>F391</f>
        <v>36.9758094058833</v>
      </c>
      <c r="J391" s="11">
        <f>I391</f>
        <v>36.9758094058833</v>
      </c>
      <c r="L391" s="11">
        <f>J391</f>
        <v>36.9758094058833</v>
      </c>
      <c r="V391" s="11">
        <f>L391</f>
        <v>36.9758094058833</v>
      </c>
      <c r="W391">
        <v>5</v>
      </c>
      <c r="AG391" s="142" t="s">
        <v>366</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381</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373</v>
      </c>
      <c r="C392" t="s">
        <v>373</v>
      </c>
      <c r="E392" s="11">
        <v>94.701473626264</v>
      </c>
      <c r="F392" s="11">
        <f>E392</f>
        <v>94.701473626264</v>
      </c>
      <c r="I392" s="11">
        <f>F392</f>
        <v>94.701473626264</v>
      </c>
      <c r="J392" s="11">
        <f>I392</f>
        <v>94.701473626264</v>
      </c>
      <c r="L392" s="11">
        <f>J392</f>
        <v>94.701473626264</v>
      </c>
      <c r="V392" s="11">
        <f>L392</f>
        <v>94.701473626264</v>
      </c>
      <c r="W392">
        <v>5</v>
      </c>
      <c r="AG392" s="142" t="s">
        <v>366</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381</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374</v>
      </c>
      <c r="C393" t="s">
        <v>374</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42" t="s">
        <v>371</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381</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375</v>
      </c>
      <c r="C394" t="s">
        <v>375</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42" t="s">
        <v>371</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381</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376</v>
      </c>
      <c r="C395" t="s">
        <v>376</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42" t="s">
        <v>371</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381</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377</v>
      </c>
      <c r="C396" t="s">
        <v>377</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42" t="s">
        <v>378</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381</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379</v>
      </c>
      <c r="C397" t="s">
        <v>379</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42" t="s">
        <v>366</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381</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380</v>
      </c>
      <c r="C398" t="s">
        <v>380</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42" t="s">
        <v>366</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381</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365</v>
      </c>
      <c r="C399" t="s">
        <v>365</v>
      </c>
      <c r="E399" s="11">
        <v>7.75124785307158</v>
      </c>
      <c r="F399" s="11">
        <f>E399</f>
        <v>7.75124785307158</v>
      </c>
      <c r="I399" s="11">
        <f>F399</f>
        <v>7.75124785307158</v>
      </c>
      <c r="J399" s="11">
        <f>I399</f>
        <v>7.75124785307158</v>
      </c>
      <c r="L399" s="11">
        <f>J399</f>
        <v>7.75124785307158</v>
      </c>
      <c r="V399" s="11">
        <f>L399</f>
        <v>7.75124785307158</v>
      </c>
      <c r="W399">
        <v>5</v>
      </c>
      <c r="AG399" s="142" t="s">
        <v>366</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367</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368</v>
      </c>
      <c r="C400" t="s">
        <v>368</v>
      </c>
      <c r="E400" s="11">
        <v>7.39791458129825</v>
      </c>
      <c r="F400" s="11">
        <f>E400</f>
        <v>7.39791458129825</v>
      </c>
      <c r="I400" s="11">
        <f>F400</f>
        <v>7.39791458129825</v>
      </c>
      <c r="J400" s="11">
        <f>I400</f>
        <v>7.39791458129825</v>
      </c>
      <c r="L400" s="11">
        <f>J400</f>
        <v>7.39791458129825</v>
      </c>
      <c r="V400" s="11">
        <f>L400</f>
        <v>7.39791458129825</v>
      </c>
      <c r="W400">
        <v>5</v>
      </c>
      <c r="AG400" s="142" t="s">
        <v>366</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367</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369</v>
      </c>
      <c r="C401" t="s">
        <v>369</v>
      </c>
      <c r="E401" s="11">
        <v>5.36702369795162</v>
      </c>
      <c r="I401" s="11">
        <v>6.79767649689424</v>
      </c>
      <c r="J401" s="11">
        <v>7.90571937471574</v>
      </c>
      <c r="L401" s="11">
        <v>9.94129063496476</v>
      </c>
      <c r="V401" s="11">
        <v>19.5816696304826</v>
      </c>
      <c r="W401">
        <v>5</v>
      </c>
      <c r="AG401" s="142" t="s">
        <v>366</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367</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370</v>
      </c>
      <c r="C402" t="s">
        <v>370</v>
      </c>
      <c r="E402" s="11">
        <v>15.1011499893745</v>
      </c>
      <c r="I402" s="11">
        <v>12.7482738405374</v>
      </c>
      <c r="J402" s="11">
        <v>12.5807321535368</v>
      </c>
      <c r="L402" s="11">
        <v>12.0676049227177</v>
      </c>
      <c r="V402" s="11">
        <v>9.69056012966569</v>
      </c>
      <c r="W402">
        <v>5</v>
      </c>
      <c r="AG402" s="142" t="s">
        <v>371</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367</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372</v>
      </c>
      <c r="C403" t="s">
        <v>372</v>
      </c>
      <c r="E403" s="11">
        <v>5.71590616242323</v>
      </c>
      <c r="F403" s="11">
        <f>E403</f>
        <v>5.71590616242323</v>
      </c>
      <c r="I403" s="11">
        <f>F403</f>
        <v>5.71590616242323</v>
      </c>
      <c r="J403" s="11">
        <f>I403</f>
        <v>5.71590616242323</v>
      </c>
      <c r="L403" s="11">
        <f>J403</f>
        <v>5.71590616242323</v>
      </c>
      <c r="V403" s="11">
        <f>L403</f>
        <v>5.71590616242323</v>
      </c>
      <c r="W403">
        <v>5</v>
      </c>
      <c r="AG403" s="142" t="s">
        <v>366</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367</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373</v>
      </c>
      <c r="C404" t="s">
        <v>373</v>
      </c>
      <c r="E404" s="11">
        <v>0</v>
      </c>
      <c r="F404" s="11">
        <f>E404</f>
        <v>0</v>
      </c>
      <c r="I404" s="11">
        <f>F404</f>
        <v>0</v>
      </c>
      <c r="J404" s="11">
        <f>I404</f>
        <v>0</v>
      </c>
      <c r="L404" s="11">
        <f>J404</f>
        <v>0</v>
      </c>
      <c r="V404" s="11">
        <f>L404</f>
        <v>0</v>
      </c>
      <c r="W404">
        <v>5</v>
      </c>
      <c r="AG404" s="142" t="s">
        <v>366</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367</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374</v>
      </c>
      <c r="C405" t="s">
        <v>374</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42" t="s">
        <v>371</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367</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375</v>
      </c>
      <c r="C406" t="s">
        <v>375</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42" t="s">
        <v>371</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367</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376</v>
      </c>
      <c r="C407" t="s">
        <v>376</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42" t="s">
        <v>371</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367</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377</v>
      </c>
      <c r="C408" t="s">
        <v>377</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42" t="s">
        <v>378</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367</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379</v>
      </c>
      <c r="C409" t="s">
        <v>379</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42" t="s">
        <v>366</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367</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380</v>
      </c>
      <c r="C410" t="s">
        <v>380</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42" t="s">
        <v>366</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367</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365</v>
      </c>
      <c r="C411" t="s">
        <v>365</v>
      </c>
      <c r="E411" s="11">
        <v>0</v>
      </c>
      <c r="F411" s="11">
        <f>E411</f>
        <v>0</v>
      </c>
      <c r="I411" s="11">
        <f>F411</f>
        <v>0</v>
      </c>
      <c r="J411" s="11">
        <f>I411</f>
        <v>0</v>
      </c>
      <c r="L411" s="11">
        <f>J411</f>
        <v>0</v>
      </c>
      <c r="V411" s="11">
        <f>L411</f>
        <v>0</v>
      </c>
      <c r="W411">
        <v>5</v>
      </c>
      <c r="AG411" s="142" t="s">
        <v>366</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367</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368</v>
      </c>
      <c r="C412" t="s">
        <v>368</v>
      </c>
      <c r="E412" s="11">
        <v>9.75424966159573</v>
      </c>
      <c r="F412" s="11">
        <f>E412</f>
        <v>9.75424966159573</v>
      </c>
      <c r="I412" s="11">
        <f>F412</f>
        <v>9.75424966159573</v>
      </c>
      <c r="J412" s="11">
        <f>I412</f>
        <v>9.75424966159573</v>
      </c>
      <c r="L412" s="11">
        <f>J412</f>
        <v>9.75424966159573</v>
      </c>
      <c r="V412" s="11">
        <f>L412</f>
        <v>9.75424966159573</v>
      </c>
      <c r="W412">
        <v>5</v>
      </c>
      <c r="AG412" s="142" t="s">
        <v>366</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367</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369</v>
      </c>
      <c r="C413" t="s">
        <v>369</v>
      </c>
      <c r="E413" s="11">
        <v>0.890246851516642</v>
      </c>
      <c r="I413" s="11">
        <v>1.46050023609891</v>
      </c>
      <c r="J413" s="11">
        <v>1.61970024496212</v>
      </c>
      <c r="L413" s="11">
        <v>1.89179360953464</v>
      </c>
      <c r="V413" s="11">
        <v>3.05610476950368</v>
      </c>
      <c r="W413">
        <v>5</v>
      </c>
      <c r="AG413" s="142" t="s">
        <v>366</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367</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370</v>
      </c>
      <c r="C414" t="s">
        <v>370</v>
      </c>
      <c r="E414" s="11">
        <v>1.58810450436334</v>
      </c>
      <c r="I414" s="11">
        <v>1.49267611008859</v>
      </c>
      <c r="J414" s="11">
        <v>1.46069677747366</v>
      </c>
      <c r="L414" s="11">
        <v>1.39716477220475</v>
      </c>
      <c r="V414" s="11">
        <v>1.13898479048603</v>
      </c>
      <c r="W414">
        <v>5</v>
      </c>
      <c r="AG414" s="142" t="s">
        <v>371</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367</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372</v>
      </c>
      <c r="C415" t="s">
        <v>372</v>
      </c>
      <c r="E415" s="11">
        <v>1.85651971653567</v>
      </c>
      <c r="F415" s="11">
        <f>E415</f>
        <v>1.85651971653567</v>
      </c>
      <c r="I415" s="11">
        <f>F415</f>
        <v>1.85651971653567</v>
      </c>
      <c r="J415" s="11">
        <f>I415</f>
        <v>1.85651971653567</v>
      </c>
      <c r="L415" s="11">
        <f>J415</f>
        <v>1.85651971653567</v>
      </c>
      <c r="V415" s="11">
        <f>L415</f>
        <v>1.85651971653567</v>
      </c>
      <c r="W415">
        <v>5</v>
      </c>
      <c r="AG415" s="142" t="s">
        <v>366</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367</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373</v>
      </c>
      <c r="C416" t="s">
        <v>373</v>
      </c>
      <c r="E416" s="11">
        <v>2.05021145703732</v>
      </c>
      <c r="F416" s="11">
        <f>E416</f>
        <v>2.05021145703732</v>
      </c>
      <c r="I416" s="11">
        <f>F416</f>
        <v>2.05021145703732</v>
      </c>
      <c r="J416" s="11">
        <f>I416</f>
        <v>2.05021145703732</v>
      </c>
      <c r="L416" s="11">
        <f>J416</f>
        <v>2.05021145703732</v>
      </c>
      <c r="V416" s="11">
        <f>L416</f>
        <v>2.05021145703732</v>
      </c>
      <c r="W416">
        <v>5</v>
      </c>
      <c r="AG416" s="142" t="s">
        <v>366</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367</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374</v>
      </c>
      <c r="C417" t="s">
        <v>374</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42" t="s">
        <v>371</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367</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375</v>
      </c>
      <c r="C418" t="s">
        <v>375</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42" t="s">
        <v>371</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367</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376</v>
      </c>
      <c r="C419" t="s">
        <v>376</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42" t="s">
        <v>371</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367</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377</v>
      </c>
      <c r="C420" t="s">
        <v>377</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42" t="s">
        <v>378</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367</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379</v>
      </c>
      <c r="C421" t="s">
        <v>379</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42" t="s">
        <v>366</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367</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380</v>
      </c>
      <c r="C422" t="s">
        <v>380</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42" t="s">
        <v>366</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367</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78" zoomScaleNormal="78" workbookViewId="0">
      <selection activeCell="T14" sqref="T14"/>
    </sheetView>
  </sheetViews>
  <sheetFormatPr defaultColWidth="8.72727272727273" defaultRowHeight="12.5"/>
  <sheetData>
    <row r="11" ht="52" spans="6:16">
      <c r="F11" s="1" t="s">
        <v>383</v>
      </c>
      <c r="G11" s="2" t="s">
        <v>384</v>
      </c>
      <c r="H11" s="2" t="s">
        <v>385</v>
      </c>
      <c r="M11" s="1" t="s">
        <v>386</v>
      </c>
      <c r="N11" s="1" t="s">
        <v>387</v>
      </c>
      <c r="O11" s="1" t="s">
        <v>388</v>
      </c>
      <c r="P11" s="1" t="s">
        <v>389</v>
      </c>
    </row>
    <row r="12" ht="37.5" spans="6:16">
      <c r="F12" s="3" t="s">
        <v>390</v>
      </c>
      <c r="G12" s="4">
        <v>720</v>
      </c>
      <c r="H12" s="2">
        <v>381</v>
      </c>
      <c r="M12" s="3" t="s">
        <v>3</v>
      </c>
      <c r="N12" s="3" t="s">
        <v>391</v>
      </c>
      <c r="O12" s="3">
        <v>0</v>
      </c>
      <c r="P12" s="5">
        <v>0</v>
      </c>
    </row>
    <row r="13" ht="87.5" spans="6:16">
      <c r="F13" s="3" t="s">
        <v>6</v>
      </c>
      <c r="G13" s="6">
        <v>18000</v>
      </c>
      <c r="H13" s="7">
        <v>9522</v>
      </c>
      <c r="M13" s="3" t="s">
        <v>5</v>
      </c>
      <c r="N13" s="3" t="s">
        <v>392</v>
      </c>
      <c r="O13" s="3">
        <v>300</v>
      </c>
      <c r="P13" s="5">
        <v>159</v>
      </c>
    </row>
    <row r="14" ht="13" spans="6:16">
      <c r="F14" s="3" t="s">
        <v>10</v>
      </c>
      <c r="G14" s="6">
        <v>11000</v>
      </c>
      <c r="H14" s="7">
        <v>5819</v>
      </c>
      <c r="M14" s="3" t="s">
        <v>6</v>
      </c>
      <c r="N14" s="3" t="s">
        <v>6</v>
      </c>
      <c r="O14" s="8">
        <v>18000</v>
      </c>
      <c r="P14" s="9">
        <v>9522</v>
      </c>
    </row>
    <row r="15" ht="13" spans="6:16">
      <c r="F15" s="3" t="s">
        <v>393</v>
      </c>
      <c r="G15" s="6">
        <v>1500</v>
      </c>
      <c r="H15" s="2">
        <v>794</v>
      </c>
      <c r="M15" s="3" t="s">
        <v>7</v>
      </c>
      <c r="N15" s="3" t="s">
        <v>7</v>
      </c>
      <c r="O15" s="3">
        <v>0</v>
      </c>
      <c r="P15" s="5">
        <v>0</v>
      </c>
    </row>
    <row r="16" ht="37.5" spans="6:16">
      <c r="F16" s="3" t="s">
        <v>11</v>
      </c>
      <c r="G16" s="6">
        <v>84000</v>
      </c>
      <c r="H16" s="7">
        <v>44436</v>
      </c>
      <c r="M16" s="3" t="s">
        <v>8</v>
      </c>
      <c r="N16" s="3" t="s">
        <v>394</v>
      </c>
      <c r="O16" s="3">
        <v>0</v>
      </c>
      <c r="P16" s="5">
        <v>0</v>
      </c>
    </row>
    <row r="17" ht="62.5" spans="6:16">
      <c r="F17" s="3" t="s">
        <v>15</v>
      </c>
      <c r="G17" s="4">
        <v>960</v>
      </c>
      <c r="H17" s="2">
        <v>508</v>
      </c>
      <c r="M17" s="3" t="s">
        <v>9</v>
      </c>
      <c r="N17" s="3" t="s">
        <v>395</v>
      </c>
      <c r="O17" s="3">
        <v>0</v>
      </c>
      <c r="P17" s="5">
        <v>0</v>
      </c>
    </row>
    <row r="18" ht="13" spans="6:16">
      <c r="F18" s="3" t="s">
        <v>396</v>
      </c>
      <c r="G18" s="4">
        <v>860</v>
      </c>
      <c r="H18" s="2">
        <v>455</v>
      </c>
      <c r="M18" s="3" t="s">
        <v>10</v>
      </c>
      <c r="N18" s="3" t="s">
        <v>10</v>
      </c>
      <c r="O18" s="8">
        <v>11000</v>
      </c>
      <c r="P18" s="9">
        <v>5819</v>
      </c>
    </row>
    <row r="19" ht="13" spans="6:16">
      <c r="F19" s="3" t="s">
        <v>397</v>
      </c>
      <c r="G19" s="4">
        <v>300</v>
      </c>
      <c r="H19" s="2">
        <v>159</v>
      </c>
      <c r="M19" s="3" t="s">
        <v>11</v>
      </c>
      <c r="N19" s="3" t="s">
        <v>11</v>
      </c>
      <c r="O19" s="8">
        <v>84000</v>
      </c>
      <c r="P19" s="9">
        <v>44436</v>
      </c>
    </row>
    <row r="20" ht="25" spans="6:16">
      <c r="F20" s="3" t="s">
        <v>19</v>
      </c>
      <c r="G20" s="6">
        <v>7600</v>
      </c>
      <c r="H20" s="7">
        <v>4020</v>
      </c>
      <c r="M20" s="3" t="s">
        <v>12</v>
      </c>
      <c r="N20" s="3" t="s">
        <v>398</v>
      </c>
      <c r="O20" s="3">
        <v>0</v>
      </c>
      <c r="P20" s="5">
        <v>0</v>
      </c>
    </row>
    <row r="21" ht="25" spans="6:16">
      <c r="F21" s="3" t="s">
        <v>399</v>
      </c>
      <c r="G21" s="6">
        <v>1300</v>
      </c>
      <c r="H21" s="2">
        <v>688</v>
      </c>
      <c r="M21" s="3" t="s">
        <v>13</v>
      </c>
      <c r="N21" s="3" t="s">
        <v>400</v>
      </c>
      <c r="O21" s="3">
        <v>0</v>
      </c>
      <c r="P21" s="5">
        <v>0</v>
      </c>
    </row>
    <row r="22" ht="13" spans="6:16">
      <c r="F22" s="3" t="s">
        <v>20</v>
      </c>
      <c r="G22" s="6">
        <v>1600</v>
      </c>
      <c r="H22" s="2">
        <v>846</v>
      </c>
      <c r="M22" s="3" t="s">
        <v>14</v>
      </c>
      <c r="N22" s="3" t="s">
        <v>14</v>
      </c>
      <c r="O22" s="3">
        <v>0</v>
      </c>
      <c r="P22" s="5">
        <v>0</v>
      </c>
    </row>
    <row r="23" ht="13" spans="6:16">
      <c r="F23" s="3" t="s">
        <v>401</v>
      </c>
      <c r="G23" s="6">
        <v>1500</v>
      </c>
      <c r="H23" s="2">
        <v>794</v>
      </c>
      <c r="M23" s="3" t="s">
        <v>15</v>
      </c>
      <c r="N23" s="3" t="s">
        <v>15</v>
      </c>
      <c r="O23" s="3">
        <v>960</v>
      </c>
      <c r="P23" s="5">
        <v>508</v>
      </c>
    </row>
    <row r="24" ht="25" spans="6:16">
      <c r="F24" s="3" t="s">
        <v>402</v>
      </c>
      <c r="G24" s="6">
        <v>1400</v>
      </c>
      <c r="H24" s="2">
        <v>741</v>
      </c>
      <c r="M24" s="3" t="s">
        <v>16</v>
      </c>
      <c r="N24" s="3" t="s">
        <v>403</v>
      </c>
      <c r="O24" s="3">
        <v>860</v>
      </c>
      <c r="P24" s="5">
        <v>455</v>
      </c>
    </row>
    <row r="25" ht="37.5" spans="6:16">
      <c r="F25" s="3" t="s">
        <v>29</v>
      </c>
      <c r="G25" s="6">
        <v>2900</v>
      </c>
      <c r="H25" s="7">
        <v>1534</v>
      </c>
      <c r="M25" s="3" t="s">
        <v>17</v>
      </c>
      <c r="N25" s="3" t="s">
        <v>404</v>
      </c>
      <c r="O25" s="3">
        <v>0</v>
      </c>
      <c r="P25" s="5">
        <v>0</v>
      </c>
    </row>
    <row r="26" ht="25" spans="6:16">
      <c r="F26" s="3" t="s">
        <v>405</v>
      </c>
      <c r="G26" s="6">
        <v>1800</v>
      </c>
      <c r="H26" s="2">
        <v>952</v>
      </c>
      <c r="M26" s="3" t="s">
        <v>18</v>
      </c>
      <c r="N26" s="3" t="s">
        <v>18</v>
      </c>
      <c r="O26" s="3">
        <v>0</v>
      </c>
      <c r="P26" s="5">
        <v>0</v>
      </c>
    </row>
    <row r="27" ht="13" spans="6:16">
      <c r="F27" s="3" t="s">
        <v>406</v>
      </c>
      <c r="G27" s="4">
        <v>820</v>
      </c>
      <c r="H27" s="2">
        <v>434</v>
      </c>
      <c r="M27" s="3" t="s">
        <v>19</v>
      </c>
      <c r="N27" s="3" t="s">
        <v>19</v>
      </c>
      <c r="O27" s="8">
        <v>7600</v>
      </c>
      <c r="P27" s="9">
        <v>4020</v>
      </c>
    </row>
    <row r="28" ht="13" spans="6:16">
      <c r="F28" s="3" t="s">
        <v>35</v>
      </c>
      <c r="G28" s="4">
        <v>320</v>
      </c>
      <c r="H28" s="2">
        <v>169</v>
      </c>
      <c r="M28" s="3" t="s">
        <v>20</v>
      </c>
      <c r="N28" s="3" t="s">
        <v>20</v>
      </c>
      <c r="O28" s="8">
        <v>1600</v>
      </c>
      <c r="P28" s="5">
        <v>846</v>
      </c>
    </row>
    <row r="29" ht="37.5" spans="6:16">
      <c r="F29" s="3" t="s">
        <v>407</v>
      </c>
      <c r="G29" s="6">
        <v>2400</v>
      </c>
      <c r="H29" s="7">
        <v>1270</v>
      </c>
      <c r="M29" s="3" t="s">
        <v>21</v>
      </c>
      <c r="N29" s="3" t="s">
        <v>408</v>
      </c>
      <c r="O29" s="3">
        <v>0</v>
      </c>
      <c r="P29" s="5">
        <v>0</v>
      </c>
    </row>
    <row r="30" ht="13" spans="6:16">
      <c r="F30" s="3" t="s">
        <v>409</v>
      </c>
      <c r="G30" s="6">
        <v>1500</v>
      </c>
      <c r="H30" s="2">
        <v>794</v>
      </c>
      <c r="M30" s="3" t="s">
        <v>22</v>
      </c>
      <c r="N30" s="3" t="s">
        <v>22</v>
      </c>
      <c r="O30" s="3">
        <v>0</v>
      </c>
      <c r="P30" s="5">
        <v>0</v>
      </c>
    </row>
    <row r="31" ht="100" spans="6:16">
      <c r="F31" s="3" t="s">
        <v>341</v>
      </c>
      <c r="G31" s="6">
        <v>1500</v>
      </c>
      <c r="H31" s="2">
        <v>794</v>
      </c>
      <c r="M31" s="3" t="s">
        <v>23</v>
      </c>
      <c r="N31" s="3" t="s">
        <v>410</v>
      </c>
      <c r="O31" s="3">
        <v>0</v>
      </c>
      <c r="P31" s="5">
        <v>0</v>
      </c>
    </row>
    <row r="32" ht="13" spans="6:16">
      <c r="F32" s="5" t="s">
        <v>217</v>
      </c>
      <c r="G32" s="7">
        <v>142000</v>
      </c>
      <c r="H32" s="7">
        <v>75118</v>
      </c>
      <c r="M32" s="3" t="s">
        <v>24</v>
      </c>
      <c r="N32" s="3" t="s">
        <v>411</v>
      </c>
      <c r="O32" s="8">
        <v>2400</v>
      </c>
      <c r="P32" s="9">
        <v>1270</v>
      </c>
    </row>
    <row r="33" ht="25" spans="13:16">
      <c r="M33" s="3" t="s">
        <v>25</v>
      </c>
      <c r="N33" s="3" t="s">
        <v>412</v>
      </c>
      <c r="O33" s="8">
        <v>2220</v>
      </c>
      <c r="P33" s="9">
        <v>1175</v>
      </c>
    </row>
    <row r="34" ht="13" spans="13:16">
      <c r="M34" s="3" t="s">
        <v>26</v>
      </c>
      <c r="N34" s="3" t="s">
        <v>26</v>
      </c>
      <c r="O34" s="3">
        <v>0</v>
      </c>
      <c r="P34" s="5">
        <v>0</v>
      </c>
    </row>
    <row r="35" ht="13" spans="13:16">
      <c r="M35" s="3" t="s">
        <v>27</v>
      </c>
      <c r="N35" s="3" t="s">
        <v>27</v>
      </c>
      <c r="O35" s="3">
        <v>0</v>
      </c>
      <c r="P35" s="5">
        <v>0</v>
      </c>
    </row>
    <row r="36" ht="112.5" spans="13:16">
      <c r="M36" s="3" t="s">
        <v>28</v>
      </c>
      <c r="N36" s="3" t="s">
        <v>413</v>
      </c>
      <c r="O36" s="8">
        <v>5700</v>
      </c>
      <c r="P36" s="9">
        <v>3015</v>
      </c>
    </row>
    <row r="37" ht="13" spans="13:16">
      <c r="M37" s="3" t="s">
        <v>29</v>
      </c>
      <c r="N37" s="3" t="s">
        <v>29</v>
      </c>
      <c r="O37" s="8">
        <v>2900</v>
      </c>
      <c r="P37" s="9">
        <v>1534</v>
      </c>
    </row>
    <row r="38" ht="25" spans="13:16">
      <c r="M38" s="3" t="s">
        <v>30</v>
      </c>
      <c r="N38" s="3" t="s">
        <v>405</v>
      </c>
      <c r="O38" s="8">
        <v>1800</v>
      </c>
      <c r="P38" s="5">
        <v>952</v>
      </c>
    </row>
    <row r="39" ht="25" spans="13:16">
      <c r="M39" s="3" t="s">
        <v>31</v>
      </c>
      <c r="N39" s="3" t="s">
        <v>414</v>
      </c>
      <c r="O39" s="3">
        <v>0</v>
      </c>
      <c r="P39" s="5">
        <v>0</v>
      </c>
    </row>
    <row r="40" ht="25" spans="13:16">
      <c r="M40" s="3" t="s">
        <v>32</v>
      </c>
      <c r="N40" s="3" t="s">
        <v>415</v>
      </c>
      <c r="O40" s="3">
        <v>820</v>
      </c>
      <c r="P40" s="5">
        <v>434</v>
      </c>
    </row>
    <row r="41" ht="37.5" spans="13:16">
      <c r="M41" s="3" t="s">
        <v>33</v>
      </c>
      <c r="N41" s="3" t="s">
        <v>416</v>
      </c>
      <c r="O41" s="3">
        <v>0</v>
      </c>
      <c r="P41" s="5">
        <v>0</v>
      </c>
    </row>
    <row r="42" ht="25" spans="13:16">
      <c r="M42" s="3" t="s">
        <v>34</v>
      </c>
      <c r="N42" s="3" t="s">
        <v>34</v>
      </c>
      <c r="O42" s="3">
        <v>0</v>
      </c>
      <c r="P42" s="5">
        <v>0</v>
      </c>
    </row>
    <row r="43" ht="13" spans="13:16">
      <c r="M43" s="3" t="s">
        <v>35</v>
      </c>
      <c r="N43" s="3" t="s">
        <v>35</v>
      </c>
      <c r="O43" s="3">
        <v>320</v>
      </c>
      <c r="P43" s="5">
        <v>169</v>
      </c>
    </row>
    <row r="44" ht="25" spans="13:16">
      <c r="M44" s="3" t="s">
        <v>36</v>
      </c>
      <c r="N44" s="3" t="s">
        <v>417</v>
      </c>
      <c r="O44" s="3">
        <v>0</v>
      </c>
      <c r="P44" s="5">
        <v>0</v>
      </c>
    </row>
    <row r="45" ht="13" spans="13:16">
      <c r="M45" s="3" t="s">
        <v>37</v>
      </c>
      <c r="N45" s="3" t="s">
        <v>37</v>
      </c>
      <c r="O45" s="3">
        <v>0</v>
      </c>
      <c r="P45" s="5">
        <v>0</v>
      </c>
    </row>
    <row r="46" ht="13" spans="13:16">
      <c r="M46" s="5" t="s">
        <v>217</v>
      </c>
      <c r="N46" s="3" t="s">
        <v>217</v>
      </c>
      <c r="O46" s="9">
        <v>142000</v>
      </c>
      <c r="P46" s="9">
        <v>75118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9</vt:i4>
      </vt:variant>
    </vt:vector>
  </HeadingPairs>
  <TitlesOfParts>
    <vt:vector size="9"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2026-07-31T22:38:34Z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1033-12.1.0.27458</vt:lpwstr>
  </property>
  <property fmtid="{D5CDD505-2E9C-101B-9397-08002B2CF9AE}" pid="6" name="CalculationRule">
    <vt:i4>0</vt:i4>
  </property>
</Properties>
</file>