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 updateLinks="never"/>
  <bookViews>
    <workbookView windowWidth="13930" windowHeight="8710" activeTab="1"/>
  </bookViews>
  <sheets>
    <sheet name="TechSelection" sheetId="21" r:id="rId1"/>
    <sheet name="Road transport" sheetId="25" r:id="rId2"/>
    <sheet name="RoadTra_BY" sheetId="26" r:id="rId3"/>
  </sheets>
  <externalReferences>
    <externalReference r:id="rId4"/>
    <externalReference r:id="rId5"/>
  </externalReferences>
  <definedNames>
    <definedName name="FID_1">[1]AGR_Fuels!$A$2</definedName>
    <definedName name="GROWTH">'[2]TechRep-Doc'!#REF!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  <author>Xiao Li</author>
  </authors>
  <commentList>
    <comment ref="M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https://www.lightmetalage.com/news/industry-news/smelting/decline-of-u-s-primary-aluminum-production-and-the-growth-of-secondary-aluminum/?utm_source=chatgpt.com</t>
        </r>
      </text>
    </comment>
    <comment ref="AA7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US750 ktonne, CAN 2.9 Mtonne: https://en.wikipedia.org/wiki/Aluminum_industry_in_the_United_States?utm_source=chatgpt.com; https://www.statista.com/statistics/312839/primary-aluminum-production-in-the-united-states/?utm_source=chatgpt.com</t>
        </r>
      </text>
    </comment>
    <comment ref="D101" authorId="0">
      <text>
        <r>
          <rPr>
            <b/>
            <sz val="9"/>
            <rFont val="Times New Roman"/>
            <charset val="134"/>
          </rPr>
          <t>xli9:</t>
        </r>
        <r>
          <rPr>
            <sz val="9"/>
            <rFont val="Times New Roman"/>
            <charset val="134"/>
          </rPr>
          <t xml:space="preserve">
Bca its cap with unit of GW, which means this block defines how many costs for recycling 1Gwh of EV-Bat so do not need to multiplyy ktonne/GWh</t>
        </r>
      </text>
    </comment>
    <comment ref="E104" authorId="1">
      <text>
        <r>
          <rPr>
            <b/>
            <sz val="9"/>
            <rFont val="Tahoma"/>
            <charset val="1"/>
          </rPr>
          <t>Xiao Li:</t>
        </r>
        <r>
          <rPr>
            <sz val="9"/>
            <rFont val="Tahoma"/>
            <charset val="1"/>
          </rPr>
          <t xml:space="preserve">
unit is m$/ktonne, so we use ACT_COST</t>
        </r>
      </text>
    </comment>
  </commentList>
</comments>
</file>

<file path=xl/sharedStrings.xml><?xml version="1.0" encoding="utf-8"?>
<sst xmlns="http://schemas.openxmlformats.org/spreadsheetml/2006/main" count="1212" uniqueCount="197">
  <si>
    <t>~TFM_AVA</t>
  </si>
  <si>
    <t>Region</t>
  </si>
  <si>
    <t>Process</t>
  </si>
  <si>
    <t>Africa_North</t>
  </si>
  <si>
    <t>*</t>
  </si>
  <si>
    <t>Africa_Other</t>
  </si>
  <si>
    <t>Australia</t>
  </si>
  <si>
    <t>Austria</t>
  </si>
  <si>
    <t>Baltics</t>
  </si>
  <si>
    <t>BeNeLux</t>
  </si>
  <si>
    <t>Brazil</t>
  </si>
  <si>
    <t>China</t>
  </si>
  <si>
    <t>CroSloven</t>
  </si>
  <si>
    <t>CzechSlovak</t>
  </si>
  <si>
    <t>France</t>
  </si>
  <si>
    <t>Germany</t>
  </si>
  <si>
    <t>GreeceCyp</t>
  </si>
  <si>
    <t>HunRomBul</t>
  </si>
  <si>
    <t>Iceland</t>
  </si>
  <si>
    <t>India</t>
  </si>
  <si>
    <t>Ireland</t>
  </si>
  <si>
    <t>ItalyMal</t>
  </si>
  <si>
    <t>Japan</t>
  </si>
  <si>
    <t>LatAm</t>
  </si>
  <si>
    <t>MidEast</t>
  </si>
  <si>
    <t>NorthAm</t>
  </si>
  <si>
    <t>Norway</t>
  </si>
  <si>
    <t>Poland</t>
  </si>
  <si>
    <t>ROW</t>
  </si>
  <si>
    <t>Russia</t>
  </si>
  <si>
    <t>SaudiArabia</t>
  </si>
  <si>
    <t>SouthAfrica</t>
  </si>
  <si>
    <t>SpainPor</t>
  </si>
  <si>
    <t>SweFinDen</t>
  </si>
  <si>
    <t>Switzerland</t>
  </si>
  <si>
    <t>Turkey</t>
  </si>
  <si>
    <t>UK</t>
  </si>
  <si>
    <t>Ukraine</t>
  </si>
  <si>
    <t>WestBalkans</t>
  </si>
  <si>
    <t>~TFM_FILL-R:w=RoadTra_BY; hcol=region</t>
  </si>
  <si>
    <t>~TFM_TOPINS</t>
  </si>
  <si>
    <t>Scenario</t>
  </si>
  <si>
    <t>Attribute</t>
  </si>
  <si>
    <t>PSET_CO</t>
  </si>
  <si>
    <t>AllRegions</t>
  </si>
  <si>
    <t>process</t>
  </si>
  <si>
    <t>IO</t>
  </si>
  <si>
    <t>commodity</t>
  </si>
  <si>
    <t>pset_ci</t>
  </si>
  <si>
    <t>pset_co</t>
  </si>
  <si>
    <t>cset_cn</t>
  </si>
  <si>
    <t>BASE</t>
  </si>
  <si>
    <t>AF</t>
  </si>
  <si>
    <t>Trd[_]*</t>
  </si>
  <si>
    <t>*1</t>
  </si>
  <si>
    <t>Trd[_]*gsl*</t>
  </si>
  <si>
    <t>IN</t>
  </si>
  <si>
    <t>TRAGSL,TRABGS</t>
  </si>
  <si>
    <t>TRAELC</t>
  </si>
  <si>
    <t>TRDELC</t>
  </si>
  <si>
    <t>ELC</t>
  </si>
  <si>
    <t>Out</t>
  </si>
  <si>
    <t>EFF</t>
  </si>
  <si>
    <t>Trd[_]*dsl*</t>
  </si>
  <si>
    <t>TRADST,TRABDS</t>
  </si>
  <si>
    <t>Trd[_]*hh2*</t>
  </si>
  <si>
    <t>TRAGH2</t>
  </si>
  <si>
    <t>Trd[_]*cng*</t>
  </si>
  <si>
    <t>TRANGA</t>
  </si>
  <si>
    <t>~TFM_INS</t>
  </si>
  <si>
    <t>Trd[_]*elc*</t>
  </si>
  <si>
    <t>attribute</t>
  </si>
  <si>
    <t>PSET_PN</t>
  </si>
  <si>
    <t>PSET_CI</t>
  </si>
  <si>
    <t>CSET_CN</t>
  </si>
  <si>
    <t>value</t>
  </si>
  <si>
    <t>limtype</t>
  </si>
  <si>
    <t>year</t>
  </si>
  <si>
    <t>Trd[_]*lng*</t>
  </si>
  <si>
    <t>Share</t>
  </si>
  <si>
    <t>Trd[_]*-pih*</t>
  </si>
  <si>
    <t>FX</t>
  </si>
  <si>
    <t>CEFF</t>
  </si>
  <si>
    <t>TRAGSL</t>
  </si>
  <si>
    <t>TRABGS</t>
  </si>
  <si>
    <t>~TFM_MIG</t>
  </si>
  <si>
    <t>LIFE</t>
  </si>
  <si>
    <t>attribute2</t>
  </si>
  <si>
    <t>pset_pn</t>
  </si>
  <si>
    <t>*START</t>
  </si>
  <si>
    <t>-TRDELC</t>
  </si>
  <si>
    <t>INVCOST</t>
  </si>
  <si>
    <t>*.03</t>
  </si>
  <si>
    <t>FIXOM</t>
  </si>
  <si>
    <t>*.02</t>
  </si>
  <si>
    <t>~TFM_INS-TS: attribute=FLO_MARK</t>
  </si>
  <si>
    <t>attrib_cond</t>
  </si>
  <si>
    <t>top_check</t>
  </si>
  <si>
    <t>-FLO_MARK</t>
  </si>
  <si>
    <t>OUT</t>
  </si>
  <si>
    <t>Trd_2w_*</t>
  </si>
  <si>
    <t>Trd_3w_*</t>
  </si>
  <si>
    <t>Trd_bus*</t>
  </si>
  <si>
    <t>Trd_car*</t>
  </si>
  <si>
    <t>Trd_hdt*</t>
  </si>
  <si>
    <t>Trd_lcv*</t>
  </si>
  <si>
    <t>~TFM_UPD</t>
  </si>
  <si>
    <t>Trd_2w_gsl</t>
  </si>
  <si>
    <t>Trd_3w_gsl</t>
  </si>
  <si>
    <t>Trd_bus_dsl</t>
  </si>
  <si>
    <t>Trd_car_gsl</t>
  </si>
  <si>
    <t>Trd_hdt_dsl</t>
  </si>
  <si>
    <t>Trd_lcv_dsl</t>
  </si>
  <si>
    <t>tempering the Eff improvement in smaller Evs</t>
  </si>
  <si>
    <t>*.5</t>
  </si>
  <si>
    <t>Trd_2w,Trd_3w</t>
  </si>
  <si>
    <t>pset_set</t>
  </si>
  <si>
    <t>other_indexes</t>
  </si>
  <si>
    <t>ELE</t>
  </si>
  <si>
    <t>-INVCOST</t>
  </si>
  <si>
    <t>FLO_FUNC</t>
  </si>
  <si>
    <t>AuxStoIN</t>
  </si>
  <si>
    <t>Pset_CO</t>
  </si>
  <si>
    <t>FLO_BND</t>
  </si>
  <si>
    <t>UP</t>
  </si>
  <si>
    <t>MINBatMaterials_LI</t>
  </si>
  <si>
    <t>m_lithium</t>
  </si>
  <si>
    <t>MINBatMaterials</t>
  </si>
  <si>
    <t>MINBatMaterials_NI</t>
  </si>
  <si>
    <t>m_nickel</t>
  </si>
  <si>
    <t>MINBatMaterials_COB</t>
  </si>
  <si>
    <t>m_cobalt</t>
  </si>
  <si>
    <t>MINBatMaterials_MN</t>
  </si>
  <si>
    <t>m_manganese</t>
  </si>
  <si>
    <t>MINBatMaterials_AL</t>
  </si>
  <si>
    <t>m_aluminum</t>
  </si>
  <si>
    <t>MINBatMaterials_COP</t>
  </si>
  <si>
    <t>m_copper</t>
  </si>
  <si>
    <t>MINBatMaterials_GR</t>
  </si>
  <si>
    <t>m_graphite</t>
  </si>
  <si>
    <t>ktonne</t>
  </si>
  <si>
    <t>*According to BloomBerg that ~2.5times more demand in 2024 vs. 2017 [means that 2.5 times higher demand every seven years] [https://about.bnef.com/blog/lithium-ion-battery-pack-prices-see-largest-drop-since-2017-falling-to-115-per-kilowatt-hour-bloombergnef/]; and a 18% learning rate also from Bloomberg</t>
  </si>
  <si>
    <t>ACT_COST</t>
  </si>
  <si>
    <t>PyroRecy-LFP</t>
  </si>
  <si>
    <t>PyroRecy-LMO</t>
  </si>
  <si>
    <t>PyroRecy-NCA</t>
  </si>
  <si>
    <t>PyroRecy-NMC111</t>
  </si>
  <si>
    <t>PyroRecy-NMC532</t>
  </si>
  <si>
    <t>PyroRecy-NMC622</t>
  </si>
  <si>
    <t>PyroRecy-NMC811</t>
  </si>
  <si>
    <t>HydRecy-LFP</t>
  </si>
  <si>
    <t>HydRecy-LMO</t>
  </si>
  <si>
    <t>HydRecy-NCA</t>
  </si>
  <si>
    <t>HydRecy-NMC111</t>
  </si>
  <si>
    <t>HydRecy-NMC532</t>
  </si>
  <si>
    <t>HydRecy-NMC622</t>
  </si>
  <si>
    <t>HydRecy-NMC811</t>
  </si>
  <si>
    <t>DirRecy-LFP</t>
  </si>
  <si>
    <t>DirRecy-LMO</t>
  </si>
  <si>
    <t>DirRecy-NCA</t>
  </si>
  <si>
    <t>DirRecy-NMC111</t>
  </si>
  <si>
    <t>DirRecy-NMC532</t>
  </si>
  <si>
    <t>DirRecy-NMC622</t>
  </si>
  <si>
    <t>DirRecy-NMC811</t>
  </si>
  <si>
    <t>NCAP_COST</t>
  </si>
  <si>
    <t>scenario</t>
  </si>
  <si>
    <t>lim_type</t>
  </si>
  <si>
    <t>time_slice</t>
  </si>
  <si>
    <t>commodity_group</t>
  </si>
  <si>
    <t>currency</t>
  </si>
  <si>
    <t>stage</t>
  </si>
  <si>
    <t>sow</t>
  </si>
  <si>
    <t>year2</t>
  </si>
  <si>
    <t>-</t>
  </si>
  <si>
    <t>ANNUAL</t>
  </si>
  <si>
    <t>2019</t>
  </si>
  <si>
    <t>Trd_3w_bdl</t>
  </si>
  <si>
    <t>Trd_3w_dsl</t>
  </si>
  <si>
    <t>Trd_bus_bdl</t>
  </si>
  <si>
    <t>Trd_bus_elc</t>
  </si>
  <si>
    <t>Trd_bus_eth</t>
  </si>
  <si>
    <t>Trd_bus_gsl</t>
  </si>
  <si>
    <t>Trd_bus_lpg</t>
  </si>
  <si>
    <t>Trd_bus_nga</t>
  </si>
  <si>
    <t>Trd_car_bdl</t>
  </si>
  <si>
    <t>Trd_car_dsl</t>
  </si>
  <si>
    <t>Trd_car_elc</t>
  </si>
  <si>
    <t>Trd_car_eth</t>
  </si>
  <si>
    <t>Trd_car_lpg</t>
  </si>
  <si>
    <t>Trd_car_nga</t>
  </si>
  <si>
    <t>Trd_hdt_bdl</t>
  </si>
  <si>
    <t>Trd_hdt_gsl</t>
  </si>
  <si>
    <t>Trd_lcv_bdl</t>
  </si>
  <si>
    <t>Trd_lcv_elc</t>
  </si>
  <si>
    <t>Trd_lcv_gsl</t>
  </si>
  <si>
    <t>Trd_lcv_lpg</t>
  </si>
  <si>
    <t>Trd_lcv_nga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</si>
</sst>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  <numFmt numFmtId="179" formatCode="0.000"/>
  </numFmts>
  <fonts count="31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1"/>
      <color rgb="FF000000"/>
      <name val="Calibri"/>
      <charset val="134"/>
    </font>
    <font>
      <b/>
      <sz val="10"/>
      <color rgb="FFFF0000"/>
      <name val="Arial"/>
      <charset val="134"/>
    </font>
    <font>
      <b/>
      <sz val="10"/>
      <name val="Arial"/>
      <charset val="134"/>
    </font>
    <font>
      <sz val="10"/>
      <color rgb="FFFF0000"/>
      <name val="Arial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134"/>
    </font>
    <font>
      <sz val="9"/>
      <name val="Times New Roman"/>
      <charset val="134"/>
    </font>
    <font>
      <b/>
      <sz val="9"/>
      <name val="Tahoma"/>
      <charset val="1"/>
    </font>
    <font>
      <sz val="9"/>
      <name val="Tahoma"/>
      <charset val="1"/>
    </font>
  </fonts>
  <fills count="38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599963377788629"/>
        <bgColor indexed="64"/>
      </patternFill>
    </fill>
    <fill>
      <patternFill patternType="solid">
        <fgColor theme="3" tint="0.79989013336588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7" fillId="0" borderId="0" applyFont="0" applyFill="0" applyBorder="0" applyAlignment="0" applyProtection="0">
      <alignment vertical="center"/>
    </xf>
    <xf numFmtId="176" fontId="7" fillId="0" borderId="0" applyFont="0" applyFill="0" applyBorder="0" applyAlignment="0" applyProtection="0">
      <alignment vertical="center"/>
    </xf>
    <xf numFmtId="9" fontId="7" fillId="0" borderId="0" applyFont="0" applyFill="0" applyBorder="0" applyAlignment="0" applyProtection="0">
      <alignment vertical="center"/>
    </xf>
    <xf numFmtId="41" fontId="7" fillId="0" borderId="0" applyFont="0" applyFill="0" applyBorder="0" applyAlignment="0" applyProtection="0">
      <alignment vertical="center"/>
    </xf>
    <xf numFmtId="177" fontId="7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7" fillId="7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8" borderId="6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9" borderId="6" applyNumberFormat="0" applyAlignment="0" applyProtection="0">
      <alignment vertical="center"/>
    </xf>
    <xf numFmtId="0" fontId="19" fillId="10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6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31">
    <xf numFmtId="0" fontId="0" fillId="0" borderId="0" xfId="0"/>
    <xf numFmtId="0" fontId="0" fillId="2" borderId="0" xfId="49" applyFill="1"/>
    <xf numFmtId="0" fontId="0" fillId="2" borderId="0" xfId="0" applyFill="1"/>
    <xf numFmtId="0" fontId="0" fillId="3" borderId="0" xfId="0" applyFill="1"/>
    <xf numFmtId="0" fontId="0" fillId="0" borderId="0" xfId="49"/>
    <xf numFmtId="0" fontId="1" fillId="0" borderId="0" xfId="0" applyFont="1"/>
    <xf numFmtId="0" fontId="2" fillId="0" borderId="0" xfId="0" applyFont="1"/>
    <xf numFmtId="178" fontId="0" fillId="0" borderId="0" xfId="0" applyNumberFormat="1"/>
    <xf numFmtId="3" fontId="0" fillId="0" borderId="0" xfId="0" applyNumberFormat="1"/>
    <xf numFmtId="0" fontId="0" fillId="4" borderId="0" xfId="0" applyFill="1"/>
    <xf numFmtId="0" fontId="0" fillId="4" borderId="0" xfId="49" applyFill="1"/>
    <xf numFmtId="0" fontId="3" fillId="4" borderId="0" xfId="0" applyFont="1" applyFill="1"/>
    <xf numFmtId="0" fontId="3" fillId="3" borderId="0" xfId="0" applyFont="1" applyFill="1"/>
    <xf numFmtId="0" fontId="0" fillId="3" borderId="0" xfId="49" applyFill="1"/>
    <xf numFmtId="0" fontId="4" fillId="3" borderId="0" xfId="0" applyFont="1" applyFill="1"/>
    <xf numFmtId="0" fontId="5" fillId="4" borderId="0" xfId="49" applyFont="1" applyFill="1"/>
    <xf numFmtId="0" fontId="5" fillId="2" borderId="0" xfId="0" applyFont="1" applyFill="1"/>
    <xf numFmtId="0" fontId="0" fillId="5" borderId="0" xfId="0" applyFill="1"/>
    <xf numFmtId="0" fontId="0" fillId="6" borderId="1" xfId="49" applyFill="1" applyBorder="1"/>
    <xf numFmtId="179" fontId="0" fillId="6" borderId="1" xfId="49" applyNumberFormat="1" applyFill="1" applyBorder="1"/>
    <xf numFmtId="0" fontId="0" fillId="6" borderId="2" xfId="49" applyFill="1" applyBorder="1"/>
    <xf numFmtId="0" fontId="6" fillId="2" borderId="0" xfId="0" applyFont="1" applyFill="1"/>
    <xf numFmtId="0" fontId="4" fillId="2" borderId="0" xfId="0" applyFont="1" applyFill="1"/>
    <xf numFmtId="0" fontId="0" fillId="2" borderId="1" xfId="49" applyFill="1" applyBorder="1"/>
    <xf numFmtId="0" fontId="0" fillId="2" borderId="1" xfId="0" applyFill="1" applyBorder="1"/>
    <xf numFmtId="0" fontId="0" fillId="3" borderId="1" xfId="0" applyFill="1" applyBorder="1"/>
    <xf numFmtId="0" fontId="0" fillId="0" borderId="1" xfId="49" applyBorder="1"/>
    <xf numFmtId="0" fontId="3" fillId="0" borderId="0" xfId="0" applyFont="1"/>
    <xf numFmtId="0" fontId="5" fillId="0" borderId="0" xfId="49" applyFont="1"/>
    <xf numFmtId="0" fontId="0" fillId="0" borderId="1" xfId="0" applyBorder="1"/>
    <xf numFmtId="0" fontId="1" fillId="0" borderId="0" xfId="50" applyFont="1"/>
    <xf numFmtId="0" fontId="0" fillId="0" borderId="0" xfId="0" quotePrefix="1"/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 3" xfId="50"/>
    <cellStyle name="Normal 3 2" xfId="51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TMPL_RES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SAGE\saic_technology\ResCOM\New%20Microsoft%20Excel%20Worksheet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IEA Data"/>
      <sheetName val="E&amp;D Drivers"/>
      <sheetName val="AGR_Fuels"/>
      <sheetName val="AGR_Emi"/>
      <sheetName val="AGR"/>
      <sheetName val="RES_Fuels"/>
      <sheetName val="RES_Emi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EA"/>
      <sheetName val="ROT"/>
      <sheetName val="RL1"/>
      <sheetName val="RL2"/>
      <sheetName val="RL3"/>
      <sheetName val="RL4"/>
      <sheetName val="COM_Fuels"/>
      <sheetName val="COM_Emi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LA"/>
      <sheetName val="CCK"/>
      <sheetName val="CRF"/>
      <sheetName val="COE"/>
      <sheetName val="COT"/>
      <sheetName val="ElastPar"/>
      <sheetName val="Conversion Factors"/>
      <sheetName val="ANS_ITEMS"/>
      <sheetName val="ANS_TIDDATA"/>
      <sheetName val="ANS_TSDATA"/>
    </sheetNames>
    <sheetDataSet>
      <sheetData sheetId="0" refreshError="1"/>
      <sheetData sheetId="1" refreshError="1"/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New Microsoft Excel Worksheet"/>
      <sheetName val="AGR_Fuels"/>
      <sheetName val="TechRep-Doc"/>
    </sheetNames>
    <sheetDataSet>
      <sheetData sheetId="0" refreshError="1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AA281"/>
  <sheetViews>
    <sheetView workbookViewId="0">
      <selection activeCell="A1" sqref="A1"/>
    </sheetView>
  </sheetViews>
  <sheetFormatPr defaultColWidth="9.13636363636364" defaultRowHeight="11.5"/>
  <cols>
    <col min="1" max="1" width="15" style="30" customWidth="1"/>
    <col min="2" max="2" width="8.86363636363636" style="30" customWidth="1"/>
    <col min="3" max="3" width="4.72727272727273" style="30" customWidth="1"/>
    <col min="4" max="4" width="8.86363636363636" style="30" customWidth="1"/>
    <col min="5" max="5" width="4.4" style="30" customWidth="1"/>
    <col min="6" max="6" width="4.26363636363636" style="30" customWidth="1"/>
    <col min="7" max="7" width="4.4" style="30" customWidth="1"/>
    <col min="8" max="8" width="4.6" style="30" customWidth="1"/>
    <col min="9" max="9" width="4" style="30" customWidth="1"/>
    <col min="10" max="10" width="4.4" style="30" customWidth="1"/>
    <col min="11" max="11" width="4.6" style="30" customWidth="1"/>
    <col min="12" max="12" width="4.4" style="30" customWidth="1"/>
    <col min="13" max="13" width="4" style="30" customWidth="1"/>
    <col min="14" max="14" width="4.26363636363636" style="30" customWidth="1"/>
    <col min="15" max="16" width="4.4" style="30" customWidth="1"/>
    <col min="17" max="18" width="4.6" style="30" customWidth="1"/>
    <col min="19" max="19" width="4.4" style="30" customWidth="1"/>
    <col min="20" max="20" width="5" style="30" customWidth="1"/>
    <col min="21" max="21" width="11.7272727272727" style="30" customWidth="1"/>
    <col min="22" max="22" width="10.7272727272727" style="30" customWidth="1"/>
    <col min="23" max="23" width="13.1363636363636" style="30" customWidth="1"/>
    <col min="24" max="259" width="11.4" style="30" customWidth="1"/>
    <col min="260" max="16384" width="9.13636363636364" style="30"/>
  </cols>
  <sheetData>
    <row r="1" ht="12.5" spans="1:21">
      <c r="A1"/>
      <c r="B1"/>
      <c r="C1"/>
      <c r="D1"/>
      <c r="E1"/>
      <c r="F1"/>
      <c r="G1"/>
      <c r="H1"/>
      <c r="I1"/>
      <c r="J1"/>
      <c r="K1"/>
      <c r="L1"/>
      <c r="M1"/>
      <c r="N1"/>
      <c r="O1"/>
      <c r="P1"/>
      <c r="Q1"/>
      <c r="R1"/>
      <c r="S1"/>
      <c r="T1"/>
      <c r="U1"/>
    </row>
    <row r="2" ht="12.5" spans="1:21">
      <c r="A2"/>
      <c r="B2"/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</row>
    <row r="3" ht="12.5" spans="1:27">
      <c r="A3" t="s">
        <v>0</v>
      </c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 s="5"/>
      <c r="W3" s="5"/>
      <c r="X3" s="5"/>
      <c r="Y3" s="5"/>
      <c r="Z3" s="5"/>
      <c r="AA3" s="5"/>
    </row>
    <row r="4" ht="12.5" spans="1:27">
      <c r="A4" t="s">
        <v>1</v>
      </c>
      <c r="B4" t="s">
        <v>2</v>
      </c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 s="5"/>
      <c r="W4" s="5"/>
      <c r="X4" s="5"/>
      <c r="Y4" s="5"/>
      <c r="Z4" s="5"/>
      <c r="AA4" s="5"/>
    </row>
    <row r="5" ht="12.5" spans="1:27">
      <c r="A5" t="s">
        <v>3</v>
      </c>
      <c r="B5" t="s">
        <v>4</v>
      </c>
      <c r="C5"/>
      <c r="D5"/>
      <c r="E5"/>
      <c r="F5"/>
      <c r="G5"/>
      <c r="H5"/>
      <c r="I5"/>
      <c r="J5"/>
      <c r="K5"/>
      <c r="L5"/>
      <c r="M5"/>
      <c r="N5"/>
      <c r="O5"/>
      <c r="P5"/>
      <c r="Q5"/>
      <c r="R5"/>
      <c r="S5"/>
      <c r="T5"/>
      <c r="U5"/>
      <c r="V5" s="5"/>
      <c r="W5" s="5"/>
      <c r="X5" s="5"/>
      <c r="Y5" s="5"/>
      <c r="Z5" s="5"/>
      <c r="AA5" s="5"/>
    </row>
    <row r="6" ht="12.5" spans="1:27">
      <c r="A6" t="s">
        <v>5</v>
      </c>
      <c r="B6" t="s">
        <v>4</v>
      </c>
      <c r="C6"/>
      <c r="D6"/>
      <c r="E6"/>
      <c r="F6"/>
      <c r="G6"/>
      <c r="H6"/>
      <c r="I6"/>
      <c r="J6"/>
      <c r="K6"/>
      <c r="L6"/>
      <c r="M6"/>
      <c r="N6"/>
      <c r="O6"/>
      <c r="P6"/>
      <c r="Q6"/>
      <c r="R6"/>
      <c r="S6"/>
      <c r="T6"/>
      <c r="U6"/>
      <c r="V6" s="5"/>
      <c r="W6" s="5"/>
      <c r="X6" s="5"/>
      <c r="Y6" s="5"/>
      <c r="Z6" s="5"/>
      <c r="AA6" s="5"/>
    </row>
    <row r="7" ht="12.5" spans="1:27">
      <c r="A7" t="s">
        <v>6</v>
      </c>
      <c r="B7" t="s">
        <v>4</v>
      </c>
      <c r="C7"/>
      <c r="D7"/>
      <c r="E7"/>
      <c r="F7"/>
      <c r="G7"/>
      <c r="H7"/>
      <c r="I7"/>
      <c r="J7"/>
      <c r="K7"/>
      <c r="L7"/>
      <c r="M7"/>
      <c r="N7"/>
      <c r="O7"/>
      <c r="P7"/>
      <c r="Q7"/>
      <c r="R7"/>
      <c r="S7"/>
      <c r="T7"/>
      <c r="U7"/>
      <c r="V7" s="5"/>
      <c r="W7" s="5"/>
      <c r="X7" s="5"/>
      <c r="Y7" s="5"/>
      <c r="Z7" s="5"/>
      <c r="AA7" s="5"/>
    </row>
    <row r="8" ht="12.5" spans="1:27">
      <c r="A8" t="s">
        <v>7</v>
      </c>
      <c r="B8" t="s">
        <v>4</v>
      </c>
      <c r="C8"/>
      <c r="D8"/>
      <c r="E8"/>
      <c r="F8"/>
      <c r="G8"/>
      <c r="H8"/>
      <c r="I8"/>
      <c r="J8"/>
      <c r="K8"/>
      <c r="L8"/>
      <c r="M8"/>
      <c r="N8"/>
      <c r="O8"/>
      <c r="P8"/>
      <c r="Q8"/>
      <c r="R8"/>
      <c r="S8"/>
      <c r="T8"/>
      <c r="U8"/>
      <c r="V8" s="5"/>
      <c r="W8" s="5"/>
      <c r="X8" s="5"/>
      <c r="Y8" s="5"/>
      <c r="Z8" s="5"/>
      <c r="AA8" s="5"/>
    </row>
    <row r="9" ht="12.5" spans="1:27">
      <c r="A9" t="s">
        <v>8</v>
      </c>
      <c r="B9" t="s">
        <v>4</v>
      </c>
      <c r="C9"/>
      <c r="D9"/>
      <c r="E9"/>
      <c r="F9"/>
      <c r="G9"/>
      <c r="H9"/>
      <c r="I9"/>
      <c r="J9"/>
      <c r="K9"/>
      <c r="L9"/>
      <c r="M9"/>
      <c r="N9"/>
      <c r="O9"/>
      <c r="P9"/>
      <c r="Q9"/>
      <c r="R9"/>
      <c r="S9"/>
      <c r="T9"/>
      <c r="U9"/>
      <c r="V9" s="5"/>
      <c r="W9" s="5"/>
      <c r="X9" s="5"/>
      <c r="Y9" s="5"/>
      <c r="Z9" s="5"/>
      <c r="AA9" s="5"/>
    </row>
    <row r="10" ht="12.5" spans="1:27">
      <c r="A10" t="s">
        <v>9</v>
      </c>
      <c r="B10" t="s">
        <v>4</v>
      </c>
      <c r="C10"/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 s="5"/>
      <c r="W10" s="5"/>
      <c r="X10" s="5"/>
      <c r="Y10" s="5"/>
      <c r="Z10" s="5"/>
      <c r="AA10" s="5"/>
    </row>
    <row r="11" ht="12.5" spans="1:27">
      <c r="A11" t="s">
        <v>10</v>
      </c>
      <c r="B11" t="s">
        <v>4</v>
      </c>
      <c r="C11"/>
      <c r="D11"/>
      <c r="E11"/>
      <c r="F11"/>
      <c r="G11"/>
      <c r="H11"/>
      <c r="I11"/>
      <c r="J11"/>
      <c r="K11"/>
      <c r="L11"/>
      <c r="M11"/>
      <c r="N11"/>
      <c r="O11"/>
      <c r="P11"/>
      <c r="Q11"/>
      <c r="R11"/>
      <c r="S11"/>
      <c r="T11"/>
      <c r="U11"/>
      <c r="V11" s="5"/>
      <c r="W11" s="5"/>
      <c r="X11" s="5"/>
      <c r="Y11" s="5"/>
      <c r="Z11" s="5"/>
      <c r="AA11" s="5"/>
    </row>
    <row r="12" ht="12.5" spans="1:27">
      <c r="A12" t="s">
        <v>11</v>
      </c>
      <c r="B12" t="s">
        <v>4</v>
      </c>
      <c r="C12"/>
      <c r="D12"/>
      <c r="E12"/>
      <c r="F12"/>
      <c r="G12"/>
      <c r="H12"/>
      <c r="I12"/>
      <c r="J12"/>
      <c r="K12"/>
      <c r="L12"/>
      <c r="M12"/>
      <c r="N12"/>
      <c r="O12"/>
      <c r="P12"/>
      <c r="Q12"/>
      <c r="R12"/>
      <c r="S12"/>
      <c r="T12"/>
      <c r="U12"/>
      <c r="V12" s="5"/>
      <c r="W12" s="5"/>
      <c r="X12" s="5"/>
      <c r="Y12" s="5"/>
      <c r="Z12" s="5"/>
      <c r="AA12" s="5"/>
    </row>
    <row r="13" ht="12.5" spans="1:27">
      <c r="A13" t="s">
        <v>12</v>
      </c>
      <c r="B13" t="s">
        <v>4</v>
      </c>
      <c r="C13"/>
      <c r="D13"/>
      <c r="E13"/>
      <c r="F13"/>
      <c r="G13"/>
      <c r="H13"/>
      <c r="I13"/>
      <c r="J13"/>
      <c r="K13"/>
      <c r="L13"/>
      <c r="M13"/>
      <c r="N13"/>
      <c r="O13"/>
      <c r="P13"/>
      <c r="Q13"/>
      <c r="R13"/>
      <c r="S13"/>
      <c r="T13"/>
      <c r="U13"/>
      <c r="V13" s="5"/>
      <c r="W13" s="5"/>
      <c r="X13" s="5"/>
      <c r="Y13" s="5"/>
      <c r="Z13" s="5"/>
      <c r="AA13" s="5"/>
    </row>
    <row r="14" ht="12.5" spans="1:27">
      <c r="A14" t="s">
        <v>13</v>
      </c>
      <c r="B14" t="s">
        <v>4</v>
      </c>
      <c r="C14"/>
      <c r="D14"/>
      <c r="E14"/>
      <c r="F14"/>
      <c r="G14"/>
      <c r="H14"/>
      <c r="I14"/>
      <c r="J14"/>
      <c r="K14"/>
      <c r="L14"/>
      <c r="M14"/>
      <c r="N14"/>
      <c r="O14"/>
      <c r="P14"/>
      <c r="Q14"/>
      <c r="R14"/>
      <c r="S14"/>
      <c r="T14"/>
      <c r="U14"/>
      <c r="V14" s="5"/>
      <c r="W14" s="5"/>
      <c r="X14" s="5"/>
      <c r="Y14" s="5"/>
      <c r="Z14" s="5"/>
      <c r="AA14" s="5"/>
    </row>
    <row r="15" ht="12.5" spans="1:27">
      <c r="A15" t="s">
        <v>14</v>
      </c>
      <c r="B15" t="s">
        <v>4</v>
      </c>
      <c r="C15"/>
      <c r="D15"/>
      <c r="E15"/>
      <c r="F15"/>
      <c r="G15"/>
      <c r="H15"/>
      <c r="I15"/>
      <c r="J15"/>
      <c r="K15"/>
      <c r="L15"/>
      <c r="M15"/>
      <c r="N15"/>
      <c r="O15"/>
      <c r="P15"/>
      <c r="Q15"/>
      <c r="R15"/>
      <c r="S15"/>
      <c r="T15"/>
      <c r="U15"/>
      <c r="V15" s="5"/>
      <c r="W15" s="5"/>
      <c r="X15" s="5"/>
      <c r="Y15" s="5"/>
      <c r="Z15" s="5"/>
      <c r="AA15" s="5"/>
    </row>
    <row r="16" ht="12.5" spans="1:27">
      <c r="A16" t="s">
        <v>15</v>
      </c>
      <c r="B16" t="s">
        <v>4</v>
      </c>
      <c r="C16"/>
      <c r="D16"/>
      <c r="E16"/>
      <c r="F16"/>
      <c r="G16"/>
      <c r="H16"/>
      <c r="I16"/>
      <c r="J16"/>
      <c r="K16"/>
      <c r="L16"/>
      <c r="M16"/>
      <c r="N16"/>
      <c r="O16"/>
      <c r="P16"/>
      <c r="Q16"/>
      <c r="R16"/>
      <c r="S16"/>
      <c r="T16"/>
      <c r="U16"/>
      <c r="V16" s="5"/>
      <c r="W16" s="5"/>
      <c r="X16" s="5"/>
      <c r="Y16" s="5"/>
      <c r="Z16" s="5"/>
      <c r="AA16" s="5"/>
    </row>
    <row r="17" ht="12.5" spans="1:27">
      <c r="A17" t="s">
        <v>16</v>
      </c>
      <c r="B17" t="s">
        <v>4</v>
      </c>
      <c r="C17"/>
      <c r="D17"/>
      <c r="E17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  <c r="U17"/>
      <c r="V17" s="5"/>
      <c r="W17" s="5"/>
      <c r="X17" s="5"/>
      <c r="Y17" s="5"/>
      <c r="Z17" s="5"/>
      <c r="AA17" s="5"/>
    </row>
    <row r="18" ht="12.5" spans="1:27">
      <c r="A18" t="s">
        <v>17</v>
      </c>
      <c r="B18" t="s">
        <v>4</v>
      </c>
      <c r="C18"/>
      <c r="D18"/>
      <c r="E18"/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  <c r="U18"/>
      <c r="V18" s="5"/>
      <c r="W18" s="5"/>
      <c r="X18" s="5"/>
      <c r="Y18" s="5"/>
      <c r="Z18" s="5"/>
      <c r="AA18" s="5"/>
    </row>
    <row r="19" ht="12.5" spans="1:27">
      <c r="A19" t="s">
        <v>18</v>
      </c>
      <c r="B19" t="s">
        <v>4</v>
      </c>
      <c r="C19"/>
      <c r="D19"/>
      <c r="E19"/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  <c r="U19"/>
      <c r="V19" s="5"/>
      <c r="W19" s="5"/>
      <c r="X19" s="5"/>
      <c r="Y19" s="5"/>
      <c r="Z19" s="5"/>
      <c r="AA19" s="5"/>
    </row>
    <row r="20" ht="12.5" spans="1:27">
      <c r="A20" t="s">
        <v>19</v>
      </c>
      <c r="B20" t="s">
        <v>4</v>
      </c>
      <c r="C20"/>
      <c r="D20"/>
      <c r="E20"/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 s="5"/>
      <c r="W20" s="5"/>
      <c r="X20" s="5"/>
      <c r="Y20" s="5"/>
      <c r="Z20" s="5"/>
      <c r="AA20" s="5"/>
    </row>
    <row r="21" ht="12.5" spans="1:27">
      <c r="A21" t="s">
        <v>20</v>
      </c>
      <c r="B21" t="s">
        <v>4</v>
      </c>
      <c r="C21"/>
      <c r="D21"/>
      <c r="E21"/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  <c r="U21"/>
      <c r="V21" s="5"/>
      <c r="W21" s="5"/>
      <c r="X21" s="5"/>
      <c r="Y21" s="5"/>
      <c r="Z21" s="5"/>
      <c r="AA21" s="5"/>
    </row>
    <row r="22" ht="12.5" spans="1:27">
      <c r="A22" t="s">
        <v>21</v>
      </c>
      <c r="B22" t="s">
        <v>4</v>
      </c>
      <c r="C22"/>
      <c r="D22"/>
      <c r="E22"/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  <c r="U22"/>
      <c r="V22" s="5"/>
      <c r="W22" s="5"/>
      <c r="X22" s="5"/>
      <c r="Y22" s="5"/>
      <c r="Z22" s="5"/>
      <c r="AA22" s="5"/>
    </row>
    <row r="23" ht="12.5" spans="1:27">
      <c r="A23" t="s">
        <v>22</v>
      </c>
      <c r="B23" t="s">
        <v>4</v>
      </c>
      <c r="C23"/>
      <c r="D23"/>
      <c r="E23"/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  <c r="U23"/>
      <c r="V23" s="5"/>
      <c r="W23" s="5"/>
      <c r="X23" s="5"/>
      <c r="Y23" s="5"/>
      <c r="Z23" s="5"/>
      <c r="AA23" s="5"/>
    </row>
    <row r="24" ht="12.5" spans="1:27">
      <c r="A24" t="s">
        <v>23</v>
      </c>
      <c r="B24" t="s">
        <v>4</v>
      </c>
      <c r="C24"/>
      <c r="D24"/>
      <c r="E24"/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  <c r="U24"/>
      <c r="V24" s="5"/>
      <c r="W24" s="5"/>
      <c r="X24" s="5"/>
      <c r="Y24" s="5"/>
      <c r="Z24" s="5"/>
      <c r="AA24" s="5"/>
    </row>
    <row r="25" ht="12.5" spans="1:27">
      <c r="A25" t="s">
        <v>24</v>
      </c>
      <c r="B25" t="s">
        <v>4</v>
      </c>
      <c r="C25"/>
      <c r="D25"/>
      <c r="E25"/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  <c r="U25"/>
      <c r="V25" s="5"/>
      <c r="W25" s="5"/>
      <c r="X25" s="5"/>
      <c r="Y25" s="5"/>
      <c r="Z25" s="5"/>
      <c r="AA25" s="5"/>
    </row>
    <row r="26" ht="12.5" spans="1:27">
      <c r="A26" t="s">
        <v>25</v>
      </c>
      <c r="B26" t="s">
        <v>4</v>
      </c>
      <c r="C26"/>
      <c r="D26"/>
      <c r="E26"/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  <c r="U26"/>
      <c r="V26" s="5"/>
      <c r="W26" s="5"/>
      <c r="X26" s="5"/>
      <c r="Y26" s="5"/>
      <c r="Z26" s="5"/>
      <c r="AA26" s="5"/>
    </row>
    <row r="27" ht="12.5" spans="1:27">
      <c r="A27" t="s">
        <v>26</v>
      </c>
      <c r="B27" t="s">
        <v>4</v>
      </c>
      <c r="C27"/>
      <c r="D27"/>
      <c r="E27"/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  <c r="U27"/>
      <c r="V27" s="5"/>
      <c r="W27" s="5"/>
      <c r="X27" s="5"/>
      <c r="Y27" s="5"/>
      <c r="Z27" s="5"/>
      <c r="AA27" s="5"/>
    </row>
    <row r="28" ht="12.5" spans="1:27">
      <c r="A28" t="s">
        <v>27</v>
      </c>
      <c r="B28" t="s">
        <v>4</v>
      </c>
      <c r="C28"/>
      <c r="D28"/>
      <c r="E28"/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  <c r="U28"/>
      <c r="V28" s="5"/>
      <c r="W28" s="5"/>
      <c r="X28" s="5"/>
      <c r="Y28" s="5"/>
      <c r="Z28" s="5"/>
      <c r="AA28" s="5"/>
    </row>
    <row r="29" ht="12.5" spans="1:27">
      <c r="A29" t="s">
        <v>28</v>
      </c>
      <c r="B29" t="s">
        <v>4</v>
      </c>
      <c r="C29"/>
      <c r="D29"/>
      <c r="E29"/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  <c r="U29"/>
      <c r="V29" s="5"/>
      <c r="W29" s="5"/>
      <c r="X29" s="5"/>
      <c r="Y29" s="5"/>
      <c r="Z29" s="5"/>
      <c r="AA29" s="5"/>
    </row>
    <row r="30" ht="12.5" spans="1:27">
      <c r="A30" t="s">
        <v>29</v>
      </c>
      <c r="B30" t="s">
        <v>4</v>
      </c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</row>
    <row r="31" ht="12.5" spans="1:27">
      <c r="A31" t="s">
        <v>30</v>
      </c>
      <c r="B31" t="s">
        <v>4</v>
      </c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</row>
    <row r="32" ht="12.5" spans="1:27">
      <c r="A32" t="s">
        <v>31</v>
      </c>
      <c r="B32" t="s">
        <v>4</v>
      </c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</row>
    <row r="33" ht="12.5" spans="1:27">
      <c r="A33" t="s">
        <v>32</v>
      </c>
      <c r="B33" t="s">
        <v>4</v>
      </c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</row>
    <row r="34" ht="12.5" spans="1:27">
      <c r="A34" t="s">
        <v>33</v>
      </c>
      <c r="B34" t="s">
        <v>4</v>
      </c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</row>
    <row r="35" ht="12.5" spans="1:27">
      <c r="A35" s="30" t="s">
        <v>34</v>
      </c>
      <c r="B35" t="s">
        <v>4</v>
      </c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</row>
    <row r="36" ht="12.5" spans="1:27">
      <c r="A36" s="30" t="s">
        <v>35</v>
      </c>
      <c r="B36" t="s">
        <v>4</v>
      </c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</row>
    <row r="37" ht="12.5" spans="1:27">
      <c r="A37" s="30" t="s">
        <v>36</v>
      </c>
      <c r="B37" t="s">
        <v>4</v>
      </c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</row>
    <row r="38" ht="12.5" spans="1:27">
      <c r="A38" s="30" t="s">
        <v>37</v>
      </c>
      <c r="B38" t="s">
        <v>4</v>
      </c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ht="12.5" spans="1:27">
      <c r="A39" s="30" t="s">
        <v>38</v>
      </c>
      <c r="B39" t="s">
        <v>4</v>
      </c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</row>
    <row r="40" spans="8:27"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</row>
    <row r="41" spans="8:27"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</row>
    <row r="42" spans="8:27"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</row>
    <row r="43" spans="8:27"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</row>
    <row r="44" spans="8:27"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</row>
    <row r="45" spans="8:27"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</row>
    <row r="46" spans="8:27"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</row>
    <row r="47" spans="8:27"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</row>
    <row r="48" spans="8:27"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</row>
    <row r="49" spans="8:27"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</row>
    <row r="50" spans="8:27"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8:27"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  <c r="AA51" s="5"/>
    </row>
    <row r="52" spans="8:27"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  <c r="AA52" s="5"/>
    </row>
    <row r="53" spans="8:27"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</row>
    <row r="54" spans="8:27"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  <c r="AA54" s="5"/>
    </row>
    <row r="55" spans="8:27"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  <c r="AA55" s="5"/>
    </row>
    <row r="56" spans="8:27"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  <c r="AA56" s="5"/>
    </row>
    <row r="57" spans="8:27"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  <c r="AA57" s="5"/>
    </row>
    <row r="58" spans="8:27"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  <c r="AA58" s="5"/>
    </row>
    <row r="59" spans="8:27"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  <c r="AA59" s="5"/>
    </row>
    <row r="60" spans="8:27"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</row>
    <row r="61" spans="8:27"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  <c r="AA61" s="5"/>
    </row>
    <row r="62" spans="8:27"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  <c r="AA62" s="5"/>
    </row>
    <row r="63" spans="8:27"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  <c r="AA63" s="5"/>
    </row>
    <row r="64" spans="8:27"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  <c r="AA64" s="5"/>
    </row>
    <row r="65" spans="8:27"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  <c r="AA65" s="5"/>
    </row>
    <row r="66" spans="8:27"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  <c r="AA66" s="5"/>
    </row>
    <row r="67" spans="8:27"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  <c r="AA67" s="5"/>
    </row>
    <row r="68" spans="8:27"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  <c r="AA68" s="5"/>
    </row>
    <row r="69" spans="8:27"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</row>
    <row r="70" spans="8:27"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  <c r="AA70" s="5"/>
    </row>
    <row r="71" spans="8:27"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  <c r="AA71" s="5"/>
    </row>
    <row r="72" spans="8:27"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  <c r="AA72" s="5"/>
    </row>
    <row r="73" spans="8:27"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  <c r="AA73" s="5"/>
    </row>
    <row r="74" spans="8:27"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  <c r="AA74" s="5"/>
    </row>
    <row r="75" spans="8:27"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  <c r="AA75" s="5"/>
    </row>
    <row r="76" spans="8:27"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  <c r="AA76" s="5"/>
    </row>
    <row r="77" spans="8:27"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  <c r="AA77" s="5"/>
    </row>
    <row r="78" spans="8:27"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  <c r="AA78" s="5"/>
    </row>
    <row r="79" spans="8:27"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</row>
    <row r="80" spans="8:27"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  <c r="AA80" s="5"/>
    </row>
    <row r="81" spans="8:27"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  <c r="AA81" s="5"/>
    </row>
    <row r="82" spans="8:27"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</row>
    <row r="83" spans="8:27"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</row>
    <row r="84" spans="8:27"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</row>
    <row r="85" spans="8:27"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  <c r="AA85" s="5"/>
    </row>
    <row r="86" spans="8:27"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  <c r="AA86" s="5"/>
    </row>
    <row r="87" spans="8:27"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  <c r="AA87" s="5"/>
    </row>
    <row r="88" spans="8:27"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  <c r="AA88" s="5"/>
    </row>
    <row r="89" spans="8:27"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  <c r="AA89" s="5"/>
    </row>
    <row r="90" spans="8:27"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  <c r="AA90" s="5"/>
    </row>
    <row r="91" spans="8:27"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  <c r="AA91" s="5"/>
    </row>
    <row r="92" spans="8:27"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  <c r="AA92" s="5"/>
    </row>
    <row r="93" spans="8:27"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  <c r="AA93" s="5"/>
    </row>
    <row r="94" spans="8:27"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  <c r="AA94" s="5"/>
    </row>
    <row r="95" spans="8:27"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  <c r="AA95" s="5"/>
    </row>
    <row r="96" spans="8:27"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  <c r="AA96" s="5"/>
    </row>
    <row r="97" spans="8:27"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  <c r="AA97" s="5"/>
    </row>
    <row r="98" spans="8:27"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  <c r="AA98" s="5"/>
    </row>
    <row r="99" spans="8:27"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  <c r="AA99" s="5"/>
    </row>
    <row r="100" spans="8:27"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  <c r="AA100" s="5"/>
    </row>
    <row r="101" spans="8:27"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  <c r="AA101" s="5"/>
    </row>
    <row r="102" spans="8:27"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  <c r="AA102" s="5"/>
    </row>
    <row r="103" spans="8:27"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  <c r="AA103" s="5"/>
    </row>
    <row r="104" spans="8:27"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  <c r="AA104" s="5"/>
    </row>
    <row r="105" spans="8:27"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  <c r="AA105" s="5"/>
    </row>
    <row r="106" spans="8:27"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  <c r="AA106" s="5"/>
    </row>
    <row r="107" spans="8:27"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  <c r="AA107" s="5"/>
    </row>
    <row r="108" spans="8:27"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  <c r="AA108" s="5"/>
    </row>
    <row r="109" spans="8:27"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  <c r="AA109" s="5"/>
    </row>
    <row r="110" spans="8:27"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  <c r="AA110" s="5"/>
    </row>
    <row r="111" spans="8:27"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  <c r="AA111" s="5"/>
    </row>
    <row r="112" spans="8:27"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  <c r="AA112" s="5"/>
    </row>
    <row r="113" spans="8:27"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  <c r="AA113" s="5"/>
    </row>
    <row r="114" spans="8:27"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  <c r="AA114" s="5"/>
    </row>
    <row r="115" spans="8:27"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  <c r="AA115" s="5"/>
    </row>
    <row r="116" spans="8:27"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  <c r="AA116" s="5"/>
    </row>
    <row r="117" spans="8:27"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  <c r="AA117" s="5"/>
    </row>
    <row r="118" spans="8:27"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  <c r="AA118" s="5"/>
    </row>
    <row r="119" spans="8:27"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  <c r="AA119" s="5"/>
    </row>
    <row r="120" spans="8:27"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  <c r="AA120" s="5"/>
    </row>
    <row r="121" spans="8:27"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  <c r="AA121" s="5"/>
    </row>
    <row r="122" spans="8:27"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  <c r="AA122" s="5"/>
    </row>
    <row r="123" spans="8:27"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  <c r="AA123" s="5"/>
    </row>
    <row r="124" spans="8:27"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  <c r="AA124" s="5"/>
    </row>
    <row r="125" spans="8:27"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  <c r="AA125" s="5"/>
    </row>
    <row r="126" spans="8:27"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  <c r="AA126" s="5"/>
    </row>
    <row r="127" spans="8:27"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</row>
    <row r="128" spans="8:27"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</row>
    <row r="129" spans="8:27"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</row>
    <row r="130" spans="8:27"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</row>
    <row r="131" spans="8:27"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</row>
    <row r="132" spans="8:27"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</row>
    <row r="133" spans="8:27"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</row>
    <row r="134" spans="8:27"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</row>
    <row r="135" spans="8:27"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</row>
    <row r="136" spans="8:27"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</row>
    <row r="137" spans="8:27"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</row>
    <row r="138" spans="8:27"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</row>
    <row r="139" spans="8:27"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</row>
    <row r="140" spans="8:27"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</row>
    <row r="141" spans="8:27"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</row>
    <row r="142" spans="8:27"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</row>
    <row r="143" spans="8:27"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</row>
    <row r="144" spans="8:27"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</row>
    <row r="145" spans="8:27"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</row>
    <row r="146" spans="8:27"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</row>
    <row r="147" spans="8:27"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</row>
    <row r="148" spans="8:27"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</row>
    <row r="149" spans="8:27"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</row>
    <row r="150" spans="8:27"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</row>
    <row r="151" spans="8:27"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</row>
    <row r="152" spans="8:27"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</row>
    <row r="153" spans="8:27"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</row>
    <row r="154" spans="8:27"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</row>
    <row r="155" spans="8:27"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</row>
    <row r="156" spans="8:27"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</row>
    <row r="157" spans="8:27"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</row>
    <row r="158" spans="8:27"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</row>
    <row r="159" spans="8:27"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</row>
    <row r="160" spans="8:27"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</row>
    <row r="161" spans="8:27"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</row>
    <row r="162" spans="8:27"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</row>
    <row r="163" spans="8:27"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</row>
    <row r="164" spans="8:27"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</row>
    <row r="165" spans="8:27"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</row>
    <row r="166" spans="8:27"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</row>
    <row r="167" spans="8:27"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</row>
    <row r="168" spans="8:27"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</row>
    <row r="169" spans="8:27"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</row>
    <row r="170" spans="8:27"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</row>
    <row r="171" spans="8:27"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</row>
    <row r="172" spans="8:27"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</row>
    <row r="173" spans="8:27"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</row>
    <row r="174" spans="8:27"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</row>
    <row r="175" spans="8:27"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</row>
    <row r="176" spans="8:27"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</row>
    <row r="177" spans="8:27"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</row>
    <row r="178" spans="8:27"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</row>
    <row r="179" spans="8:27"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</row>
    <row r="180" spans="8:27"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</row>
    <row r="181" spans="8:27"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</row>
    <row r="182" spans="8:27"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</row>
    <row r="183" spans="8:27"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</row>
    <row r="184" spans="8:27"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</row>
    <row r="185" spans="8:27"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</row>
    <row r="186" spans="8:27"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</row>
    <row r="187" spans="8:27"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</row>
    <row r="188" spans="8:27"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</row>
    <row r="189" spans="8:27"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</row>
    <row r="190" spans="8:27"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</row>
    <row r="191" spans="8:27"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</row>
    <row r="192" spans="8:27"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</row>
    <row r="193" spans="8:27"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  <c r="AA193" s="5"/>
    </row>
    <row r="194" spans="8:27"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  <c r="AA194" s="5"/>
    </row>
    <row r="195" spans="8:27"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  <c r="AA195" s="5"/>
    </row>
    <row r="196" spans="8:27"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  <c r="AA196" s="5"/>
    </row>
    <row r="197" spans="8:27"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  <c r="AA197" s="5"/>
    </row>
    <row r="198" spans="8:27"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  <c r="AA198" s="5"/>
    </row>
    <row r="199" spans="8:27"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  <c r="AA199" s="5"/>
    </row>
    <row r="200" spans="8:27"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  <c r="AA200" s="5"/>
    </row>
    <row r="201" spans="8:27"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  <c r="AA201" s="5"/>
    </row>
    <row r="202" spans="8:27"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  <c r="AA202" s="5"/>
    </row>
    <row r="203" spans="8:27"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  <c r="AA203" s="5"/>
    </row>
    <row r="204" spans="8:27"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  <c r="AA204" s="5"/>
    </row>
    <row r="205" spans="8:27"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  <c r="AA205" s="5"/>
    </row>
    <row r="206" spans="8:27"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  <c r="AA206" s="5"/>
    </row>
    <row r="207" spans="8:27"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  <c r="AA207" s="5"/>
    </row>
    <row r="208" spans="8:27"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  <c r="AA208" s="5"/>
    </row>
    <row r="209" spans="8:27"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</row>
    <row r="210" spans="8:27"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  <c r="AA210" s="5"/>
    </row>
    <row r="211" spans="8:27"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  <c r="AA211" s="5"/>
    </row>
    <row r="212" spans="8:27"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  <c r="AA212" s="5"/>
    </row>
    <row r="213" spans="8:27"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  <c r="AA213" s="5"/>
    </row>
    <row r="214" spans="8:27"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  <c r="AA214" s="5"/>
    </row>
    <row r="215" spans="8:27"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  <c r="AA215" s="5"/>
    </row>
    <row r="216" spans="8:27"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  <c r="AA216" s="5"/>
    </row>
    <row r="217" spans="8:27"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  <c r="AA217" s="5"/>
    </row>
    <row r="218" spans="8:27"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  <c r="AA218" s="5"/>
    </row>
    <row r="219" spans="8:27"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  <c r="AA219" s="5"/>
    </row>
    <row r="220" spans="8:27"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  <c r="AA220" s="5"/>
    </row>
    <row r="221" spans="8:27"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  <c r="AA221" s="5"/>
    </row>
    <row r="222" spans="8:27"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  <c r="AA222" s="5"/>
    </row>
    <row r="223" spans="8:27"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  <c r="AA223" s="5"/>
    </row>
    <row r="224" spans="8:27"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  <c r="AA224" s="5"/>
    </row>
    <row r="225" spans="8:27"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  <c r="AA225" s="5"/>
    </row>
    <row r="226" spans="8:27"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  <c r="AA226" s="5"/>
    </row>
    <row r="227" spans="8:27"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  <c r="AA227" s="5"/>
    </row>
    <row r="228" spans="8:27"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  <c r="AA228" s="5"/>
    </row>
    <row r="229" spans="8:27"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  <c r="AA229" s="5"/>
    </row>
    <row r="230" spans="8:27"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  <c r="AA230" s="5"/>
    </row>
    <row r="231" spans="8:27"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  <c r="AA231" s="5"/>
    </row>
    <row r="232" spans="8:27"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  <c r="AA232" s="5"/>
    </row>
    <row r="233" spans="8:27"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  <c r="AA233" s="5"/>
    </row>
    <row r="234" spans="8:27"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  <c r="AA234" s="5"/>
    </row>
    <row r="235" spans="8:27"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  <c r="AA235" s="5"/>
    </row>
    <row r="236" spans="8:27"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  <c r="AA236" s="5"/>
    </row>
    <row r="237" spans="8:27"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  <c r="AA237" s="5"/>
    </row>
    <row r="238" spans="8:27"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  <c r="AA238" s="5"/>
    </row>
    <row r="239" spans="8:27"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  <c r="AA239" s="5"/>
    </row>
    <row r="240" spans="8:27"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  <c r="AA240" s="5"/>
    </row>
    <row r="241" spans="8:27"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  <c r="AA241" s="5"/>
    </row>
    <row r="242" spans="8:27"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  <c r="AA242" s="5"/>
    </row>
    <row r="243" spans="8:27"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  <c r="AA243" s="5"/>
    </row>
    <row r="244" spans="8:27"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  <c r="AA244" s="5"/>
    </row>
    <row r="245" spans="8:27"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</row>
    <row r="246" spans="8:27"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  <c r="AA246" s="5"/>
    </row>
    <row r="247" spans="8:27"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  <c r="AA247" s="5"/>
    </row>
    <row r="248" spans="8:27"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  <c r="AA248" s="5"/>
    </row>
    <row r="249" spans="8:27"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  <c r="AA249" s="5"/>
    </row>
    <row r="250" spans="8:27"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  <c r="AA250" s="5"/>
    </row>
    <row r="251" spans="8:27"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  <c r="AA251" s="5"/>
    </row>
    <row r="252" spans="8:27"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  <c r="AA252" s="5"/>
    </row>
    <row r="253" spans="8:27"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  <c r="AA253" s="5"/>
    </row>
    <row r="254" spans="8:27"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  <c r="AA254" s="5"/>
    </row>
    <row r="255" spans="8:27"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  <c r="AA255" s="5"/>
    </row>
    <row r="256" spans="8:27"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  <c r="AA256" s="5"/>
    </row>
    <row r="257" spans="8:27"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  <c r="AA257" s="5"/>
    </row>
    <row r="258" spans="8:27"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  <c r="AA258" s="5"/>
    </row>
    <row r="259" spans="8:27"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  <c r="AA259" s="5"/>
    </row>
    <row r="260" spans="8:27"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  <c r="AA260" s="5"/>
    </row>
    <row r="261" spans="8:27"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  <c r="AA261" s="5"/>
    </row>
    <row r="262" spans="8:27"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  <c r="AA262" s="5"/>
    </row>
    <row r="263" spans="8:27"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  <c r="AA263" s="5"/>
    </row>
    <row r="264" spans="8:27"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  <c r="AA264" s="5"/>
    </row>
    <row r="265" spans="8:27"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  <c r="AA265" s="5"/>
    </row>
    <row r="266" spans="8:27"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  <c r="AA266" s="5"/>
    </row>
    <row r="267" spans="8:27"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  <c r="AA267" s="5"/>
    </row>
    <row r="268" spans="8:27"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  <c r="AA268" s="5"/>
    </row>
    <row r="269" spans="8:27"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  <c r="AA269" s="5"/>
    </row>
    <row r="270" spans="8:27"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  <c r="AA270" s="5"/>
    </row>
    <row r="271" spans="8:27"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  <c r="AA271" s="5"/>
    </row>
    <row r="272" spans="8:27"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  <c r="AA272" s="5"/>
    </row>
    <row r="273" spans="8:27"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  <c r="AA273" s="5"/>
    </row>
    <row r="274" spans="8:27"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  <c r="AA274" s="5"/>
    </row>
    <row r="275" spans="8:27"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  <c r="AA275" s="5"/>
    </row>
    <row r="276" spans="8:27"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  <c r="AA276" s="5"/>
    </row>
    <row r="277" spans="8:27"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  <c r="AA277" s="5"/>
    </row>
    <row r="278" spans="8:27"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  <c r="AA278" s="5"/>
    </row>
    <row r="279" spans="8:27"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  <c r="AA279" s="5"/>
    </row>
    <row r="280" spans="8:27"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  <c r="AA280" s="5"/>
    </row>
    <row r="281" spans="8:27"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  <c r="AA281" s="5"/>
    </row>
  </sheetData>
  <pageMargins left="0.75" right="0.75" top="1" bottom="1" header="0.5" footer="0.5"/>
  <pageSetup paperSize="1" orientation="portrait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DB154"/>
  <sheetViews>
    <sheetView tabSelected="1" zoomScale="65" zoomScaleNormal="65" topLeftCell="A35" workbookViewId="0">
      <selection activeCell="D74" sqref="D74"/>
    </sheetView>
  </sheetViews>
  <sheetFormatPr defaultColWidth="9" defaultRowHeight="12.5"/>
  <cols>
    <col min="2" max="2" width="21.4" customWidth="1"/>
    <col min="3" max="3" width="12.7272727272727" customWidth="1"/>
    <col min="4" max="5" width="22.1363636363636" customWidth="1"/>
    <col min="6" max="6" width="12" customWidth="1"/>
    <col min="7" max="7" width="13" customWidth="1"/>
    <col min="8" max="9" width="7.13636363636364" customWidth="1"/>
    <col min="10" max="10" width="10.6" customWidth="1"/>
    <col min="11" max="11" width="11.2636363636364" customWidth="1"/>
    <col min="12" max="12" width="15.6" customWidth="1"/>
    <col min="13" max="13" width="7.13636363636364" customWidth="1"/>
    <col min="14" max="14" width="17.8636363636364" customWidth="1"/>
    <col min="15" max="16" width="12.8636363636364" customWidth="1"/>
    <col min="17" max="18" width="7.13636363636364" customWidth="1"/>
    <col min="19" max="19" width="12.7272727272727" customWidth="1"/>
    <col min="20" max="20" width="8.6" customWidth="1"/>
    <col min="21" max="21" width="7.86363636363636" customWidth="1"/>
    <col min="22" max="24" width="7.13636363636364" customWidth="1"/>
    <col min="25" max="25" width="9.6" customWidth="1"/>
    <col min="26" max="26" width="17.8636363636364" customWidth="1"/>
    <col min="27" max="27" width="9.86363636363636" customWidth="1"/>
    <col min="28" max="32" width="7.13636363636364" customWidth="1"/>
    <col min="33" max="33" width="10.8636363636364" customWidth="1"/>
    <col min="34" max="34" width="11.1363636363636" customWidth="1"/>
    <col min="35" max="37" width="6" customWidth="1"/>
    <col min="38" max="39" width="15.6" customWidth="1"/>
    <col min="40" max="40" width="22.6" customWidth="1"/>
    <col min="41" max="41" width="13.6" customWidth="1"/>
    <col min="42" max="43" width="6" customWidth="1"/>
    <col min="44" max="44" width="8.4" customWidth="1"/>
    <col min="45" max="45" width="10.4" customWidth="1"/>
    <col min="46" max="49" width="6" customWidth="1"/>
    <col min="50" max="50" width="12.2636363636364" customWidth="1"/>
    <col min="51" max="51" width="13.6" customWidth="1"/>
  </cols>
  <sheetData>
    <row r="2" spans="2:16">
      <c r="B2" s="5" t="s">
        <v>39</v>
      </c>
      <c r="C2" s="5"/>
      <c r="D2" s="5"/>
      <c r="E2" s="5"/>
      <c r="K2" t="s">
        <v>40</v>
      </c>
      <c r="P2" t="s">
        <v>40</v>
      </c>
    </row>
    <row r="3" spans="2:19">
      <c r="B3" s="6" t="s">
        <v>41</v>
      </c>
      <c r="C3" s="6" t="s">
        <v>42</v>
      </c>
      <c r="D3" s="6" t="s">
        <v>43</v>
      </c>
      <c r="E3" s="6" t="s">
        <v>44</v>
      </c>
      <c r="K3" t="s">
        <v>45</v>
      </c>
      <c r="L3" t="s">
        <v>46</v>
      </c>
      <c r="M3" t="s">
        <v>47</v>
      </c>
      <c r="P3" t="s">
        <v>48</v>
      </c>
      <c r="Q3" t="s">
        <v>49</v>
      </c>
      <c r="R3" t="s">
        <v>50</v>
      </c>
      <c r="S3" t="s">
        <v>46</v>
      </c>
    </row>
    <row r="4" spans="2:19">
      <c r="B4" s="5" t="s">
        <v>51</v>
      </c>
      <c r="C4" s="5" t="s">
        <v>52</v>
      </c>
      <c r="D4" s="5" t="s">
        <v>53</v>
      </c>
      <c r="E4" s="5" t="s">
        <v>54</v>
      </c>
      <c r="K4" t="s">
        <v>55</v>
      </c>
      <c r="L4" t="s">
        <v>56</v>
      </c>
      <c r="M4" t="s">
        <v>57</v>
      </c>
      <c r="P4" t="s">
        <v>58</v>
      </c>
      <c r="Q4" t="s">
        <v>59</v>
      </c>
      <c r="R4" t="s">
        <v>60</v>
      </c>
      <c r="S4" t="s">
        <v>61</v>
      </c>
    </row>
    <row r="5" spans="2:13">
      <c r="B5" s="5" t="s">
        <v>51</v>
      </c>
      <c r="C5" s="5" t="s">
        <v>62</v>
      </c>
      <c r="D5" s="5" t="s">
        <v>53</v>
      </c>
      <c r="E5" s="5" t="s">
        <v>54</v>
      </c>
      <c r="K5" t="s">
        <v>63</v>
      </c>
      <c r="L5" t="s">
        <v>56</v>
      </c>
      <c r="M5" t="s">
        <v>64</v>
      </c>
    </row>
    <row r="6" spans="11:13">
      <c r="K6" t="s">
        <v>65</v>
      </c>
      <c r="L6" t="s">
        <v>56</v>
      </c>
      <c r="M6" t="s">
        <v>66</v>
      </c>
    </row>
    <row r="7" spans="11:13">
      <c r="K7" t="s">
        <v>67</v>
      </c>
      <c r="L7" t="s">
        <v>56</v>
      </c>
      <c r="M7" t="s">
        <v>68</v>
      </c>
    </row>
    <row r="8" spans="2:13">
      <c r="B8" t="s">
        <v>69</v>
      </c>
      <c r="K8" t="s">
        <v>70</v>
      </c>
      <c r="L8" t="s">
        <v>56</v>
      </c>
      <c r="M8" t="s">
        <v>59</v>
      </c>
    </row>
    <row r="9" spans="2:13">
      <c r="B9" t="s">
        <v>71</v>
      </c>
      <c r="C9" t="s">
        <v>72</v>
      </c>
      <c r="D9" t="s">
        <v>73</v>
      </c>
      <c r="E9" t="s">
        <v>74</v>
      </c>
      <c r="F9" t="s">
        <v>75</v>
      </c>
      <c r="G9" t="s">
        <v>76</v>
      </c>
      <c r="H9" t="s">
        <v>77</v>
      </c>
      <c r="K9" t="s">
        <v>78</v>
      </c>
      <c r="L9" t="s">
        <v>56</v>
      </c>
      <c r="M9" t="s">
        <v>68</v>
      </c>
    </row>
    <row r="10" spans="2:13">
      <c r="B10" t="s">
        <v>79</v>
      </c>
      <c r="C10" t="s">
        <v>80</v>
      </c>
      <c r="E10" t="s">
        <v>59</v>
      </c>
      <c r="F10">
        <v>0.25</v>
      </c>
      <c r="G10" t="s">
        <v>81</v>
      </c>
      <c r="K10" t="s">
        <v>80</v>
      </c>
      <c r="L10" t="s">
        <v>56</v>
      </c>
      <c r="M10" t="s">
        <v>59</v>
      </c>
    </row>
    <row r="11" spans="2:8">
      <c r="B11" t="s">
        <v>79</v>
      </c>
      <c r="C11" t="s">
        <v>80</v>
      </c>
      <c r="E11" t="s">
        <v>59</v>
      </c>
      <c r="F11">
        <v>3</v>
      </c>
      <c r="G11" t="s">
        <v>81</v>
      </c>
      <c r="H11">
        <v>0</v>
      </c>
    </row>
    <row r="12" spans="2:11">
      <c r="B12" t="s">
        <v>82</v>
      </c>
      <c r="D12" t="s">
        <v>83</v>
      </c>
      <c r="E12" t="s">
        <v>84</v>
      </c>
      <c r="F12">
        <v>0.93</v>
      </c>
      <c r="K12" t="s">
        <v>85</v>
      </c>
    </row>
    <row r="13" spans="2:14">
      <c r="B13" t="s">
        <v>86</v>
      </c>
      <c r="C13" t="s">
        <v>53</v>
      </c>
      <c r="F13">
        <v>25</v>
      </c>
      <c r="K13" t="s">
        <v>71</v>
      </c>
      <c r="L13" t="s">
        <v>75</v>
      </c>
      <c r="M13" t="s">
        <v>87</v>
      </c>
      <c r="N13" t="s">
        <v>88</v>
      </c>
    </row>
    <row r="14" spans="2:14">
      <c r="B14" t="s">
        <v>89</v>
      </c>
      <c r="C14" t="s">
        <v>53</v>
      </c>
      <c r="E14" s="31" t="s">
        <v>90</v>
      </c>
      <c r="F14">
        <v>2020</v>
      </c>
      <c r="K14" t="s">
        <v>91</v>
      </c>
      <c r="L14" t="s">
        <v>92</v>
      </c>
      <c r="M14" t="s">
        <v>93</v>
      </c>
      <c r="N14" t="s">
        <v>53</v>
      </c>
    </row>
    <row r="15" spans="11:14">
      <c r="K15" t="s">
        <v>91</v>
      </c>
      <c r="L15" t="s">
        <v>94</v>
      </c>
      <c r="M15" t="s">
        <v>93</v>
      </c>
      <c r="N15" t="s">
        <v>70</v>
      </c>
    </row>
    <row r="16" spans="2:2">
      <c r="B16" t="s">
        <v>95</v>
      </c>
    </row>
    <row r="17" spans="2:7">
      <c r="B17" t="s">
        <v>48</v>
      </c>
      <c r="C17">
        <v>2020</v>
      </c>
      <c r="D17">
        <v>0</v>
      </c>
      <c r="E17" t="s">
        <v>96</v>
      </c>
      <c r="F17" t="s">
        <v>47</v>
      </c>
      <c r="G17" t="s">
        <v>97</v>
      </c>
    </row>
    <row r="18" spans="2:7">
      <c r="B18" s="31" t="s">
        <v>90</v>
      </c>
      <c r="C18">
        <v>0.2</v>
      </c>
      <c r="D18">
        <v>3</v>
      </c>
      <c r="E18" s="31" t="s">
        <v>98</v>
      </c>
      <c r="F18" t="s">
        <v>53</v>
      </c>
      <c r="G18" t="s">
        <v>99</v>
      </c>
    </row>
    <row r="21" spans="3:3">
      <c r="C21" t="s">
        <v>69</v>
      </c>
    </row>
    <row r="22" spans="3:50">
      <c r="C22" t="s">
        <v>71</v>
      </c>
      <c r="D22" t="str">
        <f>IF(RoadTra_BY!L$1="","\I:",RoadTra_BY!L$1)</f>
        <v>Africa_North</v>
      </c>
      <c r="E22" t="str">
        <f>IF(RoadTra_BY!M$1="","\I:",RoadTra_BY!M$1)</f>
        <v>Africa_Other</v>
      </c>
      <c r="F22" t="str">
        <f>IF(RoadTra_BY!N$1="","\I:",RoadTra_BY!N$1)</f>
        <v>Australia</v>
      </c>
      <c r="G22" t="str">
        <f>IF(RoadTra_BY!O$1="","\I:",RoadTra_BY!O$1)</f>
        <v>Austria</v>
      </c>
      <c r="H22" t="str">
        <f>IF(RoadTra_BY!P$1="","\I:",RoadTra_BY!P$1)</f>
        <v>Baltics</v>
      </c>
      <c r="I22" t="str">
        <f>IF(RoadTra_BY!Q$1="","\I:",RoadTra_BY!Q$1)</f>
        <v>BeNeLux</v>
      </c>
      <c r="J22" t="str">
        <f>IF(RoadTra_BY!R$1="","\I:",RoadTra_BY!R$1)</f>
        <v>Brazil</v>
      </c>
      <c r="K22" t="str">
        <f>IF(RoadTra_BY!S$1="","\I:",RoadTra_BY!S$1)</f>
        <v>China</v>
      </c>
      <c r="L22" t="str">
        <f>IF(RoadTra_BY!T$1="","\I:",RoadTra_BY!T$1)</f>
        <v>CroSloven</v>
      </c>
      <c r="M22" t="str">
        <f>IF(RoadTra_BY!U$1="","\I:",RoadTra_BY!U$1)</f>
        <v>CzechSlovak</v>
      </c>
      <c r="N22" t="str">
        <f>IF(RoadTra_BY!V$1="","\I:",RoadTra_BY!V$1)</f>
        <v>France</v>
      </c>
      <c r="O22" t="str">
        <f>IF(RoadTra_BY!W$1="","\I:",RoadTra_BY!W$1)</f>
        <v>Germany</v>
      </c>
      <c r="P22" t="str">
        <f>IF(RoadTra_BY!X$1="","\I:",RoadTra_BY!X$1)</f>
        <v>GreeceCyp</v>
      </c>
      <c r="Q22" t="str">
        <f>IF(RoadTra_BY!Y$1="","\I:",RoadTra_BY!Y$1)</f>
        <v>HunRomBul</v>
      </c>
      <c r="R22" t="str">
        <f>IF(RoadTra_BY!Z$1="","\I:",RoadTra_BY!Z$1)</f>
        <v>Iceland</v>
      </c>
      <c r="S22" t="str">
        <f>IF(RoadTra_BY!AA$1="","\I:",RoadTra_BY!AA$1)</f>
        <v>India</v>
      </c>
      <c r="T22" t="str">
        <f>IF(RoadTra_BY!AB$1="","\I:",RoadTra_BY!AB$1)</f>
        <v>Ireland</v>
      </c>
      <c r="U22" t="str">
        <f>IF(RoadTra_BY!AC$1="","\I:",RoadTra_BY!AC$1)</f>
        <v>ItalyMal</v>
      </c>
      <c r="V22" t="str">
        <f>IF(RoadTra_BY!AD$1="","\I:",RoadTra_BY!AD$1)</f>
        <v>Japan</v>
      </c>
      <c r="W22" t="str">
        <f>IF(RoadTra_BY!AE$1="","\I:",RoadTra_BY!AE$1)</f>
        <v>LatAm</v>
      </c>
      <c r="X22" t="str">
        <f>IF(RoadTra_BY!AF$1="","\I:",RoadTra_BY!AF$1)</f>
        <v>MidEast</v>
      </c>
      <c r="Y22" t="str">
        <f>IF(RoadTra_BY!AG$1="","\I:",RoadTra_BY!AG$1)</f>
        <v>NorthAm</v>
      </c>
      <c r="Z22" t="str">
        <f>IF(RoadTra_BY!AH$1="","\I:",RoadTra_BY!AH$1)</f>
        <v>Norway</v>
      </c>
      <c r="AA22" t="str">
        <f>IF(RoadTra_BY!AI$1="","\I:",RoadTra_BY!AI$1)</f>
        <v>Poland</v>
      </c>
      <c r="AB22" t="str">
        <f>IF(RoadTra_BY!AJ$1="","\I:",RoadTra_BY!AJ$1)</f>
        <v>ROW</v>
      </c>
      <c r="AC22" t="str">
        <f>IF(RoadTra_BY!AK$1="","\I:",RoadTra_BY!AK$1)</f>
        <v>Russia</v>
      </c>
      <c r="AD22" t="str">
        <f>IF(RoadTra_BY!AL$1="","\I:",RoadTra_BY!AL$1)</f>
        <v>SaudiArabia</v>
      </c>
      <c r="AE22" t="str">
        <f>IF(RoadTra_BY!AM$1="","\I:",RoadTra_BY!AM$1)</f>
        <v>SouthAfrica</v>
      </c>
      <c r="AF22" t="str">
        <f>IF(RoadTra_BY!AN$1="","\I:",RoadTra_BY!AN$1)</f>
        <v>SpainPor</v>
      </c>
      <c r="AG22" t="str">
        <f>IF(RoadTra_BY!AO$1="","\I:",RoadTra_BY!AO$1)</f>
        <v>SweFinDen</v>
      </c>
      <c r="AH22" t="str">
        <f>IF(RoadTra_BY!AP$1="","\I:",RoadTra_BY!AP$1)</f>
        <v>Switzerland</v>
      </c>
      <c r="AI22" t="str">
        <f>IF(RoadTra_BY!AQ$1="","\I:",RoadTra_BY!AQ$1)</f>
        <v>Turkey</v>
      </c>
      <c r="AJ22" t="str">
        <f>IF(RoadTra_BY!AR$1="","\I:",RoadTra_BY!AR$1)</f>
        <v>UK</v>
      </c>
      <c r="AK22" t="str">
        <f>IF(RoadTra_BY!AS$1="","\I:",RoadTra_BY!AS$1)</f>
        <v>Ukraine</v>
      </c>
      <c r="AL22" t="str">
        <f>IF(RoadTra_BY!AT$1="","\I:",RoadTra_BY!AT$1)</f>
        <v>WestBalkans</v>
      </c>
      <c r="AM22" t="str">
        <f>IF(RoadTra_BY!AU$1="","\I:",RoadTra_BY!AU$1)</f>
        <v>year2</v>
      </c>
      <c r="AN22" t="str">
        <f>IF(RoadTra_BY!AV$1="","\I:",RoadTra_BY!AV$1)</f>
        <v>\I:</v>
      </c>
      <c r="AO22" t="str">
        <f>IF(RoadTra_BY!AW$1="","\I:",RoadTra_BY!AW$1)</f>
        <v>\I:</v>
      </c>
      <c r="AP22" t="str">
        <f>IF(RoadTra_BY!AX$1="","\I:",RoadTra_BY!AX$1)</f>
        <v>\I:</v>
      </c>
      <c r="AQ22" t="str">
        <f>IF(RoadTra_BY!AY$1="","\I:",RoadTra_BY!AY$1)</f>
        <v>\I:</v>
      </c>
      <c r="AR22" t="str">
        <f>IF(RoadTra_BY!AZ$1="","\I:",RoadTra_BY!AZ$1)</f>
        <v>\I:</v>
      </c>
      <c r="AS22" t="str">
        <f>IF(RoadTra_BY!BA$1="","\I:",RoadTra_BY!BA$1)</f>
        <v>\I:</v>
      </c>
      <c r="AT22" t="str">
        <f>IF(RoadTra_BY!BB$1="","\I:",RoadTra_BY!BB$1)</f>
        <v>\I:</v>
      </c>
      <c r="AU22" t="str">
        <f>IF(RoadTra_BY!BC$1="","\I:",RoadTra_BY!BC$1)</f>
        <v>\I:</v>
      </c>
      <c r="AV22" t="str">
        <f>IF(RoadTra_BY!BD$1="","\I:",RoadTra_BY!BD$1)</f>
        <v>\I:</v>
      </c>
      <c r="AW22" t="str">
        <f>IF(RoadTra_BY!BE$1="","\I:",RoadTra_BY!BE$1)</f>
        <v>\I:</v>
      </c>
      <c r="AX22" t="s">
        <v>45</v>
      </c>
    </row>
    <row r="23" spans="3:50">
      <c r="C23" t="s">
        <v>52</v>
      </c>
      <c r="D23" s="7">
        <f>AVERAGEIFS(RoadTra_BY!L$2:L$999,RoadTra_BY!$B$2:$B$999,'Road transport'!$C23,RoadTra_BY!$C$2:$C$999,'Road transport'!$AX23)</f>
        <v>7</v>
      </c>
      <c r="E23" s="7">
        <f>AVERAGEIFS(RoadTra_BY!M$2:M$999,RoadTra_BY!$B$2:$B$999,'Road transport'!$C23,RoadTra_BY!$C$2:$C$999,'Road transport'!$AX23)</f>
        <v>7</v>
      </c>
      <c r="F23" s="7">
        <f>AVERAGEIFS(RoadTra_BY!N$2:N$999,RoadTra_BY!$B$2:$B$999,'Road transport'!$C23,RoadTra_BY!$C$2:$C$999,'Road transport'!$AX23)</f>
        <v>7</v>
      </c>
      <c r="G23" s="7">
        <f>AVERAGEIFS(RoadTra_BY!O$2:O$999,RoadTra_BY!$B$2:$B$999,'Road transport'!$C23,RoadTra_BY!$C$2:$C$999,'Road transport'!$AX23)</f>
        <v>7</v>
      </c>
      <c r="H23" s="7">
        <f>AVERAGEIFS(RoadTra_BY!P$2:P$999,RoadTra_BY!$B$2:$B$999,'Road transport'!$C23,RoadTra_BY!$C$2:$C$999,'Road transport'!$AX23)</f>
        <v>7</v>
      </c>
      <c r="I23" s="7">
        <f>AVERAGEIFS(RoadTra_BY!Q$2:Q$999,RoadTra_BY!$B$2:$B$999,'Road transport'!$C23,RoadTra_BY!$C$2:$C$999,'Road transport'!$AX23)</f>
        <v>7</v>
      </c>
      <c r="J23" s="7">
        <f>AVERAGEIFS(RoadTra_BY!R$2:R$999,RoadTra_BY!$B$2:$B$999,'Road transport'!$C23,RoadTra_BY!$C$2:$C$999,'Road transport'!$AX23)</f>
        <v>7</v>
      </c>
      <c r="K23" s="7">
        <f>AVERAGEIFS(RoadTra_BY!S$2:S$999,RoadTra_BY!$B$2:$B$999,'Road transport'!$C23,RoadTra_BY!$C$2:$C$999,'Road transport'!$AX23)</f>
        <v>7</v>
      </c>
      <c r="L23" s="7">
        <f>AVERAGEIFS(RoadTra_BY!T$2:T$999,RoadTra_BY!$B$2:$B$999,'Road transport'!$C23,RoadTra_BY!$C$2:$C$999,'Road transport'!$AX23)</f>
        <v>7</v>
      </c>
      <c r="M23" s="7">
        <f>AVERAGEIFS(RoadTra_BY!U$2:U$999,RoadTra_BY!$B$2:$B$999,'Road transport'!$C23,RoadTra_BY!$C$2:$C$999,'Road transport'!$AX23)</f>
        <v>7</v>
      </c>
      <c r="N23" s="7">
        <f>AVERAGEIFS(RoadTra_BY!V$2:V$999,RoadTra_BY!$B$2:$B$999,'Road transport'!$C23,RoadTra_BY!$C$2:$C$999,'Road transport'!$AX23)</f>
        <v>7</v>
      </c>
      <c r="O23" s="7">
        <f>AVERAGEIFS(RoadTra_BY!W$2:W$999,RoadTra_BY!$B$2:$B$999,'Road transport'!$C23,RoadTra_BY!$C$2:$C$999,'Road transport'!$AX23)</f>
        <v>7</v>
      </c>
      <c r="P23" s="7">
        <f>AVERAGEIFS(RoadTra_BY!X$2:X$999,RoadTra_BY!$B$2:$B$999,'Road transport'!$C23,RoadTra_BY!$C$2:$C$999,'Road transport'!$AX23)</f>
        <v>7</v>
      </c>
      <c r="Q23" s="7">
        <f>AVERAGEIFS(RoadTra_BY!Y$2:Y$999,RoadTra_BY!$B$2:$B$999,'Road transport'!$C23,RoadTra_BY!$C$2:$C$999,'Road transport'!$AX23)</f>
        <v>7</v>
      </c>
      <c r="R23" s="7">
        <f>AVERAGEIFS(RoadTra_BY!Z$2:Z$999,RoadTra_BY!$B$2:$B$999,'Road transport'!$C23,RoadTra_BY!$C$2:$C$999,'Road transport'!$AX23)</f>
        <v>7</v>
      </c>
      <c r="S23" s="7">
        <f>AVERAGEIFS(RoadTra_BY!AA$2:AA$999,RoadTra_BY!$B$2:$B$999,'Road transport'!$C23,RoadTra_BY!$C$2:$C$999,'Road transport'!$AX23)</f>
        <v>7</v>
      </c>
      <c r="T23" s="7">
        <f>AVERAGEIFS(RoadTra_BY!AB$2:AB$999,RoadTra_BY!$B$2:$B$999,'Road transport'!$C23,RoadTra_BY!$C$2:$C$999,'Road transport'!$AX23)</f>
        <v>7</v>
      </c>
      <c r="U23" s="7">
        <f>AVERAGEIFS(RoadTra_BY!AC$2:AC$999,RoadTra_BY!$B$2:$B$999,'Road transport'!$C23,RoadTra_BY!$C$2:$C$999,'Road transport'!$AX23)</f>
        <v>7</v>
      </c>
      <c r="V23" s="7">
        <f>AVERAGEIFS(RoadTra_BY!AD$2:AD$999,RoadTra_BY!$B$2:$B$999,'Road transport'!$C23,RoadTra_BY!$C$2:$C$999,'Road transport'!$AX23)</f>
        <v>4</v>
      </c>
      <c r="W23" s="7">
        <f>AVERAGEIFS(RoadTra_BY!AE$2:AE$999,RoadTra_BY!$B$2:$B$999,'Road transport'!$C23,RoadTra_BY!$C$2:$C$999,'Road transport'!$AX23)</f>
        <v>7</v>
      </c>
      <c r="X23" s="7">
        <f>AVERAGEIFS(RoadTra_BY!AF$2:AF$999,RoadTra_BY!$B$2:$B$999,'Road transport'!$C23,RoadTra_BY!$C$2:$C$999,'Road transport'!$AX23)</f>
        <v>5</v>
      </c>
      <c r="Y23" s="7">
        <f>AVERAGEIFS(RoadTra_BY!AG$2:AG$999,RoadTra_BY!$B$2:$B$999,'Road transport'!$C23,RoadTra_BY!$C$2:$C$999,'Road transport'!$AX23)</f>
        <v>7</v>
      </c>
      <c r="Z23" s="7">
        <f>AVERAGEIFS(RoadTra_BY!AH$2:AH$999,RoadTra_BY!$B$2:$B$999,'Road transport'!$C23,RoadTra_BY!$C$2:$C$999,'Road transport'!$AX23)</f>
        <v>4</v>
      </c>
      <c r="AA23" s="7">
        <f>AVERAGEIFS(RoadTra_BY!AI$2:AI$999,RoadTra_BY!$B$2:$B$999,'Road transport'!$C23,RoadTra_BY!$C$2:$C$999,'Road transport'!$AX23)</f>
        <v>7</v>
      </c>
      <c r="AB23" s="7">
        <f>AVERAGEIFS(RoadTra_BY!AJ$2:AJ$999,RoadTra_BY!$B$2:$B$999,'Road transport'!$C23,RoadTra_BY!$C$2:$C$999,'Road transport'!$AX23)</f>
        <v>7</v>
      </c>
      <c r="AC23" s="7">
        <f>AVERAGEIFS(RoadTra_BY!AK$2:AK$999,RoadTra_BY!$B$2:$B$999,'Road transport'!$C23,RoadTra_BY!$C$2:$C$999,'Road transport'!$AX23)</f>
        <v>3</v>
      </c>
      <c r="AD23" s="7">
        <f>AVERAGEIFS(RoadTra_BY!AL$2:AL$999,RoadTra_BY!$B$2:$B$999,'Road transport'!$C23,RoadTra_BY!$C$2:$C$999,'Road transport'!$AX23)</f>
        <v>7</v>
      </c>
      <c r="AE23" s="7">
        <f>AVERAGEIFS(RoadTra_BY!AM$2:AM$999,RoadTra_BY!$B$2:$B$999,'Road transport'!$C23,RoadTra_BY!$C$2:$C$999,'Road transport'!$AX23)</f>
        <v>7</v>
      </c>
      <c r="AF23" s="7">
        <f>AVERAGEIFS(RoadTra_BY!AN$2:AN$999,RoadTra_BY!$B$2:$B$999,'Road transport'!$C23,RoadTra_BY!$C$2:$C$999,'Road transport'!$AX23)</f>
        <v>6.5</v>
      </c>
      <c r="AG23" s="7">
        <f>AVERAGEIFS(RoadTra_BY!AO$2:AO$999,RoadTra_BY!$B$2:$B$999,'Road transport'!$C23,RoadTra_BY!$C$2:$C$999,'Road transport'!$AX23)</f>
        <v>7</v>
      </c>
      <c r="AH23" s="7">
        <f>AVERAGEIFS(RoadTra_BY!AP$2:AP$999,RoadTra_BY!$B$2:$B$999,'Road transport'!$C23,RoadTra_BY!$C$2:$C$999,'Road transport'!$AX23)</f>
        <v>7</v>
      </c>
      <c r="AI23" s="7">
        <f>AVERAGEIFS(RoadTra_BY!AQ$2:AQ$999,RoadTra_BY!$B$2:$B$999,'Road transport'!$C23,RoadTra_BY!$C$2:$C$999,'Road transport'!$AX23)</f>
        <v>7</v>
      </c>
      <c r="AJ23" s="7">
        <f>AVERAGEIFS(RoadTra_BY!AR$2:AR$999,RoadTra_BY!$B$2:$B$999,'Road transport'!$C23,RoadTra_BY!$C$2:$C$999,'Road transport'!$AX23)</f>
        <v>4</v>
      </c>
      <c r="AK23" s="7">
        <f>AVERAGEIFS(RoadTra_BY!AS$2:AS$999,RoadTra_BY!$B$2:$B$999,'Road transport'!$C23,RoadTra_BY!$C$2:$C$999,'Road transport'!$AX23)</f>
        <v>4</v>
      </c>
      <c r="AL23" s="7">
        <f>AVERAGEIFS(RoadTra_BY!AT$2:AT$999,RoadTra_BY!$B$2:$B$999,'Road transport'!$C23,RoadTra_BY!$C$2:$C$999,'Road transport'!$AX23)</f>
        <v>4</v>
      </c>
      <c r="AM23" s="7" t="e">
        <f>AVERAGEIFS(RoadTra_BY!AU$2:AU$999,RoadTra_BY!$B$2:$B$999,'Road transport'!$C23,RoadTra_BY!$C$2:$C$999,'Road transport'!$AX23)</f>
        <v>#DIV/0!</v>
      </c>
      <c r="AN23" s="7" t="e">
        <f>AVERAGEIFS(RoadTra_BY!AV$2:AV$999,RoadTra_BY!$B$2:$B$999,'Road transport'!$C23,RoadTra_BY!$C$2:$C$999,'Road transport'!$AX23)</f>
        <v>#DIV/0!</v>
      </c>
      <c r="AO23" s="7" t="e">
        <f>AVERAGEIFS(RoadTra_BY!AW$2:AW$999,RoadTra_BY!$B$2:$B$999,'Road transport'!$C23,RoadTra_BY!$C$2:$C$999,'Road transport'!$AX23)</f>
        <v>#DIV/0!</v>
      </c>
      <c r="AP23" s="7" t="e">
        <f>AVERAGEIFS(RoadTra_BY!AX$2:AX$999,RoadTra_BY!$B$2:$B$999,'Road transport'!$C23,RoadTra_BY!$C$2:$C$999,'Road transport'!$AX23)</f>
        <v>#DIV/0!</v>
      </c>
      <c r="AQ23" s="7" t="e">
        <f>AVERAGEIFS(RoadTra_BY!AY$2:AY$999,RoadTra_BY!$B$2:$B$999,'Road transport'!$C23,RoadTra_BY!$C$2:$C$999,'Road transport'!$AX23)</f>
        <v>#DIV/0!</v>
      </c>
      <c r="AR23" s="7" t="e">
        <f>AVERAGEIFS(RoadTra_BY!AZ$2:AZ$999,RoadTra_BY!$B$2:$B$999,'Road transport'!$C23,RoadTra_BY!$C$2:$C$999,'Road transport'!$AX23)</f>
        <v>#DIV/0!</v>
      </c>
      <c r="AS23" s="7" t="e">
        <f>AVERAGEIFS(RoadTra_BY!BA$2:BA$999,RoadTra_BY!$B$2:$B$999,'Road transport'!$C23,RoadTra_BY!$C$2:$C$999,'Road transport'!$AX23)</f>
        <v>#DIV/0!</v>
      </c>
      <c r="AT23" s="7" t="e">
        <f>AVERAGEIFS(RoadTra_BY!BB$2:BB$999,RoadTra_BY!$B$2:$B$999,'Road transport'!$C23,RoadTra_BY!$C$2:$C$999,'Road transport'!$AX23)</f>
        <v>#DIV/0!</v>
      </c>
      <c r="AU23" s="7" t="e">
        <f>AVERAGEIFS(RoadTra_BY!BC$2:BC$999,RoadTra_BY!$B$2:$B$999,'Road transport'!$C23,RoadTra_BY!$C$2:$C$999,'Road transport'!$AX23)</f>
        <v>#DIV/0!</v>
      </c>
      <c r="AV23" s="7" t="e">
        <f>AVERAGEIFS(RoadTra_BY!BD$2:BD$999,RoadTra_BY!$B$2:$B$999,'Road transport'!$C23,RoadTra_BY!$C$2:$C$999,'Road transport'!$AX23)</f>
        <v>#DIV/0!</v>
      </c>
      <c r="AW23" s="7" t="e">
        <f>AVERAGEIFS(RoadTra_BY!BE$2:BE$999,RoadTra_BY!$B$2:$B$999,'Road transport'!$C23,RoadTra_BY!$C$2:$C$999,'Road transport'!$AX23)</f>
        <v>#DIV/0!</v>
      </c>
      <c r="AX23" t="s">
        <v>100</v>
      </c>
    </row>
    <row r="24" spans="3:50">
      <c r="C24" t="s">
        <v>52</v>
      </c>
      <c r="D24" s="7">
        <f>AVERAGEIFS(RoadTra_BY!L$2:L$999,RoadTra_BY!$B$2:$B$999,'Road transport'!$C24,RoadTra_BY!$C$2:$C$999,'Road transport'!$AX24)</f>
        <v>15</v>
      </c>
      <c r="E24" s="7">
        <f>AVERAGEIFS(RoadTra_BY!M$2:M$999,RoadTra_BY!$B$2:$B$999,'Road transport'!$C24,RoadTra_BY!$C$2:$C$999,'Road transport'!$AX24)</f>
        <v>15</v>
      </c>
      <c r="F24" s="7">
        <f>AVERAGEIFS(RoadTra_BY!N$2:N$999,RoadTra_BY!$B$2:$B$999,'Road transport'!$C24,RoadTra_BY!$C$2:$C$999,'Road transport'!$AX24)</f>
        <v>15</v>
      </c>
      <c r="G24" s="7">
        <f>AVERAGEIFS(RoadTra_BY!O$2:O$999,RoadTra_BY!$B$2:$B$999,'Road transport'!$C24,RoadTra_BY!$C$2:$C$999,'Road transport'!$AX24)</f>
        <v>15</v>
      </c>
      <c r="H24" s="7">
        <f>AVERAGEIFS(RoadTra_BY!P$2:P$999,RoadTra_BY!$B$2:$B$999,'Road transport'!$C24,RoadTra_BY!$C$2:$C$999,'Road transport'!$AX24)</f>
        <v>15</v>
      </c>
      <c r="I24" s="7">
        <f>AVERAGEIFS(RoadTra_BY!Q$2:Q$999,RoadTra_BY!$B$2:$B$999,'Road transport'!$C24,RoadTra_BY!$C$2:$C$999,'Road transport'!$AX24)</f>
        <v>15</v>
      </c>
      <c r="J24" s="7">
        <f>AVERAGEIFS(RoadTra_BY!R$2:R$999,RoadTra_BY!$B$2:$B$999,'Road transport'!$C24,RoadTra_BY!$C$2:$C$999,'Road transport'!$AX24)</f>
        <v>15</v>
      </c>
      <c r="K24" s="7">
        <f>AVERAGEIFS(RoadTra_BY!S$2:S$999,RoadTra_BY!$B$2:$B$999,'Road transport'!$C24,RoadTra_BY!$C$2:$C$999,'Road transport'!$AX24)</f>
        <v>15</v>
      </c>
      <c r="L24" s="7">
        <f>AVERAGEIFS(RoadTra_BY!T$2:T$999,RoadTra_BY!$B$2:$B$999,'Road transport'!$C24,RoadTra_BY!$C$2:$C$999,'Road transport'!$AX24)</f>
        <v>15</v>
      </c>
      <c r="M24" s="7">
        <f>AVERAGEIFS(RoadTra_BY!U$2:U$999,RoadTra_BY!$B$2:$B$999,'Road transport'!$C24,RoadTra_BY!$C$2:$C$999,'Road transport'!$AX24)</f>
        <v>15</v>
      </c>
      <c r="N24" s="7">
        <f>AVERAGEIFS(RoadTra_BY!V$2:V$999,RoadTra_BY!$B$2:$B$999,'Road transport'!$C24,RoadTra_BY!$C$2:$C$999,'Road transport'!$AX24)</f>
        <v>15</v>
      </c>
      <c r="O24" s="7">
        <f>AVERAGEIFS(RoadTra_BY!W$2:W$999,RoadTra_BY!$B$2:$B$999,'Road transport'!$C24,RoadTra_BY!$C$2:$C$999,'Road transport'!$AX24)</f>
        <v>15</v>
      </c>
      <c r="P24" s="7">
        <f>AVERAGEIFS(RoadTra_BY!X$2:X$999,RoadTra_BY!$B$2:$B$999,'Road transport'!$C24,RoadTra_BY!$C$2:$C$999,'Road transport'!$AX24)</f>
        <v>15</v>
      </c>
      <c r="Q24" s="7">
        <f>AVERAGEIFS(RoadTra_BY!Y$2:Y$999,RoadTra_BY!$B$2:$B$999,'Road transport'!$C24,RoadTra_BY!$C$2:$C$999,'Road transport'!$AX24)</f>
        <v>15</v>
      </c>
      <c r="R24" s="7">
        <f>AVERAGEIFS(RoadTra_BY!Z$2:Z$999,RoadTra_BY!$B$2:$B$999,'Road transport'!$C24,RoadTra_BY!$C$2:$C$999,'Road transport'!$AX24)</f>
        <v>15</v>
      </c>
      <c r="S24" s="7">
        <f>AVERAGEIFS(RoadTra_BY!AA$2:AA$999,RoadTra_BY!$B$2:$B$999,'Road transport'!$C24,RoadTra_BY!$C$2:$C$999,'Road transport'!$AX24)</f>
        <v>15</v>
      </c>
      <c r="T24" s="7">
        <f>AVERAGEIFS(RoadTra_BY!AB$2:AB$999,RoadTra_BY!$B$2:$B$999,'Road transport'!$C24,RoadTra_BY!$C$2:$C$999,'Road transport'!$AX24)</f>
        <v>15</v>
      </c>
      <c r="U24" s="7">
        <f>AVERAGEIFS(RoadTra_BY!AC$2:AC$999,RoadTra_BY!$B$2:$B$999,'Road transport'!$C24,RoadTra_BY!$C$2:$C$999,'Road transport'!$AX24)</f>
        <v>15</v>
      </c>
      <c r="V24" s="7">
        <f>AVERAGEIFS(RoadTra_BY!AD$2:AD$999,RoadTra_BY!$B$2:$B$999,'Road transport'!$C24,RoadTra_BY!$C$2:$C$999,'Road transport'!$AX24)</f>
        <v>15</v>
      </c>
      <c r="W24" s="7">
        <f>AVERAGEIFS(RoadTra_BY!AE$2:AE$999,RoadTra_BY!$B$2:$B$999,'Road transport'!$C24,RoadTra_BY!$C$2:$C$999,'Road transport'!$AX24)</f>
        <v>15</v>
      </c>
      <c r="X24" s="7">
        <f>AVERAGEIFS(RoadTra_BY!AF$2:AF$999,RoadTra_BY!$B$2:$B$999,'Road transport'!$C24,RoadTra_BY!$C$2:$C$999,'Road transport'!$AX24)</f>
        <v>15</v>
      </c>
      <c r="Y24" s="7">
        <f>AVERAGEIFS(RoadTra_BY!AG$2:AG$999,RoadTra_BY!$B$2:$B$999,'Road transport'!$C24,RoadTra_BY!$C$2:$C$999,'Road transport'!$AX24)</f>
        <v>15</v>
      </c>
      <c r="Z24" s="7">
        <f>AVERAGEIFS(RoadTra_BY!AH$2:AH$999,RoadTra_BY!$B$2:$B$999,'Road transport'!$C24,RoadTra_BY!$C$2:$C$999,'Road transport'!$AX24)</f>
        <v>15</v>
      </c>
      <c r="AA24" s="7">
        <f>AVERAGEIFS(RoadTra_BY!AI$2:AI$999,RoadTra_BY!$B$2:$B$999,'Road transport'!$C24,RoadTra_BY!$C$2:$C$999,'Road transport'!$AX24)</f>
        <v>15</v>
      </c>
      <c r="AB24" s="7">
        <f>AVERAGEIFS(RoadTra_BY!AJ$2:AJ$999,RoadTra_BY!$B$2:$B$999,'Road transport'!$C24,RoadTra_BY!$C$2:$C$999,'Road transport'!$AX24)</f>
        <v>15</v>
      </c>
      <c r="AC24" s="7">
        <f>AVERAGEIFS(RoadTra_BY!AK$2:AK$999,RoadTra_BY!$B$2:$B$999,'Road transport'!$C24,RoadTra_BY!$C$2:$C$999,'Road transport'!$AX24)</f>
        <v>15</v>
      </c>
      <c r="AD24" s="7">
        <f>AVERAGEIFS(RoadTra_BY!AL$2:AL$999,RoadTra_BY!$B$2:$B$999,'Road transport'!$C24,RoadTra_BY!$C$2:$C$999,'Road transport'!$AX24)</f>
        <v>15</v>
      </c>
      <c r="AE24" s="7">
        <f>AVERAGEIFS(RoadTra_BY!AM$2:AM$999,RoadTra_BY!$B$2:$B$999,'Road transport'!$C24,RoadTra_BY!$C$2:$C$999,'Road transport'!$AX24)</f>
        <v>15</v>
      </c>
      <c r="AF24" s="7">
        <f>AVERAGEIFS(RoadTra_BY!AN$2:AN$999,RoadTra_BY!$B$2:$B$999,'Road transport'!$C24,RoadTra_BY!$C$2:$C$999,'Road transport'!$AX24)</f>
        <v>20</v>
      </c>
      <c r="AG24" s="7">
        <f>AVERAGEIFS(RoadTra_BY!AO$2:AO$999,RoadTra_BY!$B$2:$B$999,'Road transport'!$C24,RoadTra_BY!$C$2:$C$999,'Road transport'!$AX24)</f>
        <v>15</v>
      </c>
      <c r="AH24" s="7">
        <f>AVERAGEIFS(RoadTra_BY!AP$2:AP$999,RoadTra_BY!$B$2:$B$999,'Road transport'!$C24,RoadTra_BY!$C$2:$C$999,'Road transport'!$AX24)</f>
        <v>15</v>
      </c>
      <c r="AI24" s="7">
        <f>AVERAGEIFS(RoadTra_BY!AQ$2:AQ$999,RoadTra_BY!$B$2:$B$999,'Road transport'!$C24,RoadTra_BY!$C$2:$C$999,'Road transport'!$AX24)</f>
        <v>15</v>
      </c>
      <c r="AJ24" s="7">
        <f>AVERAGEIFS(RoadTra_BY!AR$2:AR$999,RoadTra_BY!$B$2:$B$999,'Road transport'!$C24,RoadTra_BY!$C$2:$C$999,'Road transport'!$AX24)</f>
        <v>15</v>
      </c>
      <c r="AK24" s="7">
        <f>AVERAGEIFS(RoadTra_BY!AS$2:AS$999,RoadTra_BY!$B$2:$B$999,'Road transport'!$C24,RoadTra_BY!$C$2:$C$999,'Road transport'!$AX24)</f>
        <v>15</v>
      </c>
      <c r="AL24" s="7">
        <f>AVERAGEIFS(RoadTra_BY!AT$2:AT$999,RoadTra_BY!$B$2:$B$999,'Road transport'!$C24,RoadTra_BY!$C$2:$C$999,'Road transport'!$AX24)</f>
        <v>15</v>
      </c>
      <c r="AM24" s="7" t="e">
        <f>AVERAGEIFS(RoadTra_BY!AU$2:AU$999,RoadTra_BY!$B$2:$B$999,'Road transport'!$C24,RoadTra_BY!$C$2:$C$999,'Road transport'!$AX24)</f>
        <v>#DIV/0!</v>
      </c>
      <c r="AN24" s="7" t="e">
        <f>AVERAGEIFS(RoadTra_BY!AV$2:AV$999,RoadTra_BY!$B$2:$B$999,'Road transport'!$C24,RoadTra_BY!$C$2:$C$999,'Road transport'!$AX24)</f>
        <v>#DIV/0!</v>
      </c>
      <c r="AO24" s="7" t="e">
        <f>AVERAGEIFS(RoadTra_BY!AW$2:AW$999,RoadTra_BY!$B$2:$B$999,'Road transport'!$C24,RoadTra_BY!$C$2:$C$999,'Road transport'!$AX24)</f>
        <v>#DIV/0!</v>
      </c>
      <c r="AP24" s="7" t="e">
        <f>AVERAGEIFS(RoadTra_BY!AX$2:AX$999,RoadTra_BY!$B$2:$B$999,'Road transport'!$C24,RoadTra_BY!$C$2:$C$999,'Road transport'!$AX24)</f>
        <v>#DIV/0!</v>
      </c>
      <c r="AQ24" s="7" t="e">
        <f>AVERAGEIFS(RoadTra_BY!AY$2:AY$999,RoadTra_BY!$B$2:$B$999,'Road transport'!$C24,RoadTra_BY!$C$2:$C$999,'Road transport'!$AX24)</f>
        <v>#DIV/0!</v>
      </c>
      <c r="AR24" s="7" t="e">
        <f>AVERAGEIFS(RoadTra_BY!AZ$2:AZ$999,RoadTra_BY!$B$2:$B$999,'Road transport'!$C24,RoadTra_BY!$C$2:$C$999,'Road transport'!$AX24)</f>
        <v>#DIV/0!</v>
      </c>
      <c r="AS24" s="7" t="e">
        <f>AVERAGEIFS(RoadTra_BY!BA$2:BA$999,RoadTra_BY!$B$2:$B$999,'Road transport'!$C24,RoadTra_BY!$C$2:$C$999,'Road transport'!$AX24)</f>
        <v>#DIV/0!</v>
      </c>
      <c r="AT24" s="7" t="e">
        <f>AVERAGEIFS(RoadTra_BY!BB$2:BB$999,RoadTra_BY!$B$2:$B$999,'Road transport'!$C24,RoadTra_BY!$C$2:$C$999,'Road transport'!$AX24)</f>
        <v>#DIV/0!</v>
      </c>
      <c r="AU24" s="7" t="e">
        <f>AVERAGEIFS(RoadTra_BY!BC$2:BC$999,RoadTra_BY!$B$2:$B$999,'Road transport'!$C24,RoadTra_BY!$C$2:$C$999,'Road transport'!$AX24)</f>
        <v>#DIV/0!</v>
      </c>
      <c r="AV24" s="7" t="e">
        <f>AVERAGEIFS(RoadTra_BY!BD$2:BD$999,RoadTra_BY!$B$2:$B$999,'Road transport'!$C24,RoadTra_BY!$C$2:$C$999,'Road transport'!$AX24)</f>
        <v>#DIV/0!</v>
      </c>
      <c r="AW24" s="7" t="e">
        <f>AVERAGEIFS(RoadTra_BY!BE$2:BE$999,RoadTra_BY!$B$2:$B$999,'Road transport'!$C24,RoadTra_BY!$C$2:$C$999,'Road transport'!$AX24)</f>
        <v>#DIV/0!</v>
      </c>
      <c r="AX24" t="s">
        <v>101</v>
      </c>
    </row>
    <row r="25" spans="3:50">
      <c r="C25" t="s">
        <v>52</v>
      </c>
      <c r="D25" s="7">
        <f>AVERAGEIFS(RoadTra_BY!L$2:L$999,RoadTra_BY!$B$2:$B$999,'Road transport'!$C25,RoadTra_BY!$C$2:$C$999,'Road transport'!$AX25)</f>
        <v>35</v>
      </c>
      <c r="E25" s="7">
        <f>AVERAGEIFS(RoadTra_BY!M$2:M$999,RoadTra_BY!$B$2:$B$999,'Road transport'!$C25,RoadTra_BY!$C$2:$C$999,'Road transport'!$AX25)</f>
        <v>35</v>
      </c>
      <c r="F25" s="7">
        <f>AVERAGEIFS(RoadTra_BY!N$2:N$999,RoadTra_BY!$B$2:$B$999,'Road transport'!$C25,RoadTra_BY!$C$2:$C$999,'Road transport'!$AX25)</f>
        <v>35</v>
      </c>
      <c r="G25" s="7">
        <f>AVERAGEIFS(RoadTra_BY!O$2:O$999,RoadTra_BY!$B$2:$B$999,'Road transport'!$C25,RoadTra_BY!$C$2:$C$999,'Road transport'!$AX25)</f>
        <v>35</v>
      </c>
      <c r="H25" s="7">
        <f>AVERAGEIFS(RoadTra_BY!P$2:P$999,RoadTra_BY!$B$2:$B$999,'Road transport'!$C25,RoadTra_BY!$C$2:$C$999,'Road transport'!$AX25)</f>
        <v>35</v>
      </c>
      <c r="I25" s="7">
        <f>AVERAGEIFS(RoadTra_BY!Q$2:Q$999,RoadTra_BY!$B$2:$B$999,'Road transport'!$C25,RoadTra_BY!$C$2:$C$999,'Road transport'!$AX25)</f>
        <v>35</v>
      </c>
      <c r="J25" s="7">
        <f>AVERAGEIFS(RoadTra_BY!R$2:R$999,RoadTra_BY!$B$2:$B$999,'Road transport'!$C25,RoadTra_BY!$C$2:$C$999,'Road transport'!$AX25)</f>
        <v>35</v>
      </c>
      <c r="K25" s="7">
        <f>AVERAGEIFS(RoadTra_BY!S$2:S$999,RoadTra_BY!$B$2:$B$999,'Road transport'!$C25,RoadTra_BY!$C$2:$C$999,'Road transport'!$AX25)</f>
        <v>35</v>
      </c>
      <c r="L25" s="7">
        <f>AVERAGEIFS(RoadTra_BY!T$2:T$999,RoadTra_BY!$B$2:$B$999,'Road transport'!$C25,RoadTra_BY!$C$2:$C$999,'Road transport'!$AX25)</f>
        <v>35</v>
      </c>
      <c r="M25" s="7">
        <f>AVERAGEIFS(RoadTra_BY!U$2:U$999,RoadTra_BY!$B$2:$B$999,'Road transport'!$C25,RoadTra_BY!$C$2:$C$999,'Road transport'!$AX25)</f>
        <v>35</v>
      </c>
      <c r="N25" s="7">
        <f>AVERAGEIFS(RoadTra_BY!V$2:V$999,RoadTra_BY!$B$2:$B$999,'Road transport'!$C25,RoadTra_BY!$C$2:$C$999,'Road transport'!$AX25)</f>
        <v>35</v>
      </c>
      <c r="O25" s="7">
        <f>AVERAGEIFS(RoadTra_BY!W$2:W$999,RoadTra_BY!$B$2:$B$999,'Road transport'!$C25,RoadTra_BY!$C$2:$C$999,'Road transport'!$AX25)</f>
        <v>35</v>
      </c>
      <c r="P25" s="7">
        <f>AVERAGEIFS(RoadTra_BY!X$2:X$999,RoadTra_BY!$B$2:$B$999,'Road transport'!$C25,RoadTra_BY!$C$2:$C$999,'Road transport'!$AX25)</f>
        <v>35</v>
      </c>
      <c r="Q25" s="7">
        <f>AVERAGEIFS(RoadTra_BY!Y$2:Y$999,RoadTra_BY!$B$2:$B$999,'Road transport'!$C25,RoadTra_BY!$C$2:$C$999,'Road transport'!$AX25)</f>
        <v>35</v>
      </c>
      <c r="R25" s="7">
        <f>AVERAGEIFS(RoadTra_BY!Z$2:Z$999,RoadTra_BY!$B$2:$B$999,'Road transport'!$C25,RoadTra_BY!$C$2:$C$999,'Road transport'!$AX25)</f>
        <v>35</v>
      </c>
      <c r="S25" s="7">
        <f>AVERAGEIFS(RoadTra_BY!AA$2:AA$999,RoadTra_BY!$B$2:$B$999,'Road transport'!$C25,RoadTra_BY!$C$2:$C$999,'Road transport'!$AX25)</f>
        <v>35</v>
      </c>
      <c r="T25" s="7">
        <f>AVERAGEIFS(RoadTra_BY!AB$2:AB$999,RoadTra_BY!$B$2:$B$999,'Road transport'!$C25,RoadTra_BY!$C$2:$C$999,'Road transport'!$AX25)</f>
        <v>35</v>
      </c>
      <c r="U25" s="7">
        <f>AVERAGEIFS(RoadTra_BY!AC$2:AC$999,RoadTra_BY!$B$2:$B$999,'Road transport'!$C25,RoadTra_BY!$C$2:$C$999,'Road transport'!$AX25)</f>
        <v>35</v>
      </c>
      <c r="V25" s="7">
        <f>AVERAGEIFS(RoadTra_BY!AD$2:AD$999,RoadTra_BY!$B$2:$B$999,'Road transport'!$C25,RoadTra_BY!$C$2:$C$999,'Road transport'!$AX25)</f>
        <v>35</v>
      </c>
      <c r="W25" s="7">
        <f>AVERAGEIFS(RoadTra_BY!AE$2:AE$999,RoadTra_BY!$B$2:$B$999,'Road transport'!$C25,RoadTra_BY!$C$2:$C$999,'Road transport'!$AX25)</f>
        <v>35</v>
      </c>
      <c r="X25" s="7">
        <f>AVERAGEIFS(RoadTra_BY!AF$2:AF$999,RoadTra_BY!$B$2:$B$999,'Road transport'!$C25,RoadTra_BY!$C$2:$C$999,'Road transport'!$AX25)</f>
        <v>35</v>
      </c>
      <c r="Y25" s="7">
        <f>AVERAGEIFS(RoadTra_BY!AG$2:AG$999,RoadTra_BY!$B$2:$B$999,'Road transport'!$C25,RoadTra_BY!$C$2:$C$999,'Road transport'!$AX25)</f>
        <v>35</v>
      </c>
      <c r="Z25" s="7">
        <f>AVERAGEIFS(RoadTra_BY!AH$2:AH$999,RoadTra_BY!$B$2:$B$999,'Road transport'!$C25,RoadTra_BY!$C$2:$C$999,'Road transport'!$AX25)</f>
        <v>35</v>
      </c>
      <c r="AA25" s="7">
        <f>AVERAGEIFS(RoadTra_BY!AI$2:AI$999,RoadTra_BY!$B$2:$B$999,'Road transport'!$C25,RoadTra_BY!$C$2:$C$999,'Road transport'!$AX25)</f>
        <v>35</v>
      </c>
      <c r="AB25" s="7">
        <f>AVERAGEIFS(RoadTra_BY!AJ$2:AJ$999,RoadTra_BY!$B$2:$B$999,'Road transport'!$C25,RoadTra_BY!$C$2:$C$999,'Road transport'!$AX25)</f>
        <v>35</v>
      </c>
      <c r="AC25" s="7">
        <f>AVERAGEIFS(RoadTra_BY!AK$2:AK$999,RoadTra_BY!$B$2:$B$999,'Road transport'!$C25,RoadTra_BY!$C$2:$C$999,'Road transport'!$AX25)</f>
        <v>35</v>
      </c>
      <c r="AD25" s="7">
        <f>AVERAGEIFS(RoadTra_BY!AL$2:AL$999,RoadTra_BY!$B$2:$B$999,'Road transport'!$C25,RoadTra_BY!$C$2:$C$999,'Road transport'!$AX25)</f>
        <v>35</v>
      </c>
      <c r="AE25" s="7">
        <f>AVERAGEIFS(RoadTra_BY!AM$2:AM$999,RoadTra_BY!$B$2:$B$999,'Road transport'!$C25,RoadTra_BY!$C$2:$C$999,'Road transport'!$AX25)</f>
        <v>35</v>
      </c>
      <c r="AF25" s="7">
        <f>AVERAGEIFS(RoadTra_BY!AN$2:AN$999,RoadTra_BY!$B$2:$B$999,'Road transport'!$C25,RoadTra_BY!$C$2:$C$999,'Road transport'!$AX25)</f>
        <v>35</v>
      </c>
      <c r="AG25" s="7">
        <f>AVERAGEIFS(RoadTra_BY!AO$2:AO$999,RoadTra_BY!$B$2:$B$999,'Road transport'!$C25,RoadTra_BY!$C$2:$C$999,'Road transport'!$AX25)</f>
        <v>35</v>
      </c>
      <c r="AH25" s="7">
        <f>AVERAGEIFS(RoadTra_BY!AP$2:AP$999,RoadTra_BY!$B$2:$B$999,'Road transport'!$C25,RoadTra_BY!$C$2:$C$999,'Road transport'!$AX25)</f>
        <v>35</v>
      </c>
      <c r="AI25" s="7">
        <f>AVERAGEIFS(RoadTra_BY!AQ$2:AQ$999,RoadTra_BY!$B$2:$B$999,'Road transport'!$C25,RoadTra_BY!$C$2:$C$999,'Road transport'!$AX25)</f>
        <v>35</v>
      </c>
      <c r="AJ25" s="7">
        <f>AVERAGEIFS(RoadTra_BY!AR$2:AR$999,RoadTra_BY!$B$2:$B$999,'Road transport'!$C25,RoadTra_BY!$C$2:$C$999,'Road transport'!$AX25)</f>
        <v>35</v>
      </c>
      <c r="AK25" s="7">
        <f>AVERAGEIFS(RoadTra_BY!AS$2:AS$999,RoadTra_BY!$B$2:$B$999,'Road transport'!$C25,RoadTra_BY!$C$2:$C$999,'Road transport'!$AX25)</f>
        <v>35</v>
      </c>
      <c r="AL25" s="7">
        <f>AVERAGEIFS(RoadTra_BY!AT$2:AT$999,RoadTra_BY!$B$2:$B$999,'Road transport'!$C25,RoadTra_BY!$C$2:$C$999,'Road transport'!$AX25)</f>
        <v>20</v>
      </c>
      <c r="AM25" s="7" t="e">
        <f>AVERAGEIFS(RoadTra_BY!AU$2:AU$999,RoadTra_BY!$B$2:$B$999,'Road transport'!$C25,RoadTra_BY!$C$2:$C$999,'Road transport'!$AX25)</f>
        <v>#DIV/0!</v>
      </c>
      <c r="AN25" s="7" t="e">
        <f>AVERAGEIFS(RoadTra_BY!AV$2:AV$999,RoadTra_BY!$B$2:$B$999,'Road transport'!$C25,RoadTra_BY!$C$2:$C$999,'Road transport'!$AX25)</f>
        <v>#DIV/0!</v>
      </c>
      <c r="AO25" s="7" t="e">
        <f>AVERAGEIFS(RoadTra_BY!AW$2:AW$999,RoadTra_BY!$B$2:$B$999,'Road transport'!$C25,RoadTra_BY!$C$2:$C$999,'Road transport'!$AX25)</f>
        <v>#DIV/0!</v>
      </c>
      <c r="AP25" s="7" t="e">
        <f>AVERAGEIFS(RoadTra_BY!AX$2:AX$999,RoadTra_BY!$B$2:$B$999,'Road transport'!$C25,RoadTra_BY!$C$2:$C$999,'Road transport'!$AX25)</f>
        <v>#DIV/0!</v>
      </c>
      <c r="AQ25" s="7" t="e">
        <f>AVERAGEIFS(RoadTra_BY!AY$2:AY$999,RoadTra_BY!$B$2:$B$999,'Road transport'!$C25,RoadTra_BY!$C$2:$C$999,'Road transport'!$AX25)</f>
        <v>#DIV/0!</v>
      </c>
      <c r="AR25" s="7" t="e">
        <f>AVERAGEIFS(RoadTra_BY!AZ$2:AZ$999,RoadTra_BY!$B$2:$B$999,'Road transport'!$C25,RoadTra_BY!$C$2:$C$999,'Road transport'!$AX25)</f>
        <v>#DIV/0!</v>
      </c>
      <c r="AS25" s="7" t="e">
        <f>AVERAGEIFS(RoadTra_BY!BA$2:BA$999,RoadTra_BY!$B$2:$B$999,'Road transport'!$C25,RoadTra_BY!$C$2:$C$999,'Road transport'!$AX25)</f>
        <v>#DIV/0!</v>
      </c>
      <c r="AT25" s="7" t="e">
        <f>AVERAGEIFS(RoadTra_BY!BB$2:BB$999,RoadTra_BY!$B$2:$B$999,'Road transport'!$C25,RoadTra_BY!$C$2:$C$999,'Road transport'!$AX25)</f>
        <v>#DIV/0!</v>
      </c>
      <c r="AU25" s="7" t="e">
        <f>AVERAGEIFS(RoadTra_BY!BC$2:BC$999,RoadTra_BY!$B$2:$B$999,'Road transport'!$C25,RoadTra_BY!$C$2:$C$999,'Road transport'!$AX25)</f>
        <v>#DIV/0!</v>
      </c>
      <c r="AV25" s="7" t="e">
        <f>AVERAGEIFS(RoadTra_BY!BD$2:BD$999,RoadTra_BY!$B$2:$B$999,'Road transport'!$C25,RoadTra_BY!$C$2:$C$999,'Road transport'!$AX25)</f>
        <v>#DIV/0!</v>
      </c>
      <c r="AW25" s="7" t="e">
        <f>AVERAGEIFS(RoadTra_BY!BE$2:BE$999,RoadTra_BY!$B$2:$B$999,'Road transport'!$C25,RoadTra_BY!$C$2:$C$999,'Road transport'!$AX25)</f>
        <v>#DIV/0!</v>
      </c>
      <c r="AX25" t="s">
        <v>102</v>
      </c>
    </row>
    <row r="26" spans="3:50">
      <c r="C26" t="s">
        <v>52</v>
      </c>
      <c r="D26" s="7">
        <f>AVERAGEIFS(RoadTra_BY!L$2:L$999,RoadTra_BY!$B$2:$B$999,'Road transport'!$C26,RoadTra_BY!$C$2:$C$999,'Road transport'!$AX26)</f>
        <v>12</v>
      </c>
      <c r="E26" s="7">
        <f>AVERAGEIFS(RoadTra_BY!M$2:M$999,RoadTra_BY!$B$2:$B$999,'Road transport'!$C26,RoadTra_BY!$C$2:$C$999,'Road transport'!$AX26)</f>
        <v>12</v>
      </c>
      <c r="F26" s="7">
        <f>AVERAGEIFS(RoadTra_BY!N$2:N$999,RoadTra_BY!$B$2:$B$999,'Road transport'!$C26,RoadTra_BY!$C$2:$C$999,'Road transport'!$AX26)</f>
        <v>12</v>
      </c>
      <c r="G26" s="7">
        <f>AVERAGEIFS(RoadTra_BY!O$2:O$999,RoadTra_BY!$B$2:$B$999,'Road transport'!$C26,RoadTra_BY!$C$2:$C$999,'Road transport'!$AX26)</f>
        <v>12</v>
      </c>
      <c r="H26" s="7">
        <f>AVERAGEIFS(RoadTra_BY!P$2:P$999,RoadTra_BY!$B$2:$B$999,'Road transport'!$C26,RoadTra_BY!$C$2:$C$999,'Road transport'!$AX26)</f>
        <v>12</v>
      </c>
      <c r="I26" s="7">
        <f>AVERAGEIFS(RoadTra_BY!Q$2:Q$999,RoadTra_BY!$B$2:$B$999,'Road transport'!$C26,RoadTra_BY!$C$2:$C$999,'Road transport'!$AX26)</f>
        <v>12</v>
      </c>
      <c r="J26" s="7">
        <f>AVERAGEIFS(RoadTra_BY!R$2:R$999,RoadTra_BY!$B$2:$B$999,'Road transport'!$C26,RoadTra_BY!$C$2:$C$999,'Road transport'!$AX26)</f>
        <v>12</v>
      </c>
      <c r="K26" s="7">
        <f>AVERAGEIFS(RoadTra_BY!S$2:S$999,RoadTra_BY!$B$2:$B$999,'Road transport'!$C26,RoadTra_BY!$C$2:$C$999,'Road transport'!$AX26)</f>
        <v>8</v>
      </c>
      <c r="L26" s="7">
        <f>AVERAGEIFS(RoadTra_BY!T$2:T$999,RoadTra_BY!$B$2:$B$999,'Road transport'!$C26,RoadTra_BY!$C$2:$C$999,'Road transport'!$AX26)</f>
        <v>12</v>
      </c>
      <c r="M26" s="7">
        <f>AVERAGEIFS(RoadTra_BY!U$2:U$999,RoadTra_BY!$B$2:$B$999,'Road transport'!$C26,RoadTra_BY!$C$2:$C$999,'Road transport'!$AX26)</f>
        <v>12</v>
      </c>
      <c r="N26" s="7">
        <f>AVERAGEIFS(RoadTra_BY!V$2:V$999,RoadTra_BY!$B$2:$B$999,'Road transport'!$C26,RoadTra_BY!$C$2:$C$999,'Road transport'!$AX26)</f>
        <v>12</v>
      </c>
      <c r="O26" s="7">
        <f>AVERAGEIFS(RoadTra_BY!W$2:W$999,RoadTra_BY!$B$2:$B$999,'Road transport'!$C26,RoadTra_BY!$C$2:$C$999,'Road transport'!$AX26)</f>
        <v>12</v>
      </c>
      <c r="P26" s="7">
        <f>AVERAGEIFS(RoadTra_BY!X$2:X$999,RoadTra_BY!$B$2:$B$999,'Road transport'!$C26,RoadTra_BY!$C$2:$C$999,'Road transport'!$AX26)</f>
        <v>12</v>
      </c>
      <c r="Q26" s="7">
        <f>AVERAGEIFS(RoadTra_BY!Y$2:Y$999,RoadTra_BY!$B$2:$B$999,'Road transport'!$C26,RoadTra_BY!$C$2:$C$999,'Road transport'!$AX26)</f>
        <v>12</v>
      </c>
      <c r="R26" s="7">
        <f>AVERAGEIFS(RoadTra_BY!Z$2:Z$999,RoadTra_BY!$B$2:$B$999,'Road transport'!$C26,RoadTra_BY!$C$2:$C$999,'Road transport'!$AX26)</f>
        <v>12</v>
      </c>
      <c r="S26" s="7">
        <f>AVERAGEIFS(RoadTra_BY!AA$2:AA$999,RoadTra_BY!$B$2:$B$999,'Road transport'!$C26,RoadTra_BY!$C$2:$C$999,'Road transport'!$AX26)</f>
        <v>12</v>
      </c>
      <c r="T26" s="7">
        <f>AVERAGEIFS(RoadTra_BY!AB$2:AB$999,RoadTra_BY!$B$2:$B$999,'Road transport'!$C26,RoadTra_BY!$C$2:$C$999,'Road transport'!$AX26)</f>
        <v>12</v>
      </c>
      <c r="U26" s="7">
        <f>AVERAGEIFS(RoadTra_BY!AC$2:AC$999,RoadTra_BY!$B$2:$B$999,'Road transport'!$C26,RoadTra_BY!$C$2:$C$999,'Road transport'!$AX26)</f>
        <v>12</v>
      </c>
      <c r="V26" s="7">
        <f>AVERAGEIFS(RoadTra_BY!AD$2:AD$999,RoadTra_BY!$B$2:$B$999,'Road transport'!$C26,RoadTra_BY!$C$2:$C$999,'Road transport'!$AX26)</f>
        <v>12</v>
      </c>
      <c r="W26" s="7">
        <f>AVERAGEIFS(RoadTra_BY!AE$2:AE$999,RoadTra_BY!$B$2:$B$999,'Road transport'!$C26,RoadTra_BY!$C$2:$C$999,'Road transport'!$AX26)</f>
        <v>12</v>
      </c>
      <c r="X26" s="7">
        <f>AVERAGEIFS(RoadTra_BY!AF$2:AF$999,RoadTra_BY!$B$2:$B$999,'Road transport'!$C26,RoadTra_BY!$C$2:$C$999,'Road transport'!$AX26)</f>
        <v>12</v>
      </c>
      <c r="Y26" s="7">
        <f>AVERAGEIFS(RoadTra_BY!AG$2:AG$999,RoadTra_BY!$B$2:$B$999,'Road transport'!$C26,RoadTra_BY!$C$2:$C$999,'Road transport'!$AX26)</f>
        <v>18</v>
      </c>
      <c r="Z26" s="7">
        <f>AVERAGEIFS(RoadTra_BY!AH$2:AH$999,RoadTra_BY!$B$2:$B$999,'Road transport'!$C26,RoadTra_BY!$C$2:$C$999,'Road transport'!$AX26)</f>
        <v>12</v>
      </c>
      <c r="AA26" s="7">
        <f>AVERAGEIFS(RoadTra_BY!AI$2:AI$999,RoadTra_BY!$B$2:$B$999,'Road transport'!$C26,RoadTra_BY!$C$2:$C$999,'Road transport'!$AX26)</f>
        <v>12</v>
      </c>
      <c r="AB26" s="7">
        <f>AVERAGEIFS(RoadTra_BY!AJ$2:AJ$999,RoadTra_BY!$B$2:$B$999,'Road transport'!$C26,RoadTra_BY!$C$2:$C$999,'Road transport'!$AX26)</f>
        <v>12</v>
      </c>
      <c r="AC26" s="7">
        <f>AVERAGEIFS(RoadTra_BY!AK$2:AK$999,RoadTra_BY!$B$2:$B$999,'Road transport'!$C26,RoadTra_BY!$C$2:$C$999,'Road transport'!$AX26)</f>
        <v>12</v>
      </c>
      <c r="AD26" s="7">
        <f>AVERAGEIFS(RoadTra_BY!AL$2:AL$999,RoadTra_BY!$B$2:$B$999,'Road transport'!$C26,RoadTra_BY!$C$2:$C$999,'Road transport'!$AX26)</f>
        <v>12</v>
      </c>
      <c r="AE26" s="7">
        <f>AVERAGEIFS(RoadTra_BY!AM$2:AM$999,RoadTra_BY!$B$2:$B$999,'Road transport'!$C26,RoadTra_BY!$C$2:$C$999,'Road transport'!$AX26)</f>
        <v>12</v>
      </c>
      <c r="AF26" s="7">
        <f>AVERAGEIFS(RoadTra_BY!AN$2:AN$999,RoadTra_BY!$B$2:$B$999,'Road transport'!$C26,RoadTra_BY!$C$2:$C$999,'Road transport'!$AX26)</f>
        <v>12</v>
      </c>
      <c r="AG26" s="7">
        <f>AVERAGEIFS(RoadTra_BY!AO$2:AO$999,RoadTra_BY!$B$2:$B$999,'Road transport'!$C26,RoadTra_BY!$C$2:$C$999,'Road transport'!$AX26)</f>
        <v>12</v>
      </c>
      <c r="AH26" s="7">
        <f>AVERAGEIFS(RoadTra_BY!AP$2:AP$999,RoadTra_BY!$B$2:$B$999,'Road transport'!$C26,RoadTra_BY!$C$2:$C$999,'Road transport'!$AX26)</f>
        <v>12</v>
      </c>
      <c r="AI26" s="7">
        <f>AVERAGEIFS(RoadTra_BY!AQ$2:AQ$999,RoadTra_BY!$B$2:$B$999,'Road transport'!$C26,RoadTra_BY!$C$2:$C$999,'Road transport'!$AX26)</f>
        <v>12</v>
      </c>
      <c r="AJ26" s="7">
        <f>AVERAGEIFS(RoadTra_BY!AR$2:AR$999,RoadTra_BY!$B$2:$B$999,'Road transport'!$C26,RoadTra_BY!$C$2:$C$999,'Road transport'!$AX26)</f>
        <v>12</v>
      </c>
      <c r="AK26" s="7">
        <f>AVERAGEIFS(RoadTra_BY!AS$2:AS$999,RoadTra_BY!$B$2:$B$999,'Road transport'!$C26,RoadTra_BY!$C$2:$C$999,'Road transport'!$AX26)</f>
        <v>12</v>
      </c>
      <c r="AL26" s="7">
        <f>AVERAGEIFS(RoadTra_BY!AT$2:AT$999,RoadTra_BY!$B$2:$B$999,'Road transport'!$C26,RoadTra_BY!$C$2:$C$999,'Road transport'!$AX26)</f>
        <v>12</v>
      </c>
      <c r="AM26" s="7" t="e">
        <f>AVERAGEIFS(RoadTra_BY!AU$2:AU$999,RoadTra_BY!$B$2:$B$999,'Road transport'!$C26,RoadTra_BY!$C$2:$C$999,'Road transport'!$AX26)</f>
        <v>#DIV/0!</v>
      </c>
      <c r="AN26" s="7" t="e">
        <f>AVERAGEIFS(RoadTra_BY!AV$2:AV$999,RoadTra_BY!$B$2:$B$999,'Road transport'!$C26,RoadTra_BY!$C$2:$C$999,'Road transport'!$AX26)</f>
        <v>#DIV/0!</v>
      </c>
      <c r="AO26" s="7" t="e">
        <f>AVERAGEIFS(RoadTra_BY!AW$2:AW$999,RoadTra_BY!$B$2:$B$999,'Road transport'!$C26,RoadTra_BY!$C$2:$C$999,'Road transport'!$AX26)</f>
        <v>#DIV/0!</v>
      </c>
      <c r="AP26" s="7" t="e">
        <f>AVERAGEIFS(RoadTra_BY!AX$2:AX$999,RoadTra_BY!$B$2:$B$999,'Road transport'!$C26,RoadTra_BY!$C$2:$C$999,'Road transport'!$AX26)</f>
        <v>#DIV/0!</v>
      </c>
      <c r="AQ26" s="7" t="e">
        <f>AVERAGEIFS(RoadTra_BY!AY$2:AY$999,RoadTra_BY!$B$2:$B$999,'Road transport'!$C26,RoadTra_BY!$C$2:$C$999,'Road transport'!$AX26)</f>
        <v>#DIV/0!</v>
      </c>
      <c r="AR26" s="7" t="e">
        <f>AVERAGEIFS(RoadTra_BY!AZ$2:AZ$999,RoadTra_BY!$B$2:$B$999,'Road transport'!$C26,RoadTra_BY!$C$2:$C$999,'Road transport'!$AX26)</f>
        <v>#DIV/0!</v>
      </c>
      <c r="AS26" s="7" t="e">
        <f>AVERAGEIFS(RoadTra_BY!BA$2:BA$999,RoadTra_BY!$B$2:$B$999,'Road transport'!$C26,RoadTra_BY!$C$2:$C$999,'Road transport'!$AX26)</f>
        <v>#DIV/0!</v>
      </c>
      <c r="AT26" s="7" t="e">
        <f>AVERAGEIFS(RoadTra_BY!BB$2:BB$999,RoadTra_BY!$B$2:$B$999,'Road transport'!$C26,RoadTra_BY!$C$2:$C$999,'Road transport'!$AX26)</f>
        <v>#DIV/0!</v>
      </c>
      <c r="AU26" s="7" t="e">
        <f>AVERAGEIFS(RoadTra_BY!BC$2:BC$999,RoadTra_BY!$B$2:$B$999,'Road transport'!$C26,RoadTra_BY!$C$2:$C$999,'Road transport'!$AX26)</f>
        <v>#DIV/0!</v>
      </c>
      <c r="AV26" s="7" t="e">
        <f>AVERAGEIFS(RoadTra_BY!BD$2:BD$999,RoadTra_BY!$B$2:$B$999,'Road transport'!$C26,RoadTra_BY!$C$2:$C$999,'Road transport'!$AX26)</f>
        <v>#DIV/0!</v>
      </c>
      <c r="AW26" s="7" t="e">
        <f>AVERAGEIFS(RoadTra_BY!BE$2:BE$999,RoadTra_BY!$B$2:$B$999,'Road transport'!$C26,RoadTra_BY!$C$2:$C$999,'Road transport'!$AX26)</f>
        <v>#DIV/0!</v>
      </c>
      <c r="AX26" t="s">
        <v>103</v>
      </c>
    </row>
    <row r="27" spans="3:50">
      <c r="C27" t="s">
        <v>52</v>
      </c>
      <c r="D27" s="7">
        <f>AVERAGEIFS(RoadTra_BY!L$2:L$999,RoadTra_BY!$B$2:$B$999,'Road transport'!$C27,RoadTra_BY!$C$2:$C$999,'Road transport'!$AX27)</f>
        <v>100</v>
      </c>
      <c r="E27" s="7">
        <f>AVERAGEIFS(RoadTra_BY!M$2:M$999,RoadTra_BY!$B$2:$B$999,'Road transport'!$C27,RoadTra_BY!$C$2:$C$999,'Road transport'!$AX27)</f>
        <v>100</v>
      </c>
      <c r="F27" s="7">
        <f>AVERAGEIFS(RoadTra_BY!N$2:N$999,RoadTra_BY!$B$2:$B$999,'Road transport'!$C27,RoadTra_BY!$C$2:$C$999,'Road transport'!$AX27)</f>
        <v>100</v>
      </c>
      <c r="G27" s="7">
        <f>AVERAGEIFS(RoadTra_BY!O$2:O$999,RoadTra_BY!$B$2:$B$999,'Road transport'!$C27,RoadTra_BY!$C$2:$C$999,'Road transport'!$AX27)</f>
        <v>100</v>
      </c>
      <c r="H27" s="7">
        <f>AVERAGEIFS(RoadTra_BY!P$2:P$999,RoadTra_BY!$B$2:$B$999,'Road transport'!$C27,RoadTra_BY!$C$2:$C$999,'Road transport'!$AX27)</f>
        <v>100</v>
      </c>
      <c r="I27" s="7">
        <f>AVERAGEIFS(RoadTra_BY!Q$2:Q$999,RoadTra_BY!$B$2:$B$999,'Road transport'!$C27,RoadTra_BY!$C$2:$C$999,'Road transport'!$AX27)</f>
        <v>100</v>
      </c>
      <c r="J27" s="7">
        <f>AVERAGEIFS(RoadTra_BY!R$2:R$999,RoadTra_BY!$B$2:$B$999,'Road transport'!$C27,RoadTra_BY!$C$2:$C$999,'Road transport'!$AX27)</f>
        <v>100</v>
      </c>
      <c r="K27" s="7">
        <f>AVERAGEIFS(RoadTra_BY!S$2:S$999,RoadTra_BY!$B$2:$B$999,'Road transport'!$C27,RoadTra_BY!$C$2:$C$999,'Road transport'!$AX27)</f>
        <v>100</v>
      </c>
      <c r="L27" s="7">
        <f>AVERAGEIFS(RoadTra_BY!T$2:T$999,RoadTra_BY!$B$2:$B$999,'Road transport'!$C27,RoadTra_BY!$C$2:$C$999,'Road transport'!$AX27)</f>
        <v>100</v>
      </c>
      <c r="M27" s="7">
        <f>AVERAGEIFS(RoadTra_BY!U$2:U$999,RoadTra_BY!$B$2:$B$999,'Road transport'!$C27,RoadTra_BY!$C$2:$C$999,'Road transport'!$AX27)</f>
        <v>100</v>
      </c>
      <c r="N27" s="7">
        <f>AVERAGEIFS(RoadTra_BY!V$2:V$999,RoadTra_BY!$B$2:$B$999,'Road transport'!$C27,RoadTra_BY!$C$2:$C$999,'Road transport'!$AX27)</f>
        <v>100</v>
      </c>
      <c r="O27" s="7">
        <f>AVERAGEIFS(RoadTra_BY!W$2:W$999,RoadTra_BY!$B$2:$B$999,'Road transport'!$C27,RoadTra_BY!$C$2:$C$999,'Road transport'!$AX27)</f>
        <v>100</v>
      </c>
      <c r="P27" s="7">
        <f>AVERAGEIFS(RoadTra_BY!X$2:X$999,RoadTra_BY!$B$2:$B$999,'Road transport'!$C27,RoadTra_BY!$C$2:$C$999,'Road transport'!$AX27)</f>
        <v>100</v>
      </c>
      <c r="Q27" s="7">
        <f>AVERAGEIFS(RoadTra_BY!Y$2:Y$999,RoadTra_BY!$B$2:$B$999,'Road transport'!$C27,RoadTra_BY!$C$2:$C$999,'Road transport'!$AX27)</f>
        <v>100</v>
      </c>
      <c r="R27" s="7">
        <f>AVERAGEIFS(RoadTra_BY!Z$2:Z$999,RoadTra_BY!$B$2:$B$999,'Road transport'!$C27,RoadTra_BY!$C$2:$C$999,'Road transport'!$AX27)</f>
        <v>100</v>
      </c>
      <c r="S27" s="7">
        <f>AVERAGEIFS(RoadTra_BY!AA$2:AA$999,RoadTra_BY!$B$2:$B$999,'Road transport'!$C27,RoadTra_BY!$C$2:$C$999,'Road transport'!$AX27)</f>
        <v>100</v>
      </c>
      <c r="T27" s="7">
        <f>AVERAGEIFS(RoadTra_BY!AB$2:AB$999,RoadTra_BY!$B$2:$B$999,'Road transport'!$C27,RoadTra_BY!$C$2:$C$999,'Road transport'!$AX27)</f>
        <v>100</v>
      </c>
      <c r="U27" s="7">
        <f>AVERAGEIFS(RoadTra_BY!AC$2:AC$999,RoadTra_BY!$B$2:$B$999,'Road transport'!$C27,RoadTra_BY!$C$2:$C$999,'Road transport'!$AX27)</f>
        <v>100</v>
      </c>
      <c r="V27" s="7">
        <f>AVERAGEIFS(RoadTra_BY!AD$2:AD$999,RoadTra_BY!$B$2:$B$999,'Road transport'!$C27,RoadTra_BY!$C$2:$C$999,'Road transport'!$AX27)</f>
        <v>100</v>
      </c>
      <c r="W27" s="7">
        <f>AVERAGEIFS(RoadTra_BY!AE$2:AE$999,RoadTra_BY!$B$2:$B$999,'Road transport'!$C27,RoadTra_BY!$C$2:$C$999,'Road transport'!$AX27)</f>
        <v>100</v>
      </c>
      <c r="X27" s="7">
        <f>AVERAGEIFS(RoadTra_BY!AF$2:AF$999,RoadTra_BY!$B$2:$B$999,'Road transport'!$C27,RoadTra_BY!$C$2:$C$999,'Road transport'!$AX27)</f>
        <v>100</v>
      </c>
      <c r="Y27" s="7">
        <f>AVERAGEIFS(RoadTra_BY!AG$2:AG$999,RoadTra_BY!$B$2:$B$999,'Road transport'!$C27,RoadTra_BY!$C$2:$C$999,'Road transport'!$AX27)</f>
        <v>100</v>
      </c>
      <c r="Z27" s="7">
        <f>AVERAGEIFS(RoadTra_BY!AH$2:AH$999,RoadTra_BY!$B$2:$B$999,'Road transport'!$C27,RoadTra_BY!$C$2:$C$999,'Road transport'!$AX27)</f>
        <v>100</v>
      </c>
      <c r="AA27" s="7">
        <f>AVERAGEIFS(RoadTra_BY!AI$2:AI$999,RoadTra_BY!$B$2:$B$999,'Road transport'!$C27,RoadTra_BY!$C$2:$C$999,'Road transport'!$AX27)</f>
        <v>100</v>
      </c>
      <c r="AB27" s="7">
        <f>AVERAGEIFS(RoadTra_BY!AJ$2:AJ$999,RoadTra_BY!$B$2:$B$999,'Road transport'!$C27,RoadTra_BY!$C$2:$C$999,'Road transport'!$AX27)</f>
        <v>100</v>
      </c>
      <c r="AC27" s="7">
        <f>AVERAGEIFS(RoadTra_BY!AK$2:AK$999,RoadTra_BY!$B$2:$B$999,'Road transport'!$C27,RoadTra_BY!$C$2:$C$999,'Road transport'!$AX27)</f>
        <v>100</v>
      </c>
      <c r="AD27" s="7">
        <f>AVERAGEIFS(RoadTra_BY!AL$2:AL$999,RoadTra_BY!$B$2:$B$999,'Road transport'!$C27,RoadTra_BY!$C$2:$C$999,'Road transport'!$AX27)</f>
        <v>100</v>
      </c>
      <c r="AE27" s="7">
        <f>AVERAGEIFS(RoadTra_BY!AM$2:AM$999,RoadTra_BY!$B$2:$B$999,'Road transport'!$C27,RoadTra_BY!$C$2:$C$999,'Road transport'!$AX27)</f>
        <v>100</v>
      </c>
      <c r="AF27" s="7">
        <f>AVERAGEIFS(RoadTra_BY!AN$2:AN$999,RoadTra_BY!$B$2:$B$999,'Road transport'!$C27,RoadTra_BY!$C$2:$C$999,'Road transport'!$AX27)</f>
        <v>35</v>
      </c>
      <c r="AG27" s="7">
        <f>AVERAGEIFS(RoadTra_BY!AO$2:AO$999,RoadTra_BY!$B$2:$B$999,'Road transport'!$C27,RoadTra_BY!$C$2:$C$999,'Road transport'!$AX27)</f>
        <v>100</v>
      </c>
      <c r="AH27" s="7">
        <f>AVERAGEIFS(RoadTra_BY!AP$2:AP$999,RoadTra_BY!$B$2:$B$999,'Road transport'!$C27,RoadTra_BY!$C$2:$C$999,'Road transport'!$AX27)</f>
        <v>100</v>
      </c>
      <c r="AI27" s="7">
        <f>AVERAGEIFS(RoadTra_BY!AQ$2:AQ$999,RoadTra_BY!$B$2:$B$999,'Road transport'!$C27,RoadTra_BY!$C$2:$C$999,'Road transport'!$AX27)</f>
        <v>100</v>
      </c>
      <c r="AJ27" s="7">
        <f>AVERAGEIFS(RoadTra_BY!AR$2:AR$999,RoadTra_BY!$B$2:$B$999,'Road transport'!$C27,RoadTra_BY!$C$2:$C$999,'Road transport'!$AX27)</f>
        <v>100</v>
      </c>
      <c r="AK27" s="7">
        <f>AVERAGEIFS(RoadTra_BY!AS$2:AS$999,RoadTra_BY!$B$2:$B$999,'Road transport'!$C27,RoadTra_BY!$C$2:$C$999,'Road transport'!$AX27)</f>
        <v>100</v>
      </c>
      <c r="AL27" s="7">
        <f>AVERAGEIFS(RoadTra_BY!AT$2:AT$999,RoadTra_BY!$B$2:$B$999,'Road transport'!$C27,RoadTra_BY!$C$2:$C$999,'Road transport'!$AX27)</f>
        <v>35</v>
      </c>
      <c r="AM27" s="7" t="e">
        <f>AVERAGEIFS(RoadTra_BY!AU$2:AU$999,RoadTra_BY!$B$2:$B$999,'Road transport'!$C27,RoadTra_BY!$C$2:$C$999,'Road transport'!$AX27)</f>
        <v>#DIV/0!</v>
      </c>
      <c r="AN27" s="7" t="e">
        <f>AVERAGEIFS(RoadTra_BY!AV$2:AV$999,RoadTra_BY!$B$2:$B$999,'Road transport'!$C27,RoadTra_BY!$C$2:$C$999,'Road transport'!$AX27)</f>
        <v>#DIV/0!</v>
      </c>
      <c r="AO27" s="7" t="e">
        <f>AVERAGEIFS(RoadTra_BY!AW$2:AW$999,RoadTra_BY!$B$2:$B$999,'Road transport'!$C27,RoadTra_BY!$C$2:$C$999,'Road transport'!$AX27)</f>
        <v>#DIV/0!</v>
      </c>
      <c r="AP27" s="7" t="e">
        <f>AVERAGEIFS(RoadTra_BY!AX$2:AX$999,RoadTra_BY!$B$2:$B$999,'Road transport'!$C27,RoadTra_BY!$C$2:$C$999,'Road transport'!$AX27)</f>
        <v>#DIV/0!</v>
      </c>
      <c r="AQ27" s="7" t="e">
        <f>AVERAGEIFS(RoadTra_BY!AY$2:AY$999,RoadTra_BY!$B$2:$B$999,'Road transport'!$C27,RoadTra_BY!$C$2:$C$999,'Road transport'!$AX27)</f>
        <v>#DIV/0!</v>
      </c>
      <c r="AR27" s="7" t="e">
        <f>AVERAGEIFS(RoadTra_BY!AZ$2:AZ$999,RoadTra_BY!$B$2:$B$999,'Road transport'!$C27,RoadTra_BY!$C$2:$C$999,'Road transport'!$AX27)</f>
        <v>#DIV/0!</v>
      </c>
      <c r="AS27" s="7" t="e">
        <f>AVERAGEIFS(RoadTra_BY!BA$2:BA$999,RoadTra_BY!$B$2:$B$999,'Road transport'!$C27,RoadTra_BY!$C$2:$C$999,'Road transport'!$AX27)</f>
        <v>#DIV/0!</v>
      </c>
      <c r="AT27" s="7" t="e">
        <f>AVERAGEIFS(RoadTra_BY!BB$2:BB$999,RoadTra_BY!$B$2:$B$999,'Road transport'!$C27,RoadTra_BY!$C$2:$C$999,'Road transport'!$AX27)</f>
        <v>#DIV/0!</v>
      </c>
      <c r="AU27" s="7" t="e">
        <f>AVERAGEIFS(RoadTra_BY!BC$2:BC$999,RoadTra_BY!$B$2:$B$999,'Road transport'!$C27,RoadTra_BY!$C$2:$C$999,'Road transport'!$AX27)</f>
        <v>#DIV/0!</v>
      </c>
      <c r="AV27" s="7" t="e">
        <f>AVERAGEIFS(RoadTra_BY!BD$2:BD$999,RoadTra_BY!$B$2:$B$999,'Road transport'!$C27,RoadTra_BY!$C$2:$C$999,'Road transport'!$AX27)</f>
        <v>#DIV/0!</v>
      </c>
      <c r="AW27" s="7" t="e">
        <f>AVERAGEIFS(RoadTra_BY!BE$2:BE$999,RoadTra_BY!$B$2:$B$999,'Road transport'!$C27,RoadTra_BY!$C$2:$C$999,'Road transport'!$AX27)</f>
        <v>#DIV/0!</v>
      </c>
      <c r="AX27" t="s">
        <v>104</v>
      </c>
    </row>
    <row r="28" spans="3:50">
      <c r="C28" t="s">
        <v>52</v>
      </c>
      <c r="D28" s="7">
        <f>AVERAGEIFS(RoadTra_BY!L$2:L$999,RoadTra_BY!$B$2:$B$999,'Road transport'!$C28,RoadTra_BY!$C$2:$C$999,'Road transport'!$AX28)</f>
        <v>40</v>
      </c>
      <c r="E28" s="7">
        <f>AVERAGEIFS(RoadTra_BY!M$2:M$999,RoadTra_BY!$B$2:$B$999,'Road transport'!$C28,RoadTra_BY!$C$2:$C$999,'Road transport'!$AX28)</f>
        <v>40</v>
      </c>
      <c r="F28" s="7">
        <f>AVERAGEIFS(RoadTra_BY!N$2:N$999,RoadTra_BY!$B$2:$B$999,'Road transport'!$C28,RoadTra_BY!$C$2:$C$999,'Road transport'!$AX28)</f>
        <v>40</v>
      </c>
      <c r="G28" s="7">
        <f>AVERAGEIFS(RoadTra_BY!O$2:O$999,RoadTra_BY!$B$2:$B$999,'Road transport'!$C28,RoadTra_BY!$C$2:$C$999,'Road transport'!$AX28)</f>
        <v>40</v>
      </c>
      <c r="H28" s="7">
        <f>AVERAGEIFS(RoadTra_BY!P$2:P$999,RoadTra_BY!$B$2:$B$999,'Road transport'!$C28,RoadTra_BY!$C$2:$C$999,'Road transport'!$AX28)</f>
        <v>40</v>
      </c>
      <c r="I28" s="7">
        <f>AVERAGEIFS(RoadTra_BY!Q$2:Q$999,RoadTra_BY!$B$2:$B$999,'Road transport'!$C28,RoadTra_BY!$C$2:$C$999,'Road transport'!$AX28)</f>
        <v>40</v>
      </c>
      <c r="J28" s="7">
        <f>AVERAGEIFS(RoadTra_BY!R$2:R$999,RoadTra_BY!$B$2:$B$999,'Road transport'!$C28,RoadTra_BY!$C$2:$C$999,'Road transport'!$AX28)</f>
        <v>40</v>
      </c>
      <c r="K28" s="7">
        <f>AVERAGEIFS(RoadTra_BY!S$2:S$999,RoadTra_BY!$B$2:$B$999,'Road transport'!$C28,RoadTra_BY!$C$2:$C$999,'Road transport'!$AX28)</f>
        <v>40</v>
      </c>
      <c r="L28" s="7">
        <f>AVERAGEIFS(RoadTra_BY!T$2:T$999,RoadTra_BY!$B$2:$B$999,'Road transport'!$C28,RoadTra_BY!$C$2:$C$999,'Road transport'!$AX28)</f>
        <v>40</v>
      </c>
      <c r="M28" s="7">
        <f>AVERAGEIFS(RoadTra_BY!U$2:U$999,RoadTra_BY!$B$2:$B$999,'Road transport'!$C28,RoadTra_BY!$C$2:$C$999,'Road transport'!$AX28)</f>
        <v>40</v>
      </c>
      <c r="N28" s="7">
        <f>AVERAGEIFS(RoadTra_BY!V$2:V$999,RoadTra_BY!$B$2:$B$999,'Road transport'!$C28,RoadTra_BY!$C$2:$C$999,'Road transport'!$AX28)</f>
        <v>40</v>
      </c>
      <c r="O28" s="7">
        <f>AVERAGEIFS(RoadTra_BY!W$2:W$999,RoadTra_BY!$B$2:$B$999,'Road transport'!$C28,RoadTra_BY!$C$2:$C$999,'Road transport'!$AX28)</f>
        <v>40</v>
      </c>
      <c r="P28" s="7">
        <f>AVERAGEIFS(RoadTra_BY!X$2:X$999,RoadTra_BY!$B$2:$B$999,'Road transport'!$C28,RoadTra_BY!$C$2:$C$999,'Road transport'!$AX28)</f>
        <v>40</v>
      </c>
      <c r="Q28" s="7">
        <f>AVERAGEIFS(RoadTra_BY!Y$2:Y$999,RoadTra_BY!$B$2:$B$999,'Road transport'!$C28,RoadTra_BY!$C$2:$C$999,'Road transport'!$AX28)</f>
        <v>40</v>
      </c>
      <c r="R28" s="7">
        <f>AVERAGEIFS(RoadTra_BY!Z$2:Z$999,RoadTra_BY!$B$2:$B$999,'Road transport'!$C28,RoadTra_BY!$C$2:$C$999,'Road transport'!$AX28)</f>
        <v>40</v>
      </c>
      <c r="S28" s="7">
        <f>AVERAGEIFS(RoadTra_BY!AA$2:AA$999,RoadTra_BY!$B$2:$B$999,'Road transport'!$C28,RoadTra_BY!$C$2:$C$999,'Road transport'!$AX28)</f>
        <v>40</v>
      </c>
      <c r="T28" s="7">
        <f>AVERAGEIFS(RoadTra_BY!AB$2:AB$999,RoadTra_BY!$B$2:$B$999,'Road transport'!$C28,RoadTra_BY!$C$2:$C$999,'Road transport'!$AX28)</f>
        <v>40</v>
      </c>
      <c r="U28" s="7">
        <f>AVERAGEIFS(RoadTra_BY!AC$2:AC$999,RoadTra_BY!$B$2:$B$999,'Road transport'!$C28,RoadTra_BY!$C$2:$C$999,'Road transport'!$AX28)</f>
        <v>40</v>
      </c>
      <c r="V28" s="7">
        <f>AVERAGEIFS(RoadTra_BY!AD$2:AD$999,RoadTra_BY!$B$2:$B$999,'Road transport'!$C28,RoadTra_BY!$C$2:$C$999,'Road transport'!$AX28)</f>
        <v>40</v>
      </c>
      <c r="W28" s="7">
        <f>AVERAGEIFS(RoadTra_BY!AE$2:AE$999,RoadTra_BY!$B$2:$B$999,'Road transport'!$C28,RoadTra_BY!$C$2:$C$999,'Road transport'!$AX28)</f>
        <v>40</v>
      </c>
      <c r="X28" s="7">
        <f>AVERAGEIFS(RoadTra_BY!AF$2:AF$999,RoadTra_BY!$B$2:$B$999,'Road transport'!$C28,RoadTra_BY!$C$2:$C$999,'Road transport'!$AX28)</f>
        <v>40</v>
      </c>
      <c r="Y28" s="7">
        <f>AVERAGEIFS(RoadTra_BY!AG$2:AG$999,RoadTra_BY!$B$2:$B$999,'Road transport'!$C28,RoadTra_BY!$C$2:$C$999,'Road transport'!$AX28)</f>
        <v>40</v>
      </c>
      <c r="Z28" s="7">
        <f>AVERAGEIFS(RoadTra_BY!AH$2:AH$999,RoadTra_BY!$B$2:$B$999,'Road transport'!$C28,RoadTra_BY!$C$2:$C$999,'Road transport'!$AX28)</f>
        <v>40</v>
      </c>
      <c r="AA28" s="7">
        <f>AVERAGEIFS(RoadTra_BY!AI$2:AI$999,RoadTra_BY!$B$2:$B$999,'Road transport'!$C28,RoadTra_BY!$C$2:$C$999,'Road transport'!$AX28)</f>
        <v>40</v>
      </c>
      <c r="AB28" s="7">
        <f>AVERAGEIFS(RoadTra_BY!AJ$2:AJ$999,RoadTra_BY!$B$2:$B$999,'Road transport'!$C28,RoadTra_BY!$C$2:$C$999,'Road transport'!$AX28)</f>
        <v>40</v>
      </c>
      <c r="AC28" s="7">
        <f>AVERAGEIFS(RoadTra_BY!AK$2:AK$999,RoadTra_BY!$B$2:$B$999,'Road transport'!$C28,RoadTra_BY!$C$2:$C$999,'Road transport'!$AX28)</f>
        <v>40</v>
      </c>
      <c r="AD28" s="7">
        <f>AVERAGEIFS(RoadTra_BY!AL$2:AL$999,RoadTra_BY!$B$2:$B$999,'Road transport'!$C28,RoadTra_BY!$C$2:$C$999,'Road transport'!$AX28)</f>
        <v>40</v>
      </c>
      <c r="AE28" s="7">
        <f>AVERAGEIFS(RoadTra_BY!AM$2:AM$999,RoadTra_BY!$B$2:$B$999,'Road transport'!$C28,RoadTra_BY!$C$2:$C$999,'Road transport'!$AX28)</f>
        <v>40</v>
      </c>
      <c r="AF28" s="7">
        <f>AVERAGEIFS(RoadTra_BY!AN$2:AN$999,RoadTra_BY!$B$2:$B$999,'Road transport'!$C28,RoadTra_BY!$C$2:$C$999,'Road transport'!$AX28)</f>
        <v>25</v>
      </c>
      <c r="AG28" s="7">
        <f>AVERAGEIFS(RoadTra_BY!AO$2:AO$999,RoadTra_BY!$B$2:$B$999,'Road transport'!$C28,RoadTra_BY!$C$2:$C$999,'Road transport'!$AX28)</f>
        <v>40</v>
      </c>
      <c r="AH28" s="7">
        <f>AVERAGEIFS(RoadTra_BY!AP$2:AP$999,RoadTra_BY!$B$2:$B$999,'Road transport'!$C28,RoadTra_BY!$C$2:$C$999,'Road transport'!$AX28)</f>
        <v>40</v>
      </c>
      <c r="AI28" s="7">
        <f>AVERAGEIFS(RoadTra_BY!AQ$2:AQ$999,RoadTra_BY!$B$2:$B$999,'Road transport'!$C28,RoadTra_BY!$C$2:$C$999,'Road transport'!$AX28)</f>
        <v>40</v>
      </c>
      <c r="AJ28" s="7">
        <f>AVERAGEIFS(RoadTra_BY!AR$2:AR$999,RoadTra_BY!$B$2:$B$999,'Road transport'!$C28,RoadTra_BY!$C$2:$C$999,'Road transport'!$AX28)</f>
        <v>40</v>
      </c>
      <c r="AK28" s="7">
        <f>AVERAGEIFS(RoadTra_BY!AS$2:AS$999,RoadTra_BY!$B$2:$B$999,'Road transport'!$C28,RoadTra_BY!$C$2:$C$999,'Road transport'!$AX28)</f>
        <v>40</v>
      </c>
      <c r="AL28" s="7">
        <f>AVERAGEIFS(RoadTra_BY!AT$2:AT$999,RoadTra_BY!$B$2:$B$999,'Road transport'!$C28,RoadTra_BY!$C$2:$C$999,'Road transport'!$AX28)</f>
        <v>15</v>
      </c>
      <c r="AM28" s="7" t="e">
        <f>AVERAGEIFS(RoadTra_BY!AU$2:AU$999,RoadTra_BY!$B$2:$B$999,'Road transport'!$C28,RoadTra_BY!$C$2:$C$999,'Road transport'!$AX28)</f>
        <v>#DIV/0!</v>
      </c>
      <c r="AN28" s="7" t="e">
        <f>AVERAGEIFS(RoadTra_BY!AV$2:AV$999,RoadTra_BY!$B$2:$B$999,'Road transport'!$C28,RoadTra_BY!$C$2:$C$999,'Road transport'!$AX28)</f>
        <v>#DIV/0!</v>
      </c>
      <c r="AO28" s="7" t="e">
        <f>AVERAGEIFS(RoadTra_BY!AW$2:AW$999,RoadTra_BY!$B$2:$B$999,'Road transport'!$C28,RoadTra_BY!$C$2:$C$999,'Road transport'!$AX28)</f>
        <v>#DIV/0!</v>
      </c>
      <c r="AP28" s="7" t="e">
        <f>AVERAGEIFS(RoadTra_BY!AX$2:AX$999,RoadTra_BY!$B$2:$B$999,'Road transport'!$C28,RoadTra_BY!$C$2:$C$999,'Road transport'!$AX28)</f>
        <v>#DIV/0!</v>
      </c>
      <c r="AQ28" s="7" t="e">
        <f>AVERAGEIFS(RoadTra_BY!AY$2:AY$999,RoadTra_BY!$B$2:$B$999,'Road transport'!$C28,RoadTra_BY!$C$2:$C$999,'Road transport'!$AX28)</f>
        <v>#DIV/0!</v>
      </c>
      <c r="AR28" s="7" t="e">
        <f>AVERAGEIFS(RoadTra_BY!AZ$2:AZ$999,RoadTra_BY!$B$2:$B$999,'Road transport'!$C28,RoadTra_BY!$C$2:$C$999,'Road transport'!$AX28)</f>
        <v>#DIV/0!</v>
      </c>
      <c r="AS28" s="7" t="e">
        <f>AVERAGEIFS(RoadTra_BY!BA$2:BA$999,RoadTra_BY!$B$2:$B$999,'Road transport'!$C28,RoadTra_BY!$C$2:$C$999,'Road transport'!$AX28)</f>
        <v>#DIV/0!</v>
      </c>
      <c r="AT28" s="7" t="e">
        <f>AVERAGEIFS(RoadTra_BY!BB$2:BB$999,RoadTra_BY!$B$2:$B$999,'Road transport'!$C28,RoadTra_BY!$C$2:$C$999,'Road transport'!$AX28)</f>
        <v>#DIV/0!</v>
      </c>
      <c r="AU28" s="7" t="e">
        <f>AVERAGEIFS(RoadTra_BY!BC$2:BC$999,RoadTra_BY!$B$2:$B$999,'Road transport'!$C28,RoadTra_BY!$C$2:$C$999,'Road transport'!$AX28)</f>
        <v>#DIV/0!</v>
      </c>
      <c r="AV28" s="7" t="e">
        <f>AVERAGEIFS(RoadTra_BY!BD$2:BD$999,RoadTra_BY!$B$2:$B$999,'Road transport'!$C28,RoadTra_BY!$C$2:$C$999,'Road transport'!$AX28)</f>
        <v>#DIV/0!</v>
      </c>
      <c r="AW28" s="7" t="e">
        <f>AVERAGEIFS(RoadTra_BY!BE$2:BE$999,RoadTra_BY!$B$2:$B$999,'Road transport'!$C28,RoadTra_BY!$C$2:$C$999,'Road transport'!$AX28)</f>
        <v>#DIV/0!</v>
      </c>
      <c r="AX28" t="s">
        <v>105</v>
      </c>
    </row>
    <row r="31" spans="3:3">
      <c r="C31" t="s">
        <v>106</v>
      </c>
    </row>
    <row r="32" spans="3:50">
      <c r="C32" t="s">
        <v>71</v>
      </c>
      <c r="D32" t="str">
        <f>IF(RoadTra_BY!L$1="","\I:",RoadTra_BY!L$1)</f>
        <v>Africa_North</v>
      </c>
      <c r="E32" t="str">
        <f>IF(RoadTra_BY!M$1="","\I:",RoadTra_BY!M$1)</f>
        <v>Africa_Other</v>
      </c>
      <c r="F32" t="str">
        <f>IF(RoadTra_BY!N$1="","\I:",RoadTra_BY!N$1)</f>
        <v>Australia</v>
      </c>
      <c r="G32" t="str">
        <f>IF(RoadTra_BY!O$1="","\I:",RoadTra_BY!O$1)</f>
        <v>Austria</v>
      </c>
      <c r="H32" t="str">
        <f>IF(RoadTra_BY!P$1="","\I:",RoadTra_BY!P$1)</f>
        <v>Baltics</v>
      </c>
      <c r="I32" t="str">
        <f>IF(RoadTra_BY!Q$1="","\I:",RoadTra_BY!Q$1)</f>
        <v>BeNeLux</v>
      </c>
      <c r="J32" t="str">
        <f>IF(RoadTra_BY!R$1="","\I:",RoadTra_BY!R$1)</f>
        <v>Brazil</v>
      </c>
      <c r="K32" t="str">
        <f>IF(RoadTra_BY!S$1="","\I:",RoadTra_BY!S$1)</f>
        <v>China</v>
      </c>
      <c r="L32" t="str">
        <f>IF(RoadTra_BY!T$1="","\I:",RoadTra_BY!T$1)</f>
        <v>CroSloven</v>
      </c>
      <c r="M32" t="str">
        <f>IF(RoadTra_BY!U$1="","\I:",RoadTra_BY!U$1)</f>
        <v>CzechSlovak</v>
      </c>
      <c r="N32" t="str">
        <f>IF(RoadTra_BY!V$1="","\I:",RoadTra_BY!V$1)</f>
        <v>France</v>
      </c>
      <c r="O32" t="str">
        <f>IF(RoadTra_BY!W$1="","\I:",RoadTra_BY!W$1)</f>
        <v>Germany</v>
      </c>
      <c r="P32" t="str">
        <f>IF(RoadTra_BY!X$1="","\I:",RoadTra_BY!X$1)</f>
        <v>GreeceCyp</v>
      </c>
      <c r="Q32" t="str">
        <f>IF(RoadTra_BY!Y$1="","\I:",RoadTra_BY!Y$1)</f>
        <v>HunRomBul</v>
      </c>
      <c r="R32" t="str">
        <f>IF(RoadTra_BY!Z$1="","\I:",RoadTra_BY!Z$1)</f>
        <v>Iceland</v>
      </c>
      <c r="S32" t="str">
        <f>IF(RoadTra_BY!AA$1="","\I:",RoadTra_BY!AA$1)</f>
        <v>India</v>
      </c>
      <c r="T32" t="str">
        <f>IF(RoadTra_BY!AB$1="","\I:",RoadTra_BY!AB$1)</f>
        <v>Ireland</v>
      </c>
      <c r="U32" t="str">
        <f>IF(RoadTra_BY!AC$1="","\I:",RoadTra_BY!AC$1)</f>
        <v>ItalyMal</v>
      </c>
      <c r="V32" t="str">
        <f>IF(RoadTra_BY!AD$1="","\I:",RoadTra_BY!AD$1)</f>
        <v>Japan</v>
      </c>
      <c r="W32" t="str">
        <f>IF(RoadTra_BY!AE$1="","\I:",RoadTra_BY!AE$1)</f>
        <v>LatAm</v>
      </c>
      <c r="X32" t="str">
        <f>IF(RoadTra_BY!AF$1="","\I:",RoadTra_BY!AF$1)</f>
        <v>MidEast</v>
      </c>
      <c r="Y32" t="str">
        <f>IF(RoadTra_BY!AG$1="","\I:",RoadTra_BY!AG$1)</f>
        <v>NorthAm</v>
      </c>
      <c r="Z32" t="str">
        <f>IF(RoadTra_BY!AH$1="","\I:",RoadTra_BY!AH$1)</f>
        <v>Norway</v>
      </c>
      <c r="AA32" t="str">
        <f>IF(RoadTra_BY!AI$1="","\I:",RoadTra_BY!AI$1)</f>
        <v>Poland</v>
      </c>
      <c r="AB32" t="str">
        <f>IF(RoadTra_BY!AJ$1="","\I:",RoadTra_BY!AJ$1)</f>
        <v>ROW</v>
      </c>
      <c r="AC32" t="str">
        <f>IF(RoadTra_BY!AK$1="","\I:",RoadTra_BY!AK$1)</f>
        <v>Russia</v>
      </c>
      <c r="AD32" t="str">
        <f>IF(RoadTra_BY!AL$1="","\I:",RoadTra_BY!AL$1)</f>
        <v>SaudiArabia</v>
      </c>
      <c r="AE32" t="str">
        <f>IF(RoadTra_BY!AM$1="","\I:",RoadTra_BY!AM$1)</f>
        <v>SouthAfrica</v>
      </c>
      <c r="AF32" t="str">
        <f>IF(RoadTra_BY!AN$1="","\I:",RoadTra_BY!AN$1)</f>
        <v>SpainPor</v>
      </c>
      <c r="AG32" t="str">
        <f>IF(RoadTra_BY!AO$1="","\I:",RoadTra_BY!AO$1)</f>
        <v>SweFinDen</v>
      </c>
      <c r="AH32" t="str">
        <f>IF(RoadTra_BY!AP$1="","\I:",RoadTra_BY!AP$1)</f>
        <v>Switzerland</v>
      </c>
      <c r="AI32" t="str">
        <f>IF(RoadTra_BY!AQ$1="","\I:",RoadTra_BY!AQ$1)</f>
        <v>Turkey</v>
      </c>
      <c r="AJ32" t="str">
        <f>IF(RoadTra_BY!AR$1="","\I:",RoadTra_BY!AR$1)</f>
        <v>UK</v>
      </c>
      <c r="AK32" t="str">
        <f>IF(RoadTra_BY!AS$1="","\I:",RoadTra_BY!AS$1)</f>
        <v>Ukraine</v>
      </c>
      <c r="AL32" t="str">
        <f>IF(RoadTra_BY!AT$1="","\I:",RoadTra_BY!AT$1)</f>
        <v>WestBalkans</v>
      </c>
      <c r="AM32" t="str">
        <f>IF(RoadTra_BY!AU$1="","\I:",RoadTra_BY!AU$1)</f>
        <v>year2</v>
      </c>
      <c r="AN32" t="str">
        <f>IF(RoadTra_BY!AV$1="","\I:",RoadTra_BY!AV$1)</f>
        <v>\I:</v>
      </c>
      <c r="AO32" t="str">
        <f>IF(RoadTra_BY!AW$1="","\I:",RoadTra_BY!AW$1)</f>
        <v>\I:</v>
      </c>
      <c r="AP32" t="str">
        <f>IF(RoadTra_BY!AX$1="","\I:",RoadTra_BY!AX$1)</f>
        <v>\I:</v>
      </c>
      <c r="AQ32" t="str">
        <f>IF(RoadTra_BY!AY$1="","\I:",RoadTra_BY!AY$1)</f>
        <v>\I:</v>
      </c>
      <c r="AR32" t="str">
        <f>IF(RoadTra_BY!AZ$1="","\I:",RoadTra_BY!AZ$1)</f>
        <v>\I:</v>
      </c>
      <c r="AS32" t="str">
        <f>IF(RoadTra_BY!BA$1="","\I:",RoadTra_BY!BA$1)</f>
        <v>\I:</v>
      </c>
      <c r="AT32" t="str">
        <f>IF(RoadTra_BY!BB$1="","\I:",RoadTra_BY!BB$1)</f>
        <v>\I:</v>
      </c>
      <c r="AU32" t="str">
        <f>IF(RoadTra_BY!BC$1="","\I:",RoadTra_BY!BC$1)</f>
        <v>\I:</v>
      </c>
      <c r="AV32" t="str">
        <f>IF(RoadTra_BY!BD$1="","\I:",RoadTra_BY!BD$1)</f>
        <v>\I:</v>
      </c>
      <c r="AW32" t="str">
        <f>IF(RoadTra_BY!BE$1="","\I:",RoadTra_BY!BE$1)</f>
        <v>\I:</v>
      </c>
      <c r="AX32" t="s">
        <v>45</v>
      </c>
    </row>
    <row r="33" spans="3:53">
      <c r="C33" t="s">
        <v>62</v>
      </c>
      <c r="D33" t="str">
        <f>"*"&amp;ROUND(SUMIFS(RoadTra_BY!L$2:L$79,RoadTra_BY!$B$2:$B$79,'Road transport'!$C33,RoadTra_BY!$C$2:$C$79,'Road transport'!$BA33),3)</f>
        <v>*0.99</v>
      </c>
      <c r="E33" t="str">
        <f>"*"&amp;ROUND(SUMIFS(RoadTra_BY!M$2:M$79,RoadTra_BY!$B$2:$B$79,'Road transport'!$C33,RoadTra_BY!$C$2:$C$79,'Road transport'!$BA33),3)</f>
        <v>*0.99</v>
      </c>
      <c r="F33" t="str">
        <f>"*"&amp;ROUND(SUMIFS(RoadTra_BY!N$2:N$79,RoadTra_BY!$B$2:$B$79,'Road transport'!$C33,RoadTra_BY!$C$2:$C$79,'Road transport'!$BA33),3)</f>
        <v>*0.99</v>
      </c>
      <c r="G33" t="str">
        <f>"*"&amp;ROUND(SUMIFS(RoadTra_BY!O$2:O$79,RoadTra_BY!$B$2:$B$79,'Road transport'!$C33,RoadTra_BY!$C$2:$C$79,'Road transport'!$BA33),3)</f>
        <v>*0.99</v>
      </c>
      <c r="H33" t="str">
        <f>"*"&amp;ROUND(SUMIFS(RoadTra_BY!P$2:P$79,RoadTra_BY!$B$2:$B$79,'Road transport'!$C33,RoadTra_BY!$C$2:$C$79,'Road transport'!$BA33),3)</f>
        <v>*0.99</v>
      </c>
      <c r="I33" t="str">
        <f>"*"&amp;ROUND(SUMIFS(RoadTra_BY!Q$2:Q$79,RoadTra_BY!$B$2:$B$79,'Road transport'!$C33,RoadTra_BY!$C$2:$C$79,'Road transport'!$BA33),3)</f>
        <v>*0.99</v>
      </c>
      <c r="J33" t="str">
        <f>"*"&amp;ROUND(SUMIFS(RoadTra_BY!R$2:R$79,RoadTra_BY!$B$2:$B$79,'Road transport'!$C33,RoadTra_BY!$C$2:$C$79,'Road transport'!$BA33),3)</f>
        <v>*0.99</v>
      </c>
      <c r="K33" t="str">
        <f>"*"&amp;ROUND(SUMIFS(RoadTra_BY!S$2:S$79,RoadTra_BY!$B$2:$B$79,'Road transport'!$C33,RoadTra_BY!$C$2:$C$79,'Road transport'!$BA33),3)</f>
        <v>*0.99</v>
      </c>
      <c r="L33" t="str">
        <f>"*"&amp;ROUND(SUMIFS(RoadTra_BY!T$2:T$79,RoadTra_BY!$B$2:$B$79,'Road transport'!$C33,RoadTra_BY!$C$2:$C$79,'Road transport'!$BA33),3)</f>
        <v>*0.99</v>
      </c>
      <c r="M33" t="str">
        <f>"*"&amp;ROUND(SUMIFS(RoadTra_BY!U$2:U$79,RoadTra_BY!$B$2:$B$79,'Road transport'!$C33,RoadTra_BY!$C$2:$C$79,'Road transport'!$BA33),3)</f>
        <v>*0.99</v>
      </c>
      <c r="N33" t="str">
        <f>"*"&amp;ROUND(SUMIFS(RoadTra_BY!V$2:V$79,RoadTra_BY!$B$2:$B$79,'Road transport'!$C33,RoadTra_BY!$C$2:$C$79,'Road transport'!$BA33),3)</f>
        <v>*0.99</v>
      </c>
      <c r="O33" t="str">
        <f>"*"&amp;ROUND(SUMIFS(RoadTra_BY!W$2:W$79,RoadTra_BY!$B$2:$B$79,'Road transport'!$C33,RoadTra_BY!$C$2:$C$79,'Road transport'!$BA33),3)</f>
        <v>*0.99</v>
      </c>
      <c r="P33" t="str">
        <f>"*"&amp;ROUND(SUMIFS(RoadTra_BY!X$2:X$79,RoadTra_BY!$B$2:$B$79,'Road transport'!$C33,RoadTra_BY!$C$2:$C$79,'Road transport'!$BA33),3)</f>
        <v>*0.99</v>
      </c>
      <c r="Q33" t="str">
        <f>"*"&amp;ROUND(SUMIFS(RoadTra_BY!Y$2:Y$79,RoadTra_BY!$B$2:$B$79,'Road transport'!$C33,RoadTra_BY!$C$2:$C$79,'Road transport'!$BA33),3)</f>
        <v>*0.99</v>
      </c>
      <c r="R33" t="str">
        <f>"*"&amp;ROUND(SUMIFS(RoadTra_BY!Z$2:Z$79,RoadTra_BY!$B$2:$B$79,'Road transport'!$C33,RoadTra_BY!$C$2:$C$79,'Road transport'!$BA33),3)</f>
        <v>*0.99</v>
      </c>
      <c r="S33" t="str">
        <f>"*"&amp;ROUND(SUMIFS(RoadTra_BY!AA$2:AA$79,RoadTra_BY!$B$2:$B$79,'Road transport'!$C33,RoadTra_BY!$C$2:$C$79,'Road transport'!$BA33),3)</f>
        <v>*0.99</v>
      </c>
      <c r="T33" t="str">
        <f>"*"&amp;ROUND(SUMIFS(RoadTra_BY!AB$2:AB$79,RoadTra_BY!$B$2:$B$79,'Road transport'!$C33,RoadTra_BY!$C$2:$C$79,'Road transport'!$BA33),3)</f>
        <v>*0.99</v>
      </c>
      <c r="U33" t="str">
        <f>"*"&amp;ROUND(SUMIFS(RoadTra_BY!AC$2:AC$79,RoadTra_BY!$B$2:$B$79,'Road transport'!$C33,RoadTra_BY!$C$2:$C$79,'Road transport'!$BA33),3)</f>
        <v>*0.99</v>
      </c>
      <c r="V33" t="str">
        <f>"*"&amp;ROUND(SUMIFS(RoadTra_BY!AD$2:AD$79,RoadTra_BY!$B$2:$B$79,'Road transport'!$C33,RoadTra_BY!$C$2:$C$79,'Road transport'!$BA33),3)</f>
        <v>*0.99</v>
      </c>
      <c r="W33" t="str">
        <f>"*"&amp;ROUND(SUMIFS(RoadTra_BY!AE$2:AE$79,RoadTra_BY!$B$2:$B$79,'Road transport'!$C33,RoadTra_BY!$C$2:$C$79,'Road transport'!$BA33),3)</f>
        <v>*0.99</v>
      </c>
      <c r="X33" t="str">
        <f>"*"&amp;ROUND(SUMIFS(RoadTra_BY!AF$2:AF$79,RoadTra_BY!$B$2:$B$79,'Road transport'!$C33,RoadTra_BY!$C$2:$C$79,'Road transport'!$BA33),3)</f>
        <v>*0.99</v>
      </c>
      <c r="Y33" t="str">
        <f>"*"&amp;ROUND(SUMIFS(RoadTra_BY!AG$2:AG$79,RoadTra_BY!$B$2:$B$79,'Road transport'!$C33,RoadTra_BY!$C$2:$C$79,'Road transport'!$BA33),3)</f>
        <v>*0.99</v>
      </c>
      <c r="Z33" t="str">
        <f>"*"&amp;ROUND(SUMIFS(RoadTra_BY!AH$2:AH$79,RoadTra_BY!$B$2:$B$79,'Road transport'!$C33,RoadTra_BY!$C$2:$C$79,'Road transport'!$BA33),3)</f>
        <v>*0.99</v>
      </c>
      <c r="AA33" t="str">
        <f>"*"&amp;ROUND(SUMIFS(RoadTra_BY!AI$2:AI$79,RoadTra_BY!$B$2:$B$79,'Road transport'!$C33,RoadTra_BY!$C$2:$C$79,'Road transport'!$BA33),3)</f>
        <v>*0.99</v>
      </c>
      <c r="AB33" t="str">
        <f>"*"&amp;ROUND(SUMIFS(RoadTra_BY!AJ$2:AJ$79,RoadTra_BY!$B$2:$B$79,'Road transport'!$C33,RoadTra_BY!$C$2:$C$79,'Road transport'!$BA33),3)</f>
        <v>*0.99</v>
      </c>
      <c r="AC33" t="str">
        <f>"*"&amp;ROUND(SUMIFS(RoadTra_BY!AK$2:AK$79,RoadTra_BY!$B$2:$B$79,'Road transport'!$C33,RoadTra_BY!$C$2:$C$79,'Road transport'!$BA33),3)</f>
        <v>*0.99</v>
      </c>
      <c r="AD33" t="str">
        <f>"*"&amp;ROUND(SUMIFS(RoadTra_BY!AL$2:AL$79,RoadTra_BY!$B$2:$B$79,'Road transport'!$C33,RoadTra_BY!$C$2:$C$79,'Road transport'!$BA33),3)</f>
        <v>*0.99</v>
      </c>
      <c r="AE33" t="str">
        <f>"*"&amp;ROUND(SUMIFS(RoadTra_BY!AM$2:AM$79,RoadTra_BY!$B$2:$B$79,'Road transport'!$C33,RoadTra_BY!$C$2:$C$79,'Road transport'!$BA33),3)</f>
        <v>*0.99</v>
      </c>
      <c r="AF33" t="str">
        <f>"*"&amp;ROUND(SUMIFS(RoadTra_BY!AN$2:AN$79,RoadTra_BY!$B$2:$B$79,'Road transport'!$C33,RoadTra_BY!$C$2:$C$79,'Road transport'!$BA33),3)</f>
        <v>*0.99</v>
      </c>
      <c r="AG33" t="str">
        <f>"*"&amp;ROUND(SUMIFS(RoadTra_BY!AO$2:AO$79,RoadTra_BY!$B$2:$B$79,'Road transport'!$C33,RoadTra_BY!$C$2:$C$79,'Road transport'!$BA33),3)</f>
        <v>*0.99</v>
      </c>
      <c r="AH33" t="str">
        <f>"*"&amp;ROUND(SUMIFS(RoadTra_BY!AP$2:AP$79,RoadTra_BY!$B$2:$B$79,'Road transport'!$C33,RoadTra_BY!$C$2:$C$79,'Road transport'!$BA33),3)</f>
        <v>*0.99</v>
      </c>
      <c r="AI33" t="str">
        <f>"*"&amp;ROUND(SUMIFS(RoadTra_BY!AQ$2:AQ$79,RoadTra_BY!$B$2:$B$79,'Road transport'!$C33,RoadTra_BY!$C$2:$C$79,'Road transport'!$BA33),3)</f>
        <v>*0.99</v>
      </c>
      <c r="AJ33" t="str">
        <f>"*"&amp;ROUND(SUMIFS(RoadTra_BY!AR$2:AR$79,RoadTra_BY!$B$2:$B$79,'Road transport'!$C33,RoadTra_BY!$C$2:$C$79,'Road transport'!$BA33),3)</f>
        <v>*0.99</v>
      </c>
      <c r="AK33" t="str">
        <f>"*"&amp;ROUND(SUMIFS(RoadTra_BY!AS$2:AS$79,RoadTra_BY!$B$2:$B$79,'Road transport'!$C33,RoadTra_BY!$C$2:$C$79,'Road transport'!$BA33),3)</f>
        <v>*0.99</v>
      </c>
      <c r="AL33" t="str">
        <f>"*"&amp;ROUND(SUMIFS(RoadTra_BY!AT$2:AT$79,RoadTra_BY!$B$2:$B$79,'Road transport'!$C33,RoadTra_BY!$C$2:$C$79,'Road transport'!$BA33),3)</f>
        <v>*0.99</v>
      </c>
      <c r="AM33" t="str">
        <f>"*"&amp;ROUND(SUMIFS(RoadTra_BY!AU$2:AU$79,RoadTra_BY!$B$2:$B$79,'Road transport'!$C33,RoadTra_BY!$C$2:$C$79,'Road transport'!$BA33),3)</f>
        <v>*0</v>
      </c>
      <c r="AN33" t="str">
        <f>"*"&amp;ROUND(SUMIFS(RoadTra_BY!AV$2:AV$79,RoadTra_BY!$B$2:$B$79,'Road transport'!$C33,RoadTra_BY!$C$2:$C$79,'Road transport'!$BA33),3)</f>
        <v>*0</v>
      </c>
      <c r="AO33" t="str">
        <f>"*"&amp;ROUND(SUMIFS(RoadTra_BY!AW$2:AW$79,RoadTra_BY!$B$2:$B$79,'Road transport'!$C33,RoadTra_BY!$C$2:$C$79,'Road transport'!$BA33),3)</f>
        <v>*0</v>
      </c>
      <c r="AP33" t="str">
        <f>"*"&amp;ROUND(SUMIFS(RoadTra_BY!AX$2:AX$79,RoadTra_BY!$B$2:$B$79,'Road transport'!$C33,RoadTra_BY!$C$2:$C$79,'Road transport'!$BA33),3)</f>
        <v>*0</v>
      </c>
      <c r="AQ33" t="str">
        <f>"*"&amp;ROUND(SUMIFS(RoadTra_BY!AY$2:AY$79,RoadTra_BY!$B$2:$B$79,'Road transport'!$C33,RoadTra_BY!$C$2:$C$79,'Road transport'!$BA33),3)</f>
        <v>*0</v>
      </c>
      <c r="AR33" t="str">
        <f>"*"&amp;ROUND(SUMIFS(RoadTra_BY!AZ$2:AZ$79,RoadTra_BY!$B$2:$B$79,'Road transport'!$C33,RoadTra_BY!$C$2:$C$79,'Road transport'!$BA33),3)</f>
        <v>*0</v>
      </c>
      <c r="AS33" t="str">
        <f>"*"&amp;ROUND(SUMIFS(RoadTra_BY!BA$2:BA$79,RoadTra_BY!$B$2:$B$79,'Road transport'!$C33,RoadTra_BY!$C$2:$C$79,'Road transport'!$BA33),3)</f>
        <v>*0</v>
      </c>
      <c r="AT33" t="str">
        <f>"*"&amp;ROUND(SUMIFS(RoadTra_BY!BB$2:BB$79,RoadTra_BY!$B$2:$B$79,'Road transport'!$C33,RoadTra_BY!$C$2:$C$79,'Road transport'!$BA33),3)</f>
        <v>*0</v>
      </c>
      <c r="AU33" t="str">
        <f>"*"&amp;ROUND(SUMIFS(RoadTra_BY!BC$2:BC$79,RoadTra_BY!$B$2:$B$79,'Road transport'!$C33,RoadTra_BY!$C$2:$C$79,'Road transport'!$BA33),3)</f>
        <v>*0</v>
      </c>
      <c r="AV33" t="str">
        <f>"*"&amp;ROUND(SUMIFS(RoadTra_BY!BD$2:BD$79,RoadTra_BY!$B$2:$B$79,'Road transport'!$C33,RoadTra_BY!$C$2:$C$79,'Road transport'!$BA33),3)</f>
        <v>*0</v>
      </c>
      <c r="AW33" t="str">
        <f>"*"&amp;ROUND(SUMIFS(RoadTra_BY!BE$2:BE$79,RoadTra_BY!$B$2:$B$79,'Road transport'!$C33,RoadTra_BY!$C$2:$C$79,'Road transport'!$BA33),3)</f>
        <v>*0</v>
      </c>
      <c r="AX33" t="str">
        <f>SUBSTITUTE(SUBSTITUTE(BA33,"gsl",""),"dsl","")&amp;"*"</f>
        <v>Trd_2w_*</v>
      </c>
      <c r="AZ33">
        <f t="shared" ref="AZ33:AZ38" si="0">IFERROR(IF(FIND("gsl",BA33)&gt;0,1,0),2)</f>
        <v>1</v>
      </c>
      <c r="BA33" t="s">
        <v>107</v>
      </c>
    </row>
    <row r="34" spans="3:53">
      <c r="C34" t="s">
        <v>62</v>
      </c>
      <c r="D34" t="str">
        <f>"*"&amp;ROUND(SUMIFS(RoadTra_BY!L$2:L$79,RoadTra_BY!$B$2:$B$79,'Road transport'!$C34,RoadTra_BY!$C$2:$C$79,'Road transport'!$BA34),3)</f>
        <v>*0.587</v>
      </c>
      <c r="E34" t="str">
        <f>"*"&amp;ROUND(SUMIFS(RoadTra_BY!M$2:M$79,RoadTra_BY!$B$2:$B$79,'Road transport'!$C34,RoadTra_BY!$C$2:$C$79,'Road transport'!$BA34),3)</f>
        <v>*0.587</v>
      </c>
      <c r="F34" t="str">
        <f>"*"&amp;ROUND(SUMIFS(RoadTra_BY!N$2:N$79,RoadTra_BY!$B$2:$B$79,'Road transport'!$C34,RoadTra_BY!$C$2:$C$79,'Road transport'!$BA34),3)</f>
        <v>*0.587</v>
      </c>
      <c r="G34" t="str">
        <f>"*"&amp;ROUND(SUMIFS(RoadTra_BY!O$2:O$79,RoadTra_BY!$B$2:$B$79,'Road transport'!$C34,RoadTra_BY!$C$2:$C$79,'Road transport'!$BA34),3)</f>
        <v>*0.587</v>
      </c>
      <c r="H34" t="str">
        <f>"*"&amp;ROUND(SUMIFS(RoadTra_BY!P$2:P$79,RoadTra_BY!$B$2:$B$79,'Road transport'!$C34,RoadTra_BY!$C$2:$C$79,'Road transport'!$BA34),3)</f>
        <v>*0.587</v>
      </c>
      <c r="I34" t="str">
        <f>"*"&amp;ROUND(SUMIFS(RoadTra_BY!Q$2:Q$79,RoadTra_BY!$B$2:$B$79,'Road transport'!$C34,RoadTra_BY!$C$2:$C$79,'Road transport'!$BA34),3)</f>
        <v>*0.587</v>
      </c>
      <c r="J34" t="str">
        <f>"*"&amp;ROUND(SUMIFS(RoadTra_BY!R$2:R$79,RoadTra_BY!$B$2:$B$79,'Road transport'!$C34,RoadTra_BY!$C$2:$C$79,'Road transport'!$BA34),3)</f>
        <v>*0.587</v>
      </c>
      <c r="K34" t="str">
        <f>"*"&amp;ROUND(SUMIFS(RoadTra_BY!S$2:S$79,RoadTra_BY!$B$2:$B$79,'Road transport'!$C34,RoadTra_BY!$C$2:$C$79,'Road transport'!$BA34),3)</f>
        <v>*0.587</v>
      </c>
      <c r="L34" t="str">
        <f>"*"&amp;ROUND(SUMIFS(RoadTra_BY!T$2:T$79,RoadTra_BY!$B$2:$B$79,'Road transport'!$C34,RoadTra_BY!$C$2:$C$79,'Road transport'!$BA34),3)</f>
        <v>*0.587</v>
      </c>
      <c r="M34" t="str">
        <f>"*"&amp;ROUND(SUMIFS(RoadTra_BY!U$2:U$79,RoadTra_BY!$B$2:$B$79,'Road transport'!$C34,RoadTra_BY!$C$2:$C$79,'Road transport'!$BA34),3)</f>
        <v>*0.587</v>
      </c>
      <c r="N34" t="str">
        <f>"*"&amp;ROUND(SUMIFS(RoadTra_BY!V$2:V$79,RoadTra_BY!$B$2:$B$79,'Road transport'!$C34,RoadTra_BY!$C$2:$C$79,'Road transport'!$BA34),3)</f>
        <v>*0.587</v>
      </c>
      <c r="O34" t="str">
        <f>"*"&amp;ROUND(SUMIFS(RoadTra_BY!W$2:W$79,RoadTra_BY!$B$2:$B$79,'Road transport'!$C34,RoadTra_BY!$C$2:$C$79,'Road transport'!$BA34),3)</f>
        <v>*0.587</v>
      </c>
      <c r="P34" t="str">
        <f>"*"&amp;ROUND(SUMIFS(RoadTra_BY!X$2:X$79,RoadTra_BY!$B$2:$B$79,'Road transport'!$C34,RoadTra_BY!$C$2:$C$79,'Road transport'!$BA34),3)</f>
        <v>*0.587</v>
      </c>
      <c r="Q34" t="str">
        <f>"*"&amp;ROUND(SUMIFS(RoadTra_BY!Y$2:Y$79,RoadTra_BY!$B$2:$B$79,'Road transport'!$C34,RoadTra_BY!$C$2:$C$79,'Road transport'!$BA34),3)</f>
        <v>*0.587</v>
      </c>
      <c r="R34" t="str">
        <f>"*"&amp;ROUND(SUMIFS(RoadTra_BY!Z$2:Z$79,RoadTra_BY!$B$2:$B$79,'Road transport'!$C34,RoadTra_BY!$C$2:$C$79,'Road transport'!$BA34),3)</f>
        <v>*0.587</v>
      </c>
      <c r="S34" t="str">
        <f>"*"&amp;ROUND(SUMIFS(RoadTra_BY!AA$2:AA$79,RoadTra_BY!$B$2:$B$79,'Road transport'!$C34,RoadTra_BY!$C$2:$C$79,'Road transport'!$BA34),3)</f>
        <v>*0.587</v>
      </c>
      <c r="T34" t="str">
        <f>"*"&amp;ROUND(SUMIFS(RoadTra_BY!AB$2:AB$79,RoadTra_BY!$B$2:$B$79,'Road transport'!$C34,RoadTra_BY!$C$2:$C$79,'Road transport'!$BA34),3)</f>
        <v>*0.587</v>
      </c>
      <c r="U34" t="str">
        <f>"*"&amp;ROUND(SUMIFS(RoadTra_BY!AC$2:AC$79,RoadTra_BY!$B$2:$B$79,'Road transport'!$C34,RoadTra_BY!$C$2:$C$79,'Road transport'!$BA34),3)</f>
        <v>*0.587</v>
      </c>
      <c r="V34" t="str">
        <f>"*"&amp;ROUND(SUMIFS(RoadTra_BY!AD$2:AD$79,RoadTra_BY!$B$2:$B$79,'Road transport'!$C34,RoadTra_BY!$C$2:$C$79,'Road transport'!$BA34),3)</f>
        <v>*0.587</v>
      </c>
      <c r="W34" t="str">
        <f>"*"&amp;ROUND(SUMIFS(RoadTra_BY!AE$2:AE$79,RoadTra_BY!$B$2:$B$79,'Road transport'!$C34,RoadTra_BY!$C$2:$C$79,'Road transport'!$BA34),3)</f>
        <v>*0.587</v>
      </c>
      <c r="X34" t="str">
        <f>"*"&amp;ROUND(SUMIFS(RoadTra_BY!AF$2:AF$79,RoadTra_BY!$B$2:$B$79,'Road transport'!$C34,RoadTra_BY!$C$2:$C$79,'Road transport'!$BA34),3)</f>
        <v>*0.587</v>
      </c>
      <c r="Y34" t="str">
        <f>"*"&amp;ROUND(SUMIFS(RoadTra_BY!AG$2:AG$79,RoadTra_BY!$B$2:$B$79,'Road transport'!$C34,RoadTra_BY!$C$2:$C$79,'Road transport'!$BA34),3)</f>
        <v>*0.587</v>
      </c>
      <c r="Z34" t="str">
        <f>"*"&amp;ROUND(SUMIFS(RoadTra_BY!AH$2:AH$79,RoadTra_BY!$B$2:$B$79,'Road transport'!$C34,RoadTra_BY!$C$2:$C$79,'Road transport'!$BA34),3)</f>
        <v>*0.587</v>
      </c>
      <c r="AA34" t="str">
        <f>"*"&amp;ROUND(SUMIFS(RoadTra_BY!AI$2:AI$79,RoadTra_BY!$B$2:$B$79,'Road transport'!$C34,RoadTra_BY!$C$2:$C$79,'Road transport'!$BA34),3)</f>
        <v>*0.587</v>
      </c>
      <c r="AB34" t="str">
        <f>"*"&amp;ROUND(SUMIFS(RoadTra_BY!AJ$2:AJ$79,RoadTra_BY!$B$2:$B$79,'Road transport'!$C34,RoadTra_BY!$C$2:$C$79,'Road transport'!$BA34),3)</f>
        <v>*0.587</v>
      </c>
      <c r="AC34" t="str">
        <f>"*"&amp;ROUND(SUMIFS(RoadTra_BY!AK$2:AK$79,RoadTra_BY!$B$2:$B$79,'Road transport'!$C34,RoadTra_BY!$C$2:$C$79,'Road transport'!$BA34),3)</f>
        <v>*0.587</v>
      </c>
      <c r="AD34" t="str">
        <f>"*"&amp;ROUND(SUMIFS(RoadTra_BY!AL$2:AL$79,RoadTra_BY!$B$2:$B$79,'Road transport'!$C34,RoadTra_BY!$C$2:$C$79,'Road transport'!$BA34),3)</f>
        <v>*0.587</v>
      </c>
      <c r="AE34" t="str">
        <f>"*"&amp;ROUND(SUMIFS(RoadTra_BY!AM$2:AM$79,RoadTra_BY!$B$2:$B$79,'Road transport'!$C34,RoadTra_BY!$C$2:$C$79,'Road transport'!$BA34),3)</f>
        <v>*0.587</v>
      </c>
      <c r="AF34" t="str">
        <f>"*"&amp;ROUND(SUMIFS(RoadTra_BY!AN$2:AN$79,RoadTra_BY!$B$2:$B$79,'Road transport'!$C34,RoadTra_BY!$C$2:$C$79,'Road transport'!$BA34),3)</f>
        <v>*0.587</v>
      </c>
      <c r="AG34" t="str">
        <f>"*"&amp;ROUND(SUMIFS(RoadTra_BY!AO$2:AO$79,RoadTra_BY!$B$2:$B$79,'Road transport'!$C34,RoadTra_BY!$C$2:$C$79,'Road transport'!$BA34),3)</f>
        <v>*0.587</v>
      </c>
      <c r="AH34" t="str">
        <f>"*"&amp;ROUND(SUMIFS(RoadTra_BY!AP$2:AP$79,RoadTra_BY!$B$2:$B$79,'Road transport'!$C34,RoadTra_BY!$C$2:$C$79,'Road transport'!$BA34),3)</f>
        <v>*0.587</v>
      </c>
      <c r="AI34" t="str">
        <f>"*"&amp;ROUND(SUMIFS(RoadTra_BY!AQ$2:AQ$79,RoadTra_BY!$B$2:$B$79,'Road transport'!$C34,RoadTra_BY!$C$2:$C$79,'Road transport'!$BA34),3)</f>
        <v>*0.587</v>
      </c>
      <c r="AJ34" t="str">
        <f>"*"&amp;ROUND(SUMIFS(RoadTra_BY!AR$2:AR$79,RoadTra_BY!$B$2:$B$79,'Road transport'!$C34,RoadTra_BY!$C$2:$C$79,'Road transport'!$BA34),3)</f>
        <v>*0.587</v>
      </c>
      <c r="AK34" t="str">
        <f>"*"&amp;ROUND(SUMIFS(RoadTra_BY!AS$2:AS$79,RoadTra_BY!$B$2:$B$79,'Road transport'!$C34,RoadTra_BY!$C$2:$C$79,'Road transport'!$BA34),3)</f>
        <v>*0.587</v>
      </c>
      <c r="AL34" t="str">
        <f>"*"&amp;ROUND(SUMIFS(RoadTra_BY!AT$2:AT$79,RoadTra_BY!$B$2:$B$79,'Road transport'!$C34,RoadTra_BY!$C$2:$C$79,'Road transport'!$BA34),3)</f>
        <v>*0.587</v>
      </c>
      <c r="AM34" t="str">
        <f>"*"&amp;ROUND(SUMIFS(RoadTra_BY!AU$2:AU$79,RoadTra_BY!$B$2:$B$79,'Road transport'!$C34,RoadTra_BY!$C$2:$C$79,'Road transport'!$BA34),3)</f>
        <v>*0</v>
      </c>
      <c r="AN34" t="str">
        <f>"*"&amp;ROUND(SUMIFS(RoadTra_BY!AV$2:AV$79,RoadTra_BY!$B$2:$B$79,'Road transport'!$C34,RoadTra_BY!$C$2:$C$79,'Road transport'!$BA34),3)</f>
        <v>*0</v>
      </c>
      <c r="AO34" t="str">
        <f>"*"&amp;ROUND(SUMIFS(RoadTra_BY!AW$2:AW$79,RoadTra_BY!$B$2:$B$79,'Road transport'!$C34,RoadTra_BY!$C$2:$C$79,'Road transport'!$BA34),3)</f>
        <v>*0</v>
      </c>
      <c r="AP34" t="str">
        <f>"*"&amp;ROUND(SUMIFS(RoadTra_BY!AX$2:AX$79,RoadTra_BY!$B$2:$B$79,'Road transport'!$C34,RoadTra_BY!$C$2:$C$79,'Road transport'!$BA34),3)</f>
        <v>*0</v>
      </c>
      <c r="AQ34" t="str">
        <f>"*"&amp;ROUND(SUMIFS(RoadTra_BY!AY$2:AY$79,RoadTra_BY!$B$2:$B$79,'Road transport'!$C34,RoadTra_BY!$C$2:$C$79,'Road transport'!$BA34),3)</f>
        <v>*0</v>
      </c>
      <c r="AR34" t="str">
        <f>"*"&amp;ROUND(SUMIFS(RoadTra_BY!AZ$2:AZ$79,RoadTra_BY!$B$2:$B$79,'Road transport'!$C34,RoadTra_BY!$C$2:$C$79,'Road transport'!$BA34),3)</f>
        <v>*0</v>
      </c>
      <c r="AS34" t="str">
        <f>"*"&amp;ROUND(SUMIFS(RoadTra_BY!BA$2:BA$79,RoadTra_BY!$B$2:$B$79,'Road transport'!$C34,RoadTra_BY!$C$2:$C$79,'Road transport'!$BA34),3)</f>
        <v>*0</v>
      </c>
      <c r="AT34" t="str">
        <f>"*"&amp;ROUND(SUMIFS(RoadTra_BY!BB$2:BB$79,RoadTra_BY!$B$2:$B$79,'Road transport'!$C34,RoadTra_BY!$C$2:$C$79,'Road transport'!$BA34),3)</f>
        <v>*0</v>
      </c>
      <c r="AU34" t="str">
        <f>"*"&amp;ROUND(SUMIFS(RoadTra_BY!BC$2:BC$79,RoadTra_BY!$B$2:$B$79,'Road transport'!$C34,RoadTra_BY!$C$2:$C$79,'Road transport'!$BA34),3)</f>
        <v>*0</v>
      </c>
      <c r="AV34" t="str">
        <f>"*"&amp;ROUND(SUMIFS(RoadTra_BY!BD$2:BD$79,RoadTra_BY!$B$2:$B$79,'Road transport'!$C34,RoadTra_BY!$C$2:$C$79,'Road transport'!$BA34),3)</f>
        <v>*0</v>
      </c>
      <c r="AW34" t="str">
        <f>"*"&amp;ROUND(SUMIFS(RoadTra_BY!BE$2:BE$79,RoadTra_BY!$B$2:$B$79,'Road transport'!$C34,RoadTra_BY!$C$2:$C$79,'Road transport'!$BA34),3)</f>
        <v>*0</v>
      </c>
      <c r="AX34" t="str">
        <f t="shared" ref="AX34:AX38" si="1">SUBSTITUTE(SUBSTITUTE(BA34,"gsl",""),"dsl","")&amp;"*"</f>
        <v>Trd_3w_*</v>
      </c>
      <c r="AZ34">
        <f t="shared" si="0"/>
        <v>1</v>
      </c>
      <c r="BA34" t="s">
        <v>108</v>
      </c>
    </row>
    <row r="35" spans="3:53">
      <c r="C35" t="s">
        <v>62</v>
      </c>
      <c r="D35" t="str">
        <f>"*"&amp;ROUND(SUMIFS(RoadTra_BY!L$2:L$79,RoadTra_BY!$B$2:$B$79,'Road transport'!$C35,RoadTra_BY!$C$2:$C$79,'Road transport'!$BA35),3)</f>
        <v>*0.072</v>
      </c>
      <c r="E35" t="str">
        <f>"*"&amp;ROUND(SUMIFS(RoadTra_BY!M$2:M$79,RoadTra_BY!$B$2:$B$79,'Road transport'!$C35,RoadTra_BY!$C$2:$C$79,'Road transport'!$BA35),3)</f>
        <v>*0.072</v>
      </c>
      <c r="F35" t="str">
        <f>"*"&amp;ROUND(SUMIFS(RoadTra_BY!N$2:N$79,RoadTra_BY!$B$2:$B$79,'Road transport'!$C35,RoadTra_BY!$C$2:$C$79,'Road transport'!$BA35),3)</f>
        <v>*0.072</v>
      </c>
      <c r="G35" t="str">
        <f>"*"&amp;ROUND(SUMIFS(RoadTra_BY!O$2:O$79,RoadTra_BY!$B$2:$B$79,'Road transport'!$C35,RoadTra_BY!$C$2:$C$79,'Road transport'!$BA35),3)</f>
        <v>*0.072</v>
      </c>
      <c r="H35" t="str">
        <f>"*"&amp;ROUND(SUMIFS(RoadTra_BY!P$2:P$79,RoadTra_BY!$B$2:$B$79,'Road transport'!$C35,RoadTra_BY!$C$2:$C$79,'Road transport'!$BA35),3)</f>
        <v>*0.072</v>
      </c>
      <c r="I35" t="str">
        <f>"*"&amp;ROUND(SUMIFS(RoadTra_BY!Q$2:Q$79,RoadTra_BY!$B$2:$B$79,'Road transport'!$C35,RoadTra_BY!$C$2:$C$79,'Road transport'!$BA35),3)</f>
        <v>*0.072</v>
      </c>
      <c r="J35" t="str">
        <f>"*"&amp;ROUND(SUMIFS(RoadTra_BY!R$2:R$79,RoadTra_BY!$B$2:$B$79,'Road transport'!$C35,RoadTra_BY!$C$2:$C$79,'Road transport'!$BA35),3)</f>
        <v>*0.072</v>
      </c>
      <c r="K35" t="str">
        <f>"*"&amp;ROUND(SUMIFS(RoadTra_BY!S$2:S$79,RoadTra_BY!$B$2:$B$79,'Road transport'!$C35,RoadTra_BY!$C$2:$C$79,'Road transport'!$BA35),3)</f>
        <v>*0.072</v>
      </c>
      <c r="L35" t="str">
        <f>"*"&amp;ROUND(SUMIFS(RoadTra_BY!T$2:T$79,RoadTra_BY!$B$2:$B$79,'Road transport'!$C35,RoadTra_BY!$C$2:$C$79,'Road transport'!$BA35),3)</f>
        <v>*0.072</v>
      </c>
      <c r="M35" t="str">
        <f>"*"&amp;ROUND(SUMIFS(RoadTra_BY!U$2:U$79,RoadTra_BY!$B$2:$B$79,'Road transport'!$C35,RoadTra_BY!$C$2:$C$79,'Road transport'!$BA35),3)</f>
        <v>*0.072</v>
      </c>
      <c r="N35" t="str">
        <f>"*"&amp;ROUND(SUMIFS(RoadTra_BY!V$2:V$79,RoadTra_BY!$B$2:$B$79,'Road transport'!$C35,RoadTra_BY!$C$2:$C$79,'Road transport'!$BA35),3)</f>
        <v>*0.072</v>
      </c>
      <c r="O35" t="str">
        <f>"*"&amp;ROUND(SUMIFS(RoadTra_BY!W$2:W$79,RoadTra_BY!$B$2:$B$79,'Road transport'!$C35,RoadTra_BY!$C$2:$C$79,'Road transport'!$BA35),3)</f>
        <v>*0.072</v>
      </c>
      <c r="P35" t="str">
        <f>"*"&amp;ROUND(SUMIFS(RoadTra_BY!X$2:X$79,RoadTra_BY!$B$2:$B$79,'Road transport'!$C35,RoadTra_BY!$C$2:$C$79,'Road transport'!$BA35),3)</f>
        <v>*0.072</v>
      </c>
      <c r="Q35" t="str">
        <f>"*"&amp;ROUND(SUMIFS(RoadTra_BY!Y$2:Y$79,RoadTra_BY!$B$2:$B$79,'Road transport'!$C35,RoadTra_BY!$C$2:$C$79,'Road transport'!$BA35),3)</f>
        <v>*0.072</v>
      </c>
      <c r="R35" t="str">
        <f>"*"&amp;ROUND(SUMIFS(RoadTra_BY!Z$2:Z$79,RoadTra_BY!$B$2:$B$79,'Road transport'!$C35,RoadTra_BY!$C$2:$C$79,'Road transport'!$BA35),3)</f>
        <v>*0.072</v>
      </c>
      <c r="S35" t="str">
        <f>"*"&amp;ROUND(SUMIFS(RoadTra_BY!AA$2:AA$79,RoadTra_BY!$B$2:$B$79,'Road transport'!$C35,RoadTra_BY!$C$2:$C$79,'Road transport'!$BA35),3)</f>
        <v>*0.072</v>
      </c>
      <c r="T35" t="str">
        <f>"*"&amp;ROUND(SUMIFS(RoadTra_BY!AB$2:AB$79,RoadTra_BY!$B$2:$B$79,'Road transport'!$C35,RoadTra_BY!$C$2:$C$79,'Road transport'!$BA35),3)</f>
        <v>*0.072</v>
      </c>
      <c r="U35" t="str">
        <f>"*"&amp;ROUND(SUMIFS(RoadTra_BY!AC$2:AC$79,RoadTra_BY!$B$2:$B$79,'Road transport'!$C35,RoadTra_BY!$C$2:$C$79,'Road transport'!$BA35),3)</f>
        <v>*0.072</v>
      </c>
      <c r="V35" t="str">
        <f>"*"&amp;ROUND(SUMIFS(RoadTra_BY!AD$2:AD$79,RoadTra_BY!$B$2:$B$79,'Road transport'!$C35,RoadTra_BY!$C$2:$C$79,'Road transport'!$BA35),3)</f>
        <v>*0.072</v>
      </c>
      <c r="W35" t="str">
        <f>"*"&amp;ROUND(SUMIFS(RoadTra_BY!AE$2:AE$79,RoadTra_BY!$B$2:$B$79,'Road transport'!$C35,RoadTra_BY!$C$2:$C$79,'Road transport'!$BA35),3)</f>
        <v>*0.072</v>
      </c>
      <c r="X35" t="str">
        <f>"*"&amp;ROUND(SUMIFS(RoadTra_BY!AF$2:AF$79,RoadTra_BY!$B$2:$B$79,'Road transport'!$C35,RoadTra_BY!$C$2:$C$79,'Road transport'!$BA35),3)</f>
        <v>*0.072</v>
      </c>
      <c r="Y35" t="str">
        <f>"*"&amp;ROUND(SUMIFS(RoadTra_BY!AG$2:AG$79,RoadTra_BY!$B$2:$B$79,'Road transport'!$C35,RoadTra_BY!$C$2:$C$79,'Road transport'!$BA35),3)</f>
        <v>*0.072</v>
      </c>
      <c r="Z35" t="str">
        <f>"*"&amp;ROUND(SUMIFS(RoadTra_BY!AH$2:AH$79,RoadTra_BY!$B$2:$B$79,'Road transport'!$C35,RoadTra_BY!$C$2:$C$79,'Road transport'!$BA35),3)</f>
        <v>*0.072</v>
      </c>
      <c r="AA35" t="str">
        <f>"*"&amp;ROUND(SUMIFS(RoadTra_BY!AI$2:AI$79,RoadTra_BY!$B$2:$B$79,'Road transport'!$C35,RoadTra_BY!$C$2:$C$79,'Road transport'!$BA35),3)</f>
        <v>*0.072</v>
      </c>
      <c r="AB35" t="str">
        <f>"*"&amp;ROUND(SUMIFS(RoadTra_BY!AJ$2:AJ$79,RoadTra_BY!$B$2:$B$79,'Road transport'!$C35,RoadTra_BY!$C$2:$C$79,'Road transport'!$BA35),3)</f>
        <v>*0.072</v>
      </c>
      <c r="AC35" t="str">
        <f>"*"&amp;ROUND(SUMIFS(RoadTra_BY!AK$2:AK$79,RoadTra_BY!$B$2:$B$79,'Road transport'!$C35,RoadTra_BY!$C$2:$C$79,'Road transport'!$BA35),3)</f>
        <v>*0.072</v>
      </c>
      <c r="AD35" t="str">
        <f>"*"&amp;ROUND(SUMIFS(RoadTra_BY!AL$2:AL$79,RoadTra_BY!$B$2:$B$79,'Road transport'!$C35,RoadTra_BY!$C$2:$C$79,'Road transport'!$BA35),3)</f>
        <v>*0.072</v>
      </c>
      <c r="AE35" t="str">
        <f>"*"&amp;ROUND(SUMIFS(RoadTra_BY!AM$2:AM$79,RoadTra_BY!$B$2:$B$79,'Road transport'!$C35,RoadTra_BY!$C$2:$C$79,'Road transport'!$BA35),3)</f>
        <v>*0.072</v>
      </c>
      <c r="AF35" t="str">
        <f>"*"&amp;ROUND(SUMIFS(RoadTra_BY!AN$2:AN$79,RoadTra_BY!$B$2:$B$79,'Road transport'!$C35,RoadTra_BY!$C$2:$C$79,'Road transport'!$BA35),3)</f>
        <v>*0.072</v>
      </c>
      <c r="AG35" t="str">
        <f>"*"&amp;ROUND(SUMIFS(RoadTra_BY!AO$2:AO$79,RoadTra_BY!$B$2:$B$79,'Road transport'!$C35,RoadTra_BY!$C$2:$C$79,'Road transport'!$BA35),3)</f>
        <v>*0.072</v>
      </c>
      <c r="AH35" t="str">
        <f>"*"&amp;ROUND(SUMIFS(RoadTra_BY!AP$2:AP$79,RoadTra_BY!$B$2:$B$79,'Road transport'!$C35,RoadTra_BY!$C$2:$C$79,'Road transport'!$BA35),3)</f>
        <v>*0.072</v>
      </c>
      <c r="AI35" t="str">
        <f>"*"&amp;ROUND(SUMIFS(RoadTra_BY!AQ$2:AQ$79,RoadTra_BY!$B$2:$B$79,'Road transport'!$C35,RoadTra_BY!$C$2:$C$79,'Road transport'!$BA35),3)</f>
        <v>*0.072</v>
      </c>
      <c r="AJ35" t="str">
        <f>"*"&amp;ROUND(SUMIFS(RoadTra_BY!AR$2:AR$79,RoadTra_BY!$B$2:$B$79,'Road transport'!$C35,RoadTra_BY!$C$2:$C$79,'Road transport'!$BA35),3)</f>
        <v>*0.072</v>
      </c>
      <c r="AK35" t="str">
        <f>"*"&amp;ROUND(SUMIFS(RoadTra_BY!AS$2:AS$79,RoadTra_BY!$B$2:$B$79,'Road transport'!$C35,RoadTra_BY!$C$2:$C$79,'Road transport'!$BA35),3)</f>
        <v>*0.072</v>
      </c>
      <c r="AL35" t="str">
        <f>"*"&amp;ROUND(SUMIFS(RoadTra_BY!AT$2:AT$79,RoadTra_BY!$B$2:$B$79,'Road transport'!$C35,RoadTra_BY!$C$2:$C$79,'Road transport'!$BA35),3)</f>
        <v>*0.072</v>
      </c>
      <c r="AM35" t="str">
        <f>"*"&amp;ROUND(SUMIFS(RoadTra_BY!AU$2:AU$79,RoadTra_BY!$B$2:$B$79,'Road transport'!$C35,RoadTra_BY!$C$2:$C$79,'Road transport'!$BA35),3)</f>
        <v>*0</v>
      </c>
      <c r="AN35" t="str">
        <f>"*"&amp;ROUND(SUMIFS(RoadTra_BY!AV$2:AV$79,RoadTra_BY!$B$2:$B$79,'Road transport'!$C35,RoadTra_BY!$C$2:$C$79,'Road transport'!$BA35),3)</f>
        <v>*0</v>
      </c>
      <c r="AO35" t="str">
        <f>"*"&amp;ROUND(SUMIFS(RoadTra_BY!AW$2:AW$79,RoadTra_BY!$B$2:$B$79,'Road transport'!$C35,RoadTra_BY!$C$2:$C$79,'Road transport'!$BA35),3)</f>
        <v>*0</v>
      </c>
      <c r="AP35" t="str">
        <f>"*"&amp;ROUND(SUMIFS(RoadTra_BY!AX$2:AX$79,RoadTra_BY!$B$2:$B$79,'Road transport'!$C35,RoadTra_BY!$C$2:$C$79,'Road transport'!$BA35),3)</f>
        <v>*0</v>
      </c>
      <c r="AQ35" t="str">
        <f>"*"&amp;ROUND(SUMIFS(RoadTra_BY!AY$2:AY$79,RoadTra_BY!$B$2:$B$79,'Road transport'!$C35,RoadTra_BY!$C$2:$C$79,'Road transport'!$BA35),3)</f>
        <v>*0</v>
      </c>
      <c r="AR35" t="str">
        <f>"*"&amp;ROUND(SUMIFS(RoadTra_BY!AZ$2:AZ$79,RoadTra_BY!$B$2:$B$79,'Road transport'!$C35,RoadTra_BY!$C$2:$C$79,'Road transport'!$BA35),3)</f>
        <v>*0</v>
      </c>
      <c r="AS35" t="str">
        <f>"*"&amp;ROUND(SUMIFS(RoadTra_BY!BA$2:BA$79,RoadTra_BY!$B$2:$B$79,'Road transport'!$C35,RoadTra_BY!$C$2:$C$79,'Road transport'!$BA35),3)</f>
        <v>*0</v>
      </c>
      <c r="AT35" t="str">
        <f>"*"&amp;ROUND(SUMIFS(RoadTra_BY!BB$2:BB$79,RoadTra_BY!$B$2:$B$79,'Road transport'!$C35,RoadTra_BY!$C$2:$C$79,'Road transport'!$BA35),3)</f>
        <v>*0</v>
      </c>
      <c r="AU35" t="str">
        <f>"*"&amp;ROUND(SUMIFS(RoadTra_BY!BC$2:BC$79,RoadTra_BY!$B$2:$B$79,'Road transport'!$C35,RoadTra_BY!$C$2:$C$79,'Road transport'!$BA35),3)</f>
        <v>*0</v>
      </c>
      <c r="AV35" t="str">
        <f>"*"&amp;ROUND(SUMIFS(RoadTra_BY!BD$2:BD$79,RoadTra_BY!$B$2:$B$79,'Road transport'!$C35,RoadTra_BY!$C$2:$C$79,'Road transport'!$BA35),3)</f>
        <v>*0</v>
      </c>
      <c r="AW35" t="str">
        <f>"*"&amp;ROUND(SUMIFS(RoadTra_BY!BE$2:BE$79,RoadTra_BY!$B$2:$B$79,'Road transport'!$C35,RoadTra_BY!$C$2:$C$79,'Road transport'!$BA35),3)</f>
        <v>*0</v>
      </c>
      <c r="AX35" t="str">
        <f t="shared" si="1"/>
        <v>Trd_bus_*</v>
      </c>
      <c r="AZ35">
        <f t="shared" si="0"/>
        <v>2</v>
      </c>
      <c r="BA35" t="s">
        <v>109</v>
      </c>
    </row>
    <row r="36" spans="3:53">
      <c r="C36" t="s">
        <v>62</v>
      </c>
      <c r="D36" t="str">
        <f>"*"&amp;ROUND(SUMIFS(RoadTra_BY!L$2:L$79,RoadTra_BY!$B$2:$B$79,'Road transport'!$C36,RoadTra_BY!$C$2:$C$79,'Road transport'!$BA36),3)</f>
        <v>*0.466</v>
      </c>
      <c r="E36" t="str">
        <f>"*"&amp;ROUND(SUMIFS(RoadTra_BY!M$2:M$79,RoadTra_BY!$B$2:$B$79,'Road transport'!$C36,RoadTra_BY!$C$2:$C$79,'Road transport'!$BA36),3)</f>
        <v>*0.466</v>
      </c>
      <c r="F36" t="str">
        <f>"*"&amp;ROUND(SUMIFS(RoadTra_BY!N$2:N$79,RoadTra_BY!$B$2:$B$79,'Road transport'!$C36,RoadTra_BY!$C$2:$C$79,'Road transport'!$BA36),3)</f>
        <v>*0.466</v>
      </c>
      <c r="G36" t="str">
        <f>"*"&amp;ROUND(SUMIFS(RoadTra_BY!O$2:O$79,RoadTra_BY!$B$2:$B$79,'Road transport'!$C36,RoadTra_BY!$C$2:$C$79,'Road transport'!$BA36),3)</f>
        <v>*0.466</v>
      </c>
      <c r="H36" t="str">
        <f>"*"&amp;ROUND(SUMIFS(RoadTra_BY!P$2:P$79,RoadTra_BY!$B$2:$B$79,'Road transport'!$C36,RoadTra_BY!$C$2:$C$79,'Road transport'!$BA36),3)</f>
        <v>*0.466</v>
      </c>
      <c r="I36" t="str">
        <f>"*"&amp;ROUND(SUMIFS(RoadTra_BY!Q$2:Q$79,RoadTra_BY!$B$2:$B$79,'Road transport'!$C36,RoadTra_BY!$C$2:$C$79,'Road transport'!$BA36),3)</f>
        <v>*0.466</v>
      </c>
      <c r="J36" t="str">
        <f>"*"&amp;ROUND(SUMIFS(RoadTra_BY!R$2:R$79,RoadTra_BY!$B$2:$B$79,'Road transport'!$C36,RoadTra_BY!$C$2:$C$79,'Road transport'!$BA36),3)</f>
        <v>*0.466</v>
      </c>
      <c r="K36" t="str">
        <f>"*"&amp;ROUND(SUMIFS(RoadTra_BY!S$2:S$79,RoadTra_BY!$B$2:$B$79,'Road transport'!$C36,RoadTra_BY!$C$2:$C$79,'Road transport'!$BA36),3)</f>
        <v>*0.466</v>
      </c>
      <c r="L36" t="str">
        <f>"*"&amp;ROUND(SUMIFS(RoadTra_BY!T$2:T$79,RoadTra_BY!$B$2:$B$79,'Road transport'!$C36,RoadTra_BY!$C$2:$C$79,'Road transport'!$BA36),3)</f>
        <v>*0.466</v>
      </c>
      <c r="M36" t="str">
        <f>"*"&amp;ROUND(SUMIFS(RoadTra_BY!U$2:U$79,RoadTra_BY!$B$2:$B$79,'Road transport'!$C36,RoadTra_BY!$C$2:$C$79,'Road transport'!$BA36),3)</f>
        <v>*0.466</v>
      </c>
      <c r="N36" t="str">
        <f>"*"&amp;ROUND(SUMIFS(RoadTra_BY!V$2:V$79,RoadTra_BY!$B$2:$B$79,'Road transport'!$C36,RoadTra_BY!$C$2:$C$79,'Road transport'!$BA36),3)</f>
        <v>*0.466</v>
      </c>
      <c r="O36" t="str">
        <f>"*"&amp;ROUND(SUMIFS(RoadTra_BY!W$2:W$79,RoadTra_BY!$B$2:$B$79,'Road transport'!$C36,RoadTra_BY!$C$2:$C$79,'Road transport'!$BA36),3)</f>
        <v>*0.466</v>
      </c>
      <c r="P36" t="str">
        <f>"*"&amp;ROUND(SUMIFS(RoadTra_BY!X$2:X$79,RoadTra_BY!$B$2:$B$79,'Road transport'!$C36,RoadTra_BY!$C$2:$C$79,'Road transport'!$BA36),3)</f>
        <v>*0.466</v>
      </c>
      <c r="Q36" t="str">
        <f>"*"&amp;ROUND(SUMIFS(RoadTra_BY!Y$2:Y$79,RoadTra_BY!$B$2:$B$79,'Road transport'!$C36,RoadTra_BY!$C$2:$C$79,'Road transport'!$BA36),3)</f>
        <v>*0.466</v>
      </c>
      <c r="R36" t="str">
        <f>"*"&amp;ROUND(SUMIFS(RoadTra_BY!Z$2:Z$79,RoadTra_BY!$B$2:$B$79,'Road transport'!$C36,RoadTra_BY!$C$2:$C$79,'Road transport'!$BA36),3)</f>
        <v>*0.466</v>
      </c>
      <c r="S36" t="str">
        <f>"*"&amp;ROUND(SUMIFS(RoadTra_BY!AA$2:AA$79,RoadTra_BY!$B$2:$B$79,'Road transport'!$C36,RoadTra_BY!$C$2:$C$79,'Road transport'!$BA36),3)</f>
        <v>*0.466</v>
      </c>
      <c r="T36" t="str">
        <f>"*"&amp;ROUND(SUMIFS(RoadTra_BY!AB$2:AB$79,RoadTra_BY!$B$2:$B$79,'Road transport'!$C36,RoadTra_BY!$C$2:$C$79,'Road transport'!$BA36),3)</f>
        <v>*0.466</v>
      </c>
      <c r="U36" t="str">
        <f>"*"&amp;ROUND(SUMIFS(RoadTra_BY!AC$2:AC$79,RoadTra_BY!$B$2:$B$79,'Road transport'!$C36,RoadTra_BY!$C$2:$C$79,'Road transport'!$BA36),3)</f>
        <v>*0.466</v>
      </c>
      <c r="V36" t="str">
        <f>"*"&amp;ROUND(SUMIFS(RoadTra_BY!AD$2:AD$79,RoadTra_BY!$B$2:$B$79,'Road transport'!$C36,RoadTra_BY!$C$2:$C$79,'Road transport'!$BA36),3)</f>
        <v>*0.466</v>
      </c>
      <c r="W36" t="str">
        <f>"*"&amp;ROUND(SUMIFS(RoadTra_BY!AE$2:AE$79,RoadTra_BY!$B$2:$B$79,'Road transport'!$C36,RoadTra_BY!$C$2:$C$79,'Road transport'!$BA36),3)</f>
        <v>*0.466</v>
      </c>
      <c r="X36" t="str">
        <f>"*"&amp;ROUND(SUMIFS(RoadTra_BY!AF$2:AF$79,RoadTra_BY!$B$2:$B$79,'Road transport'!$C36,RoadTra_BY!$C$2:$C$79,'Road transport'!$BA36),3)</f>
        <v>*0.466</v>
      </c>
      <c r="Y36" t="str">
        <f>"*"&amp;ROUND(SUMIFS(RoadTra_BY!AG$2:AG$79,RoadTra_BY!$B$2:$B$79,'Road transport'!$C36,RoadTra_BY!$C$2:$C$79,'Road transport'!$BA36),3)</f>
        <v>*0.28</v>
      </c>
      <c r="Z36" t="str">
        <f>"*"&amp;ROUND(SUMIFS(RoadTra_BY!AH$2:AH$79,RoadTra_BY!$B$2:$B$79,'Road transport'!$C36,RoadTra_BY!$C$2:$C$79,'Road transport'!$BA36),3)</f>
        <v>*0.466</v>
      </c>
      <c r="AA36" t="str">
        <f>"*"&amp;ROUND(SUMIFS(RoadTra_BY!AI$2:AI$79,RoadTra_BY!$B$2:$B$79,'Road transport'!$C36,RoadTra_BY!$C$2:$C$79,'Road transport'!$BA36),3)</f>
        <v>*0.466</v>
      </c>
      <c r="AB36" t="str">
        <f>"*"&amp;ROUND(SUMIFS(RoadTra_BY!AJ$2:AJ$79,RoadTra_BY!$B$2:$B$79,'Road transport'!$C36,RoadTra_BY!$C$2:$C$79,'Road transport'!$BA36),3)</f>
        <v>*0.466</v>
      </c>
      <c r="AC36" t="str">
        <f>"*"&amp;ROUND(SUMIFS(RoadTra_BY!AK$2:AK$79,RoadTra_BY!$B$2:$B$79,'Road transport'!$C36,RoadTra_BY!$C$2:$C$79,'Road transport'!$BA36),3)</f>
        <v>*0.466</v>
      </c>
      <c r="AD36" t="str">
        <f>"*"&amp;ROUND(SUMIFS(RoadTra_BY!AL$2:AL$79,RoadTra_BY!$B$2:$B$79,'Road transport'!$C36,RoadTra_BY!$C$2:$C$79,'Road transport'!$BA36),3)</f>
        <v>*0.466</v>
      </c>
      <c r="AE36" t="str">
        <f>"*"&amp;ROUND(SUMIFS(RoadTra_BY!AM$2:AM$79,RoadTra_BY!$B$2:$B$79,'Road transport'!$C36,RoadTra_BY!$C$2:$C$79,'Road transport'!$BA36),3)</f>
        <v>*0.466</v>
      </c>
      <c r="AF36" t="str">
        <f>"*"&amp;ROUND(SUMIFS(RoadTra_BY!AN$2:AN$79,RoadTra_BY!$B$2:$B$79,'Road transport'!$C36,RoadTra_BY!$C$2:$C$79,'Road transport'!$BA36),3)</f>
        <v>*0.466</v>
      </c>
      <c r="AG36" t="str">
        <f>"*"&amp;ROUND(SUMIFS(RoadTra_BY!AO$2:AO$79,RoadTra_BY!$B$2:$B$79,'Road transport'!$C36,RoadTra_BY!$C$2:$C$79,'Road transport'!$BA36),3)</f>
        <v>*0.466</v>
      </c>
      <c r="AH36" t="str">
        <f>"*"&amp;ROUND(SUMIFS(RoadTra_BY!AP$2:AP$79,RoadTra_BY!$B$2:$B$79,'Road transport'!$C36,RoadTra_BY!$C$2:$C$79,'Road transport'!$BA36),3)</f>
        <v>*0.466</v>
      </c>
      <c r="AI36" t="str">
        <f>"*"&amp;ROUND(SUMIFS(RoadTra_BY!AQ$2:AQ$79,RoadTra_BY!$B$2:$B$79,'Road transport'!$C36,RoadTra_BY!$C$2:$C$79,'Road transport'!$BA36),3)</f>
        <v>*0.466</v>
      </c>
      <c r="AJ36" t="str">
        <f>"*"&amp;ROUND(SUMIFS(RoadTra_BY!AR$2:AR$79,RoadTra_BY!$B$2:$B$79,'Road transport'!$C36,RoadTra_BY!$C$2:$C$79,'Road transport'!$BA36),3)</f>
        <v>*0.466</v>
      </c>
      <c r="AK36" t="str">
        <f>"*"&amp;ROUND(SUMIFS(RoadTra_BY!AS$2:AS$79,RoadTra_BY!$B$2:$B$79,'Road transport'!$C36,RoadTra_BY!$C$2:$C$79,'Road transport'!$BA36),3)</f>
        <v>*0.466</v>
      </c>
      <c r="AL36" t="str">
        <f>"*"&amp;ROUND(SUMIFS(RoadTra_BY!AT$2:AT$79,RoadTra_BY!$B$2:$B$79,'Road transport'!$C36,RoadTra_BY!$C$2:$C$79,'Road transport'!$BA36),3)</f>
        <v>*0.466</v>
      </c>
      <c r="AM36" t="str">
        <f>"*"&amp;ROUND(SUMIFS(RoadTra_BY!AU$2:AU$79,RoadTra_BY!$B$2:$B$79,'Road transport'!$C36,RoadTra_BY!$C$2:$C$79,'Road transport'!$BA36),3)</f>
        <v>*0</v>
      </c>
      <c r="AN36" t="str">
        <f>"*"&amp;ROUND(SUMIFS(RoadTra_BY!AV$2:AV$79,RoadTra_BY!$B$2:$B$79,'Road transport'!$C36,RoadTra_BY!$C$2:$C$79,'Road transport'!$BA36),3)</f>
        <v>*0</v>
      </c>
      <c r="AO36" t="str">
        <f>"*"&amp;ROUND(SUMIFS(RoadTra_BY!AW$2:AW$79,RoadTra_BY!$B$2:$B$79,'Road transport'!$C36,RoadTra_BY!$C$2:$C$79,'Road transport'!$BA36),3)</f>
        <v>*0</v>
      </c>
      <c r="AP36" t="str">
        <f>"*"&amp;ROUND(SUMIFS(RoadTra_BY!AX$2:AX$79,RoadTra_BY!$B$2:$B$79,'Road transport'!$C36,RoadTra_BY!$C$2:$C$79,'Road transport'!$BA36),3)</f>
        <v>*0</v>
      </c>
      <c r="AQ36" t="str">
        <f>"*"&amp;ROUND(SUMIFS(RoadTra_BY!AY$2:AY$79,RoadTra_BY!$B$2:$B$79,'Road transport'!$C36,RoadTra_BY!$C$2:$C$79,'Road transport'!$BA36),3)</f>
        <v>*0</v>
      </c>
      <c r="AR36" t="str">
        <f>"*"&amp;ROUND(SUMIFS(RoadTra_BY!AZ$2:AZ$79,RoadTra_BY!$B$2:$B$79,'Road transport'!$C36,RoadTra_BY!$C$2:$C$79,'Road transport'!$BA36),3)</f>
        <v>*0</v>
      </c>
      <c r="AS36" t="str">
        <f>"*"&amp;ROUND(SUMIFS(RoadTra_BY!BA$2:BA$79,RoadTra_BY!$B$2:$B$79,'Road transport'!$C36,RoadTra_BY!$C$2:$C$79,'Road transport'!$BA36),3)</f>
        <v>*0</v>
      </c>
      <c r="AT36" t="str">
        <f>"*"&amp;ROUND(SUMIFS(RoadTra_BY!BB$2:BB$79,RoadTra_BY!$B$2:$B$79,'Road transport'!$C36,RoadTra_BY!$C$2:$C$79,'Road transport'!$BA36),3)</f>
        <v>*0</v>
      </c>
      <c r="AU36" t="str">
        <f>"*"&amp;ROUND(SUMIFS(RoadTra_BY!BC$2:BC$79,RoadTra_BY!$B$2:$B$79,'Road transport'!$C36,RoadTra_BY!$C$2:$C$79,'Road transport'!$BA36),3)</f>
        <v>*0</v>
      </c>
      <c r="AV36" t="str">
        <f>"*"&amp;ROUND(SUMIFS(RoadTra_BY!BD$2:BD$79,RoadTra_BY!$B$2:$B$79,'Road transport'!$C36,RoadTra_BY!$C$2:$C$79,'Road transport'!$BA36),3)</f>
        <v>*0</v>
      </c>
      <c r="AW36" t="str">
        <f>"*"&amp;ROUND(SUMIFS(RoadTra_BY!BE$2:BE$79,RoadTra_BY!$B$2:$B$79,'Road transport'!$C36,RoadTra_BY!$C$2:$C$79,'Road transport'!$BA36),3)</f>
        <v>*0</v>
      </c>
      <c r="AX36" t="str">
        <f t="shared" si="1"/>
        <v>Trd_car_*</v>
      </c>
      <c r="AZ36">
        <f t="shared" si="0"/>
        <v>1</v>
      </c>
      <c r="BA36" t="s">
        <v>110</v>
      </c>
    </row>
    <row r="37" spans="3:53">
      <c r="C37" t="s">
        <v>62</v>
      </c>
      <c r="D37" t="str">
        <f>"*"&amp;ROUND(SUMIFS(RoadTra_BY!L$2:L$79,RoadTra_BY!$B$2:$B$79,'Road transport'!$C37,RoadTra_BY!$C$2:$C$79,'Road transport'!$BA37),3)</f>
        <v>*0.139</v>
      </c>
      <c r="E37" t="str">
        <f>"*"&amp;ROUND(SUMIFS(RoadTra_BY!M$2:M$79,RoadTra_BY!$B$2:$B$79,'Road transport'!$C37,RoadTra_BY!$C$2:$C$79,'Road transport'!$BA37),3)</f>
        <v>*0.139</v>
      </c>
      <c r="F37" t="str">
        <f>"*"&amp;ROUND(SUMIFS(RoadTra_BY!N$2:N$79,RoadTra_BY!$B$2:$B$79,'Road transport'!$C37,RoadTra_BY!$C$2:$C$79,'Road transport'!$BA37),3)</f>
        <v>*0.139</v>
      </c>
      <c r="G37" t="str">
        <f>"*"&amp;ROUND(SUMIFS(RoadTra_BY!O$2:O$79,RoadTra_BY!$B$2:$B$79,'Road transport'!$C37,RoadTra_BY!$C$2:$C$79,'Road transport'!$BA37),3)</f>
        <v>*0.139</v>
      </c>
      <c r="H37" t="str">
        <f>"*"&amp;ROUND(SUMIFS(RoadTra_BY!P$2:P$79,RoadTra_BY!$B$2:$B$79,'Road transport'!$C37,RoadTra_BY!$C$2:$C$79,'Road transport'!$BA37),3)</f>
        <v>*0.139</v>
      </c>
      <c r="I37" t="str">
        <f>"*"&amp;ROUND(SUMIFS(RoadTra_BY!Q$2:Q$79,RoadTra_BY!$B$2:$B$79,'Road transport'!$C37,RoadTra_BY!$C$2:$C$79,'Road transport'!$BA37),3)</f>
        <v>*0.139</v>
      </c>
      <c r="J37" t="str">
        <f>"*"&amp;ROUND(SUMIFS(RoadTra_BY!R$2:R$79,RoadTra_BY!$B$2:$B$79,'Road transport'!$C37,RoadTra_BY!$C$2:$C$79,'Road transport'!$BA37),3)</f>
        <v>*0.139</v>
      </c>
      <c r="K37" t="str">
        <f>"*"&amp;ROUND(SUMIFS(RoadTra_BY!S$2:S$79,RoadTra_BY!$B$2:$B$79,'Road transport'!$C37,RoadTra_BY!$C$2:$C$79,'Road transport'!$BA37),3)</f>
        <v>*0.139</v>
      </c>
      <c r="L37" t="str">
        <f>"*"&amp;ROUND(SUMIFS(RoadTra_BY!T$2:T$79,RoadTra_BY!$B$2:$B$79,'Road transport'!$C37,RoadTra_BY!$C$2:$C$79,'Road transport'!$BA37),3)</f>
        <v>*0.139</v>
      </c>
      <c r="M37" t="str">
        <f>"*"&amp;ROUND(SUMIFS(RoadTra_BY!U$2:U$79,RoadTra_BY!$B$2:$B$79,'Road transport'!$C37,RoadTra_BY!$C$2:$C$79,'Road transport'!$BA37),3)</f>
        <v>*0.139</v>
      </c>
      <c r="N37" t="str">
        <f>"*"&amp;ROUND(SUMIFS(RoadTra_BY!V$2:V$79,RoadTra_BY!$B$2:$B$79,'Road transport'!$C37,RoadTra_BY!$C$2:$C$79,'Road transport'!$BA37),3)</f>
        <v>*0.139</v>
      </c>
      <c r="O37" t="str">
        <f>"*"&amp;ROUND(SUMIFS(RoadTra_BY!W$2:W$79,RoadTra_BY!$B$2:$B$79,'Road transport'!$C37,RoadTra_BY!$C$2:$C$79,'Road transport'!$BA37),3)</f>
        <v>*0.139</v>
      </c>
      <c r="P37" t="str">
        <f>"*"&amp;ROUND(SUMIFS(RoadTra_BY!X$2:X$79,RoadTra_BY!$B$2:$B$79,'Road transport'!$C37,RoadTra_BY!$C$2:$C$79,'Road transport'!$BA37),3)</f>
        <v>*0.139</v>
      </c>
      <c r="Q37" t="str">
        <f>"*"&amp;ROUND(SUMIFS(RoadTra_BY!Y$2:Y$79,RoadTra_BY!$B$2:$B$79,'Road transport'!$C37,RoadTra_BY!$C$2:$C$79,'Road transport'!$BA37),3)</f>
        <v>*0.139</v>
      </c>
      <c r="R37" t="str">
        <f>"*"&amp;ROUND(SUMIFS(RoadTra_BY!Z$2:Z$79,RoadTra_BY!$B$2:$B$79,'Road transport'!$C37,RoadTra_BY!$C$2:$C$79,'Road transport'!$BA37),3)</f>
        <v>*0.139</v>
      </c>
      <c r="S37" t="str">
        <f>"*"&amp;ROUND(SUMIFS(RoadTra_BY!AA$2:AA$79,RoadTra_BY!$B$2:$B$79,'Road transport'!$C37,RoadTra_BY!$C$2:$C$79,'Road transport'!$BA37),3)</f>
        <v>*0.139</v>
      </c>
      <c r="T37" t="str">
        <f>"*"&amp;ROUND(SUMIFS(RoadTra_BY!AB$2:AB$79,RoadTra_BY!$B$2:$B$79,'Road transport'!$C37,RoadTra_BY!$C$2:$C$79,'Road transport'!$BA37),3)</f>
        <v>*0.139</v>
      </c>
      <c r="U37" t="str">
        <f>"*"&amp;ROUND(SUMIFS(RoadTra_BY!AC$2:AC$79,RoadTra_BY!$B$2:$B$79,'Road transport'!$C37,RoadTra_BY!$C$2:$C$79,'Road transport'!$BA37),3)</f>
        <v>*0.139</v>
      </c>
      <c r="V37" t="str">
        <f>"*"&amp;ROUND(SUMIFS(RoadTra_BY!AD$2:AD$79,RoadTra_BY!$B$2:$B$79,'Road transport'!$C37,RoadTra_BY!$C$2:$C$79,'Road transport'!$BA37),3)</f>
        <v>*0.139</v>
      </c>
      <c r="W37" t="str">
        <f>"*"&amp;ROUND(SUMIFS(RoadTra_BY!AE$2:AE$79,RoadTra_BY!$B$2:$B$79,'Road transport'!$C37,RoadTra_BY!$C$2:$C$79,'Road transport'!$BA37),3)</f>
        <v>*0.139</v>
      </c>
      <c r="X37" t="str">
        <f>"*"&amp;ROUND(SUMIFS(RoadTra_BY!AF$2:AF$79,RoadTra_BY!$B$2:$B$79,'Road transport'!$C37,RoadTra_BY!$C$2:$C$79,'Road transport'!$BA37),3)</f>
        <v>*0.139</v>
      </c>
      <c r="Y37" t="str">
        <f>"*"&amp;ROUND(SUMIFS(RoadTra_BY!AG$2:AG$79,RoadTra_BY!$B$2:$B$79,'Road transport'!$C37,RoadTra_BY!$C$2:$C$79,'Road transport'!$BA37),3)</f>
        <v>*0.139</v>
      </c>
      <c r="Z37" t="str">
        <f>"*"&amp;ROUND(SUMIFS(RoadTra_BY!AH$2:AH$79,RoadTra_BY!$B$2:$B$79,'Road transport'!$C37,RoadTra_BY!$C$2:$C$79,'Road transport'!$BA37),3)</f>
        <v>*0.139</v>
      </c>
      <c r="AA37" t="str">
        <f>"*"&amp;ROUND(SUMIFS(RoadTra_BY!AI$2:AI$79,RoadTra_BY!$B$2:$B$79,'Road transport'!$C37,RoadTra_BY!$C$2:$C$79,'Road transport'!$BA37),3)</f>
        <v>*0.139</v>
      </c>
      <c r="AB37" t="str">
        <f>"*"&amp;ROUND(SUMIFS(RoadTra_BY!AJ$2:AJ$79,RoadTra_BY!$B$2:$B$79,'Road transport'!$C37,RoadTra_BY!$C$2:$C$79,'Road transport'!$BA37),3)</f>
        <v>*0.139</v>
      </c>
      <c r="AC37" t="str">
        <f>"*"&amp;ROUND(SUMIFS(RoadTra_BY!AK$2:AK$79,RoadTra_BY!$B$2:$B$79,'Road transport'!$C37,RoadTra_BY!$C$2:$C$79,'Road transport'!$BA37),3)</f>
        <v>*0.139</v>
      </c>
      <c r="AD37" t="str">
        <f>"*"&amp;ROUND(SUMIFS(RoadTra_BY!AL$2:AL$79,RoadTra_BY!$B$2:$B$79,'Road transport'!$C37,RoadTra_BY!$C$2:$C$79,'Road transport'!$BA37),3)</f>
        <v>*0.139</v>
      </c>
      <c r="AE37" t="str">
        <f>"*"&amp;ROUND(SUMIFS(RoadTra_BY!AM$2:AM$79,RoadTra_BY!$B$2:$B$79,'Road transport'!$C37,RoadTra_BY!$C$2:$C$79,'Road transport'!$BA37),3)</f>
        <v>*0.139</v>
      </c>
      <c r="AF37" t="str">
        <f>"*"&amp;ROUND(SUMIFS(RoadTra_BY!AN$2:AN$79,RoadTra_BY!$B$2:$B$79,'Road transport'!$C37,RoadTra_BY!$C$2:$C$79,'Road transport'!$BA37),3)</f>
        <v>*0.139</v>
      </c>
      <c r="AG37" t="str">
        <f>"*"&amp;ROUND(SUMIFS(RoadTra_BY!AO$2:AO$79,RoadTra_BY!$B$2:$B$79,'Road transport'!$C37,RoadTra_BY!$C$2:$C$79,'Road transport'!$BA37),3)</f>
        <v>*0.139</v>
      </c>
      <c r="AH37" t="str">
        <f>"*"&amp;ROUND(SUMIFS(RoadTra_BY!AP$2:AP$79,RoadTra_BY!$B$2:$B$79,'Road transport'!$C37,RoadTra_BY!$C$2:$C$79,'Road transport'!$BA37),3)</f>
        <v>*0.139</v>
      </c>
      <c r="AI37" t="str">
        <f>"*"&amp;ROUND(SUMIFS(RoadTra_BY!AQ$2:AQ$79,RoadTra_BY!$B$2:$B$79,'Road transport'!$C37,RoadTra_BY!$C$2:$C$79,'Road transport'!$BA37),3)</f>
        <v>*0.139</v>
      </c>
      <c r="AJ37" t="str">
        <f>"*"&amp;ROUND(SUMIFS(RoadTra_BY!AR$2:AR$79,RoadTra_BY!$B$2:$B$79,'Road transport'!$C37,RoadTra_BY!$C$2:$C$79,'Road transport'!$BA37),3)</f>
        <v>*0.139</v>
      </c>
      <c r="AK37" t="str">
        <f>"*"&amp;ROUND(SUMIFS(RoadTra_BY!AS$2:AS$79,RoadTra_BY!$B$2:$B$79,'Road transport'!$C37,RoadTra_BY!$C$2:$C$79,'Road transport'!$BA37),3)</f>
        <v>*0.139</v>
      </c>
      <c r="AL37" t="str">
        <f>"*"&amp;ROUND(SUMIFS(RoadTra_BY!AT$2:AT$79,RoadTra_BY!$B$2:$B$79,'Road transport'!$C37,RoadTra_BY!$C$2:$C$79,'Road transport'!$BA37),3)</f>
        <v>*0.139</v>
      </c>
      <c r="AM37" t="str">
        <f>"*"&amp;ROUND(SUMIFS(RoadTra_BY!AU$2:AU$79,RoadTra_BY!$B$2:$B$79,'Road transport'!$C37,RoadTra_BY!$C$2:$C$79,'Road transport'!$BA37),3)</f>
        <v>*0</v>
      </c>
      <c r="AN37" t="str">
        <f>"*"&amp;ROUND(SUMIFS(RoadTra_BY!AV$2:AV$79,RoadTra_BY!$B$2:$B$79,'Road transport'!$C37,RoadTra_BY!$C$2:$C$79,'Road transport'!$BA37),3)</f>
        <v>*0</v>
      </c>
      <c r="AO37" t="str">
        <f>"*"&amp;ROUND(SUMIFS(RoadTra_BY!AW$2:AW$79,RoadTra_BY!$B$2:$B$79,'Road transport'!$C37,RoadTra_BY!$C$2:$C$79,'Road transport'!$BA37),3)</f>
        <v>*0</v>
      </c>
      <c r="AP37" t="str">
        <f>"*"&amp;ROUND(SUMIFS(RoadTra_BY!AX$2:AX$79,RoadTra_BY!$B$2:$B$79,'Road transport'!$C37,RoadTra_BY!$C$2:$C$79,'Road transport'!$BA37),3)</f>
        <v>*0</v>
      </c>
      <c r="AQ37" t="str">
        <f>"*"&amp;ROUND(SUMIFS(RoadTra_BY!AY$2:AY$79,RoadTra_BY!$B$2:$B$79,'Road transport'!$C37,RoadTra_BY!$C$2:$C$79,'Road transport'!$BA37),3)</f>
        <v>*0</v>
      </c>
      <c r="AR37" t="str">
        <f>"*"&amp;ROUND(SUMIFS(RoadTra_BY!AZ$2:AZ$79,RoadTra_BY!$B$2:$B$79,'Road transport'!$C37,RoadTra_BY!$C$2:$C$79,'Road transport'!$BA37),3)</f>
        <v>*0</v>
      </c>
      <c r="AS37" t="str">
        <f>"*"&amp;ROUND(SUMIFS(RoadTra_BY!BA$2:BA$79,RoadTra_BY!$B$2:$B$79,'Road transport'!$C37,RoadTra_BY!$C$2:$C$79,'Road transport'!$BA37),3)</f>
        <v>*0</v>
      </c>
      <c r="AT37" t="str">
        <f>"*"&amp;ROUND(SUMIFS(RoadTra_BY!BB$2:BB$79,RoadTra_BY!$B$2:$B$79,'Road transport'!$C37,RoadTra_BY!$C$2:$C$79,'Road transport'!$BA37),3)</f>
        <v>*0</v>
      </c>
      <c r="AU37" t="str">
        <f>"*"&amp;ROUND(SUMIFS(RoadTra_BY!BC$2:BC$79,RoadTra_BY!$B$2:$B$79,'Road transport'!$C37,RoadTra_BY!$C$2:$C$79,'Road transport'!$BA37),3)</f>
        <v>*0</v>
      </c>
      <c r="AV37" t="str">
        <f>"*"&amp;ROUND(SUMIFS(RoadTra_BY!BD$2:BD$79,RoadTra_BY!$B$2:$B$79,'Road transport'!$C37,RoadTra_BY!$C$2:$C$79,'Road transport'!$BA37),3)</f>
        <v>*0</v>
      </c>
      <c r="AW37" t="str">
        <f>"*"&amp;ROUND(SUMIFS(RoadTra_BY!BE$2:BE$79,RoadTra_BY!$B$2:$B$79,'Road transport'!$C37,RoadTra_BY!$C$2:$C$79,'Road transport'!$BA37),3)</f>
        <v>*0</v>
      </c>
      <c r="AX37" t="str">
        <f t="shared" si="1"/>
        <v>Trd_hdt_*</v>
      </c>
      <c r="AZ37">
        <f t="shared" si="0"/>
        <v>2</v>
      </c>
      <c r="BA37" t="s">
        <v>111</v>
      </c>
    </row>
    <row r="38" spans="3:53">
      <c r="C38" t="s">
        <v>62</v>
      </c>
      <c r="D38" t="str">
        <f>"*"&amp;ROUND(SUMIFS(RoadTra_BY!L$2:L$79,RoadTra_BY!$B$2:$B$79,'Road transport'!$C38,RoadTra_BY!$C$2:$C$79,'Road transport'!$BA38),3)</f>
        <v>*0.38</v>
      </c>
      <c r="E38" t="str">
        <f>"*"&amp;ROUND(SUMIFS(RoadTra_BY!M$2:M$79,RoadTra_BY!$B$2:$B$79,'Road transport'!$C38,RoadTra_BY!$C$2:$C$79,'Road transport'!$BA38),3)</f>
        <v>*0.38</v>
      </c>
      <c r="F38" t="str">
        <f>"*"&amp;ROUND(SUMIFS(RoadTra_BY!N$2:N$79,RoadTra_BY!$B$2:$B$79,'Road transport'!$C38,RoadTra_BY!$C$2:$C$79,'Road transport'!$BA38),3)</f>
        <v>*0.38</v>
      </c>
      <c r="G38" t="str">
        <f>"*"&amp;ROUND(SUMIFS(RoadTra_BY!O$2:O$79,RoadTra_BY!$B$2:$B$79,'Road transport'!$C38,RoadTra_BY!$C$2:$C$79,'Road transport'!$BA38),3)</f>
        <v>*0.38</v>
      </c>
      <c r="H38" t="str">
        <f>"*"&amp;ROUND(SUMIFS(RoadTra_BY!P$2:P$79,RoadTra_BY!$B$2:$B$79,'Road transport'!$C38,RoadTra_BY!$C$2:$C$79,'Road transport'!$BA38),3)</f>
        <v>*0.38</v>
      </c>
      <c r="I38" t="str">
        <f>"*"&amp;ROUND(SUMIFS(RoadTra_BY!Q$2:Q$79,RoadTra_BY!$B$2:$B$79,'Road transport'!$C38,RoadTra_BY!$C$2:$C$79,'Road transport'!$BA38),3)</f>
        <v>*0.38</v>
      </c>
      <c r="J38" t="str">
        <f>"*"&amp;ROUND(SUMIFS(RoadTra_BY!R$2:R$79,RoadTra_BY!$B$2:$B$79,'Road transport'!$C38,RoadTra_BY!$C$2:$C$79,'Road transport'!$BA38),3)</f>
        <v>*0.38</v>
      </c>
      <c r="K38" t="str">
        <f>"*"&amp;ROUND(SUMIFS(RoadTra_BY!S$2:S$79,RoadTra_BY!$B$2:$B$79,'Road transport'!$C38,RoadTra_BY!$C$2:$C$79,'Road transport'!$BA38),3)</f>
        <v>*0.38</v>
      </c>
      <c r="L38" t="str">
        <f>"*"&amp;ROUND(SUMIFS(RoadTra_BY!T$2:T$79,RoadTra_BY!$B$2:$B$79,'Road transport'!$C38,RoadTra_BY!$C$2:$C$79,'Road transport'!$BA38),3)</f>
        <v>*0.38</v>
      </c>
      <c r="M38" t="str">
        <f>"*"&amp;ROUND(SUMIFS(RoadTra_BY!U$2:U$79,RoadTra_BY!$B$2:$B$79,'Road transport'!$C38,RoadTra_BY!$C$2:$C$79,'Road transport'!$BA38),3)</f>
        <v>*0.38</v>
      </c>
      <c r="N38" t="str">
        <f>"*"&amp;ROUND(SUMIFS(RoadTra_BY!V$2:V$79,RoadTra_BY!$B$2:$B$79,'Road transport'!$C38,RoadTra_BY!$C$2:$C$79,'Road transport'!$BA38),3)</f>
        <v>*0.38</v>
      </c>
      <c r="O38" t="str">
        <f>"*"&amp;ROUND(SUMIFS(RoadTra_BY!W$2:W$79,RoadTra_BY!$B$2:$B$79,'Road transport'!$C38,RoadTra_BY!$C$2:$C$79,'Road transport'!$BA38),3)</f>
        <v>*0.38</v>
      </c>
      <c r="P38" t="str">
        <f>"*"&amp;ROUND(SUMIFS(RoadTra_BY!X$2:X$79,RoadTra_BY!$B$2:$B$79,'Road transport'!$C38,RoadTra_BY!$C$2:$C$79,'Road transport'!$BA38),3)</f>
        <v>*0.38</v>
      </c>
      <c r="Q38" t="str">
        <f>"*"&amp;ROUND(SUMIFS(RoadTra_BY!Y$2:Y$79,RoadTra_BY!$B$2:$B$79,'Road transport'!$C38,RoadTra_BY!$C$2:$C$79,'Road transport'!$BA38),3)</f>
        <v>*0.38</v>
      </c>
      <c r="R38" t="str">
        <f>"*"&amp;ROUND(SUMIFS(RoadTra_BY!Z$2:Z$79,RoadTra_BY!$B$2:$B$79,'Road transport'!$C38,RoadTra_BY!$C$2:$C$79,'Road transport'!$BA38),3)</f>
        <v>*0.38</v>
      </c>
      <c r="S38" t="str">
        <f>"*"&amp;ROUND(SUMIFS(RoadTra_BY!AA$2:AA$79,RoadTra_BY!$B$2:$B$79,'Road transport'!$C38,RoadTra_BY!$C$2:$C$79,'Road transport'!$BA38),3)</f>
        <v>*0.38</v>
      </c>
      <c r="T38" t="str">
        <f>"*"&amp;ROUND(SUMIFS(RoadTra_BY!AB$2:AB$79,RoadTra_BY!$B$2:$B$79,'Road transport'!$C38,RoadTra_BY!$C$2:$C$79,'Road transport'!$BA38),3)</f>
        <v>*0.38</v>
      </c>
      <c r="U38" t="str">
        <f>"*"&amp;ROUND(SUMIFS(RoadTra_BY!AC$2:AC$79,RoadTra_BY!$B$2:$B$79,'Road transport'!$C38,RoadTra_BY!$C$2:$C$79,'Road transport'!$BA38),3)</f>
        <v>*0.38</v>
      </c>
      <c r="V38" t="str">
        <f>"*"&amp;ROUND(SUMIFS(RoadTra_BY!AD$2:AD$79,RoadTra_BY!$B$2:$B$79,'Road transport'!$C38,RoadTra_BY!$C$2:$C$79,'Road transport'!$BA38),3)</f>
        <v>*0.38</v>
      </c>
      <c r="W38" t="str">
        <f>"*"&amp;ROUND(SUMIFS(RoadTra_BY!AE$2:AE$79,RoadTra_BY!$B$2:$B$79,'Road transport'!$C38,RoadTra_BY!$C$2:$C$79,'Road transport'!$BA38),3)</f>
        <v>*0.38</v>
      </c>
      <c r="X38" t="str">
        <f>"*"&amp;ROUND(SUMIFS(RoadTra_BY!AF$2:AF$79,RoadTra_BY!$B$2:$B$79,'Road transport'!$C38,RoadTra_BY!$C$2:$C$79,'Road transport'!$BA38),3)</f>
        <v>*0.38</v>
      </c>
      <c r="Y38" t="str">
        <f>"*"&amp;ROUND(SUMIFS(RoadTra_BY!AG$2:AG$79,RoadTra_BY!$B$2:$B$79,'Road transport'!$C38,RoadTra_BY!$C$2:$C$79,'Road transport'!$BA38),3)</f>
        <v>*0.38</v>
      </c>
      <c r="Z38" t="str">
        <f>"*"&amp;ROUND(SUMIFS(RoadTra_BY!AH$2:AH$79,RoadTra_BY!$B$2:$B$79,'Road transport'!$C38,RoadTra_BY!$C$2:$C$79,'Road transport'!$BA38),3)</f>
        <v>*0.38</v>
      </c>
      <c r="AA38" t="str">
        <f>"*"&amp;ROUND(SUMIFS(RoadTra_BY!AI$2:AI$79,RoadTra_BY!$B$2:$B$79,'Road transport'!$C38,RoadTra_BY!$C$2:$C$79,'Road transport'!$BA38),3)</f>
        <v>*0.38</v>
      </c>
      <c r="AB38" t="str">
        <f>"*"&amp;ROUND(SUMIFS(RoadTra_BY!AJ$2:AJ$79,RoadTra_BY!$B$2:$B$79,'Road transport'!$C38,RoadTra_BY!$C$2:$C$79,'Road transport'!$BA38),3)</f>
        <v>*0.38</v>
      </c>
      <c r="AC38" t="str">
        <f>"*"&amp;ROUND(SUMIFS(RoadTra_BY!AK$2:AK$79,RoadTra_BY!$B$2:$B$79,'Road transport'!$C38,RoadTra_BY!$C$2:$C$79,'Road transport'!$BA38),3)</f>
        <v>*0.38</v>
      </c>
      <c r="AD38" t="str">
        <f>"*"&amp;ROUND(SUMIFS(RoadTra_BY!AL$2:AL$79,RoadTra_BY!$B$2:$B$79,'Road transport'!$C38,RoadTra_BY!$C$2:$C$79,'Road transport'!$BA38),3)</f>
        <v>*0.38</v>
      </c>
      <c r="AE38" t="str">
        <f>"*"&amp;ROUND(SUMIFS(RoadTra_BY!AM$2:AM$79,RoadTra_BY!$B$2:$B$79,'Road transport'!$C38,RoadTra_BY!$C$2:$C$79,'Road transport'!$BA38),3)</f>
        <v>*0.38</v>
      </c>
      <c r="AF38" t="str">
        <f>"*"&amp;ROUND(SUMIFS(RoadTra_BY!AN$2:AN$79,RoadTra_BY!$B$2:$B$79,'Road transport'!$C38,RoadTra_BY!$C$2:$C$79,'Road transport'!$BA38),3)</f>
        <v>*0.38</v>
      </c>
      <c r="AG38" t="str">
        <f>"*"&amp;ROUND(SUMIFS(RoadTra_BY!AO$2:AO$79,RoadTra_BY!$B$2:$B$79,'Road transport'!$C38,RoadTra_BY!$C$2:$C$79,'Road transport'!$BA38),3)</f>
        <v>*0.38</v>
      </c>
      <c r="AH38" t="str">
        <f>"*"&amp;ROUND(SUMIFS(RoadTra_BY!AP$2:AP$79,RoadTra_BY!$B$2:$B$79,'Road transport'!$C38,RoadTra_BY!$C$2:$C$79,'Road transport'!$BA38),3)</f>
        <v>*0.38</v>
      </c>
      <c r="AI38" t="str">
        <f>"*"&amp;ROUND(SUMIFS(RoadTra_BY!AQ$2:AQ$79,RoadTra_BY!$B$2:$B$79,'Road transport'!$C38,RoadTra_BY!$C$2:$C$79,'Road transport'!$BA38),3)</f>
        <v>*0.38</v>
      </c>
      <c r="AJ38" t="str">
        <f>"*"&amp;ROUND(SUMIFS(RoadTra_BY!AR$2:AR$79,RoadTra_BY!$B$2:$B$79,'Road transport'!$C38,RoadTra_BY!$C$2:$C$79,'Road transport'!$BA38),3)</f>
        <v>*0.38</v>
      </c>
      <c r="AK38" t="str">
        <f>"*"&amp;ROUND(SUMIFS(RoadTra_BY!AS$2:AS$79,RoadTra_BY!$B$2:$B$79,'Road transport'!$C38,RoadTra_BY!$C$2:$C$79,'Road transport'!$BA38),3)</f>
        <v>*0.38</v>
      </c>
      <c r="AL38" t="str">
        <f>"*"&amp;ROUND(SUMIFS(RoadTra_BY!AT$2:AT$79,RoadTra_BY!$B$2:$B$79,'Road transport'!$C38,RoadTra_BY!$C$2:$C$79,'Road transport'!$BA38),3)</f>
        <v>*0.38</v>
      </c>
      <c r="AM38" t="str">
        <f>"*"&amp;ROUND(SUMIFS(RoadTra_BY!AU$2:AU$79,RoadTra_BY!$B$2:$B$79,'Road transport'!$C38,RoadTra_BY!$C$2:$C$79,'Road transport'!$BA38),3)</f>
        <v>*0</v>
      </c>
      <c r="AN38" t="str">
        <f>"*"&amp;ROUND(SUMIFS(RoadTra_BY!AV$2:AV$79,RoadTra_BY!$B$2:$B$79,'Road transport'!$C38,RoadTra_BY!$C$2:$C$79,'Road transport'!$BA38),3)</f>
        <v>*0</v>
      </c>
      <c r="AO38" t="str">
        <f>"*"&amp;ROUND(SUMIFS(RoadTra_BY!AW$2:AW$79,RoadTra_BY!$B$2:$B$79,'Road transport'!$C38,RoadTra_BY!$C$2:$C$79,'Road transport'!$BA38),3)</f>
        <v>*0</v>
      </c>
      <c r="AP38" t="str">
        <f>"*"&amp;ROUND(SUMIFS(RoadTra_BY!AX$2:AX$79,RoadTra_BY!$B$2:$B$79,'Road transport'!$C38,RoadTra_BY!$C$2:$C$79,'Road transport'!$BA38),3)</f>
        <v>*0</v>
      </c>
      <c r="AQ38" t="str">
        <f>"*"&amp;ROUND(SUMIFS(RoadTra_BY!AY$2:AY$79,RoadTra_BY!$B$2:$B$79,'Road transport'!$C38,RoadTra_BY!$C$2:$C$79,'Road transport'!$BA38),3)</f>
        <v>*0</v>
      </c>
      <c r="AR38" t="str">
        <f>"*"&amp;ROUND(SUMIFS(RoadTra_BY!AZ$2:AZ$79,RoadTra_BY!$B$2:$B$79,'Road transport'!$C38,RoadTra_BY!$C$2:$C$79,'Road transport'!$BA38),3)</f>
        <v>*0</v>
      </c>
      <c r="AS38" t="str">
        <f>"*"&amp;ROUND(SUMIFS(RoadTra_BY!BA$2:BA$79,RoadTra_BY!$B$2:$B$79,'Road transport'!$C38,RoadTra_BY!$C$2:$C$79,'Road transport'!$BA38),3)</f>
        <v>*0</v>
      </c>
      <c r="AT38" t="str">
        <f>"*"&amp;ROUND(SUMIFS(RoadTra_BY!BB$2:BB$79,RoadTra_BY!$B$2:$B$79,'Road transport'!$C38,RoadTra_BY!$C$2:$C$79,'Road transport'!$BA38),3)</f>
        <v>*0</v>
      </c>
      <c r="AU38" t="str">
        <f>"*"&amp;ROUND(SUMIFS(RoadTra_BY!BC$2:BC$79,RoadTra_BY!$B$2:$B$79,'Road transport'!$C38,RoadTra_BY!$C$2:$C$79,'Road transport'!$BA38),3)</f>
        <v>*0</v>
      </c>
      <c r="AV38" t="str">
        <f>"*"&amp;ROUND(SUMIFS(RoadTra_BY!BD$2:BD$79,RoadTra_BY!$B$2:$B$79,'Road transport'!$C38,RoadTra_BY!$C$2:$C$79,'Road transport'!$BA38),3)</f>
        <v>*0</v>
      </c>
      <c r="AW38" t="str">
        <f>"*"&amp;ROUND(SUMIFS(RoadTra_BY!BE$2:BE$79,RoadTra_BY!$B$2:$B$79,'Road transport'!$C38,RoadTra_BY!$C$2:$C$79,'Road transport'!$BA38),3)</f>
        <v>*0</v>
      </c>
      <c r="AX38" t="str">
        <f t="shared" si="1"/>
        <v>Trd_lcv_*</v>
      </c>
      <c r="AZ38">
        <f t="shared" si="0"/>
        <v>2</v>
      </c>
      <c r="BA38" t="s">
        <v>112</v>
      </c>
    </row>
    <row r="45" spans="5:5">
      <c r="E45" s="8"/>
    </row>
    <row r="48" spans="2:2">
      <c r="B48" t="s">
        <v>106</v>
      </c>
    </row>
    <row r="49" spans="2:9">
      <c r="B49" t="s">
        <v>71</v>
      </c>
      <c r="C49" t="s">
        <v>75</v>
      </c>
      <c r="D49" t="s">
        <v>48</v>
      </c>
      <c r="E49" t="s">
        <v>49</v>
      </c>
      <c r="I49" t="s">
        <v>113</v>
      </c>
    </row>
    <row r="50" spans="2:5">
      <c r="B50" t="s">
        <v>62</v>
      </c>
      <c r="C50" t="s">
        <v>114</v>
      </c>
      <c r="D50" t="s">
        <v>59</v>
      </c>
      <c r="E50" t="s">
        <v>115</v>
      </c>
    </row>
    <row r="53" spans="2:2">
      <c r="B53" t="s">
        <v>69</v>
      </c>
    </row>
    <row r="54" spans="2:8">
      <c r="B54" t="s">
        <v>71</v>
      </c>
      <c r="C54" t="s">
        <v>75</v>
      </c>
      <c r="D54" t="s">
        <v>116</v>
      </c>
      <c r="E54" t="s">
        <v>96</v>
      </c>
      <c r="F54" t="s">
        <v>50</v>
      </c>
      <c r="G54" t="s">
        <v>117</v>
      </c>
      <c r="H54" t="s">
        <v>49</v>
      </c>
    </row>
    <row r="55" spans="2:5">
      <c r="B55" t="s">
        <v>91</v>
      </c>
      <c r="C55">
        <v>10</v>
      </c>
      <c r="D55" t="s">
        <v>118</v>
      </c>
      <c r="E55" s="31" t="s">
        <v>119</v>
      </c>
    </row>
    <row r="56" spans="2:8">
      <c r="B56" t="s">
        <v>120</v>
      </c>
      <c r="C56">
        <v>1</v>
      </c>
      <c r="F56" t="s">
        <v>121</v>
      </c>
      <c r="G56" t="s">
        <v>58</v>
      </c>
      <c r="H56" t="str">
        <f>F56</f>
        <v>AuxStoIN</v>
      </c>
    </row>
    <row r="62" spans="8:8">
      <c r="H62" s="4"/>
    </row>
    <row r="63" spans="8:53">
      <c r="H63" s="4"/>
      <c r="BA63" s="2"/>
    </row>
    <row r="65" s="1" customFormat="1" spans="1:106">
      <c r="A65" s="2"/>
      <c r="B65" s="9" t="s">
        <v>69</v>
      </c>
      <c r="C65" s="10"/>
      <c r="D65" s="9"/>
      <c r="E65" s="9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Y65" s="2"/>
      <c r="AZ65" s="2"/>
      <c r="BB65" s="2"/>
      <c r="BC65" s="2"/>
      <c r="BD65" s="2"/>
      <c r="BE65" s="2"/>
      <c r="BF65" s="2"/>
      <c r="BG65" s="2"/>
      <c r="BH65" s="2"/>
      <c r="BI65" s="2"/>
      <c r="CO65" s="23"/>
      <c r="CP65" s="23"/>
      <c r="CR65" s="23"/>
      <c r="CS65" s="23"/>
      <c r="CT65" s="23"/>
      <c r="CU65" s="23"/>
      <c r="CW65" s="4"/>
      <c r="CX65" s="26" t="s">
        <v>69</v>
      </c>
      <c r="CY65" s="4"/>
      <c r="CZ65" s="4"/>
      <c r="DA65" s="4"/>
      <c r="DB65" s="4"/>
    </row>
    <row r="66" s="2" customFormat="1" spans="2:106">
      <c r="B66" s="9" t="s">
        <v>71</v>
      </c>
      <c r="C66" s="9" t="s">
        <v>76</v>
      </c>
      <c r="D66" s="9" t="s">
        <v>45</v>
      </c>
      <c r="E66" s="9" t="s">
        <v>50</v>
      </c>
      <c r="F66" s="2" t="s">
        <v>3</v>
      </c>
      <c r="G66" s="2" t="s">
        <v>5</v>
      </c>
      <c r="H66" s="2" t="s">
        <v>6</v>
      </c>
      <c r="I66" s="2" t="s">
        <v>7</v>
      </c>
      <c r="J66" s="2" t="s">
        <v>8</v>
      </c>
      <c r="K66" s="2" t="s">
        <v>9</v>
      </c>
      <c r="L66" s="2" t="s">
        <v>10</v>
      </c>
      <c r="M66" s="2" t="s">
        <v>11</v>
      </c>
      <c r="N66" s="2" t="s">
        <v>12</v>
      </c>
      <c r="O66" s="2" t="s">
        <v>13</v>
      </c>
      <c r="P66" s="2" t="s">
        <v>14</v>
      </c>
      <c r="Q66" s="2" t="s">
        <v>15</v>
      </c>
      <c r="R66" s="2" t="s">
        <v>16</v>
      </c>
      <c r="S66" s="2" t="s">
        <v>17</v>
      </c>
      <c r="T66" s="2" t="s">
        <v>18</v>
      </c>
      <c r="U66" s="2" t="s">
        <v>19</v>
      </c>
      <c r="V66" s="2" t="s">
        <v>20</v>
      </c>
      <c r="W66" s="2" t="s">
        <v>21</v>
      </c>
      <c r="X66" s="2" t="s">
        <v>22</v>
      </c>
      <c r="Y66" s="2" t="s">
        <v>23</v>
      </c>
      <c r="Z66" s="2" t="s">
        <v>24</v>
      </c>
      <c r="AA66" s="2" t="s">
        <v>25</v>
      </c>
      <c r="AB66" s="2" t="s">
        <v>26</v>
      </c>
      <c r="AC66" s="2" t="s">
        <v>27</v>
      </c>
      <c r="AD66" s="2" t="s">
        <v>28</v>
      </c>
      <c r="AE66" s="2" t="s">
        <v>29</v>
      </c>
      <c r="AF66" s="2" t="s">
        <v>30</v>
      </c>
      <c r="AG66" s="2" t="s">
        <v>31</v>
      </c>
      <c r="AH66" s="2" t="s">
        <v>32</v>
      </c>
      <c r="AI66" s="2" t="s">
        <v>33</v>
      </c>
      <c r="AJ66" s="2" t="s">
        <v>34</v>
      </c>
      <c r="AK66" s="2" t="s">
        <v>35</v>
      </c>
      <c r="AL66" s="2" t="s">
        <v>36</v>
      </c>
      <c r="AM66" s="2" t="s">
        <v>37</v>
      </c>
      <c r="AN66" s="2" t="s">
        <v>122</v>
      </c>
      <c r="CQ66" s="24"/>
      <c r="CR66" s="24"/>
      <c r="CT66" s="24"/>
      <c r="CU66" s="24"/>
      <c r="CW66" t="s">
        <v>71</v>
      </c>
      <c r="CX66" t="s">
        <v>76</v>
      </c>
      <c r="CY66" t="s">
        <v>45</v>
      </c>
      <c r="CZ66" t="s">
        <v>50</v>
      </c>
      <c r="DA66" s="29" t="s">
        <v>77</v>
      </c>
      <c r="DB66" s="29" t="s">
        <v>44</v>
      </c>
    </row>
    <row r="67" s="2" customFormat="1" ht="14.5" spans="2:106">
      <c r="B67" s="11" t="s">
        <v>123</v>
      </c>
      <c r="C67" s="9" t="s">
        <v>124</v>
      </c>
      <c r="D67" s="10" t="s">
        <v>125</v>
      </c>
      <c r="E67" s="10" t="s">
        <v>126</v>
      </c>
      <c r="F67" s="2">
        <f t="shared" ref="F67:L68" si="2">D77/1000</f>
        <v>0</v>
      </c>
      <c r="G67" s="2">
        <f t="shared" si="2"/>
        <v>310</v>
      </c>
      <c r="H67" s="2">
        <f t="shared" si="2"/>
        <v>6200</v>
      </c>
      <c r="I67" s="2">
        <f t="shared" si="2"/>
        <v>0</v>
      </c>
      <c r="J67" s="2">
        <f t="shared" si="2"/>
        <v>0</v>
      </c>
      <c r="K67" s="2">
        <f t="shared" si="2"/>
        <v>0</v>
      </c>
      <c r="L67" s="2">
        <f t="shared" si="2"/>
        <v>250</v>
      </c>
      <c r="M67" s="2">
        <v>2000</v>
      </c>
      <c r="N67" s="2">
        <f t="shared" ref="N67:W68" si="3">L77/1000</f>
        <v>0</v>
      </c>
      <c r="O67" s="2">
        <f t="shared" si="3"/>
        <v>0</v>
      </c>
      <c r="P67" s="2">
        <f t="shared" si="3"/>
        <v>0</v>
      </c>
      <c r="Q67" s="2">
        <f t="shared" si="3"/>
        <v>0</v>
      </c>
      <c r="R67" s="2">
        <f t="shared" si="3"/>
        <v>0</v>
      </c>
      <c r="S67" s="2">
        <f t="shared" si="3"/>
        <v>0</v>
      </c>
      <c r="T67" s="2">
        <f t="shared" si="3"/>
        <v>0</v>
      </c>
      <c r="U67" s="2">
        <f t="shared" si="3"/>
        <v>0</v>
      </c>
      <c r="V67" s="2">
        <f t="shared" si="3"/>
        <v>0</v>
      </c>
      <c r="W67" s="2">
        <f t="shared" si="3"/>
        <v>0</v>
      </c>
      <c r="X67" s="2">
        <f t="shared" ref="X67:AG68" si="4">V77/1000</f>
        <v>0</v>
      </c>
      <c r="Y67" s="2">
        <f t="shared" si="4"/>
        <v>12250</v>
      </c>
      <c r="Z67" s="2">
        <f t="shared" si="4"/>
        <v>0</v>
      </c>
      <c r="AA67" s="2">
        <f t="shared" si="4"/>
        <v>1930</v>
      </c>
      <c r="AB67" s="2">
        <f t="shared" si="4"/>
        <v>0</v>
      </c>
      <c r="AC67" s="2">
        <f t="shared" si="4"/>
        <v>0</v>
      </c>
      <c r="AD67" s="2">
        <f t="shared" si="4"/>
        <v>3300</v>
      </c>
      <c r="AE67" s="2">
        <f t="shared" si="4"/>
        <v>0</v>
      </c>
      <c r="AF67" s="2">
        <f t="shared" si="4"/>
        <v>0</v>
      </c>
      <c r="AG67" s="2">
        <f t="shared" si="4"/>
        <v>0</v>
      </c>
      <c r="AH67" s="2">
        <f t="shared" ref="AH67:AM68" si="5">AF77/1000</f>
        <v>60</v>
      </c>
      <c r="AI67" s="2">
        <f t="shared" si="5"/>
        <v>0</v>
      </c>
      <c r="AJ67" s="2">
        <f t="shared" si="5"/>
        <v>0</v>
      </c>
      <c r="AK67" s="2">
        <f t="shared" si="5"/>
        <v>0</v>
      </c>
      <c r="AL67" s="2">
        <f t="shared" si="5"/>
        <v>0</v>
      </c>
      <c r="AM67" s="2">
        <f t="shared" si="5"/>
        <v>0</v>
      </c>
      <c r="AN67" s="2" t="str">
        <f>E67</f>
        <v>m_lithium</v>
      </c>
      <c r="CQ67" s="24"/>
      <c r="CR67" s="24"/>
      <c r="CT67" s="24"/>
      <c r="CU67" s="24"/>
      <c r="CW67" s="27" t="s">
        <v>123</v>
      </c>
      <c r="CX67" t="s">
        <v>124</v>
      </c>
      <c r="CY67" s="4" t="s">
        <v>127</v>
      </c>
      <c r="CZ67" s="4" t="s">
        <v>126</v>
      </c>
      <c r="DA67" s="29">
        <v>0</v>
      </c>
      <c r="DB67" s="29">
        <v>5</v>
      </c>
    </row>
    <row r="68" s="2" customFormat="1" ht="14.5" spans="2:106">
      <c r="B68" s="11" t="s">
        <v>123</v>
      </c>
      <c r="C68" s="9" t="s">
        <v>124</v>
      </c>
      <c r="D68" s="10" t="s">
        <v>128</v>
      </c>
      <c r="E68" s="10" t="s">
        <v>129</v>
      </c>
      <c r="F68" s="2">
        <f t="shared" si="2"/>
        <v>0</v>
      </c>
      <c r="G68" s="2">
        <f t="shared" si="2"/>
        <v>0</v>
      </c>
      <c r="H68" s="2">
        <f t="shared" si="2"/>
        <v>21000</v>
      </c>
      <c r="I68" s="2">
        <f t="shared" si="2"/>
        <v>0</v>
      </c>
      <c r="J68" s="2">
        <f t="shared" si="2"/>
        <v>0</v>
      </c>
      <c r="K68" s="2">
        <f t="shared" si="2"/>
        <v>0</v>
      </c>
      <c r="L68" s="2">
        <f t="shared" si="2"/>
        <v>16000</v>
      </c>
      <c r="M68" s="2">
        <f>K78/1000</f>
        <v>2100</v>
      </c>
      <c r="N68" s="2">
        <f t="shared" si="3"/>
        <v>0</v>
      </c>
      <c r="O68" s="2">
        <f t="shared" si="3"/>
        <v>0</v>
      </c>
      <c r="P68" s="2">
        <f t="shared" si="3"/>
        <v>0</v>
      </c>
      <c r="Q68" s="2">
        <f t="shared" si="3"/>
        <v>0</v>
      </c>
      <c r="R68" s="2">
        <f t="shared" si="3"/>
        <v>0</v>
      </c>
      <c r="S68" s="2">
        <f t="shared" si="3"/>
        <v>0</v>
      </c>
      <c r="T68" s="2">
        <f t="shared" si="3"/>
        <v>0</v>
      </c>
      <c r="U68" s="2">
        <f t="shared" si="3"/>
        <v>0</v>
      </c>
      <c r="V68" s="2">
        <f t="shared" si="3"/>
        <v>0</v>
      </c>
      <c r="W68" s="2">
        <f t="shared" si="3"/>
        <v>0</v>
      </c>
      <c r="X68" s="2">
        <f t="shared" si="4"/>
        <v>0</v>
      </c>
      <c r="Y68" s="2">
        <f t="shared" si="4"/>
        <v>16000</v>
      </c>
      <c r="Z68" s="2">
        <f t="shared" si="4"/>
        <v>0</v>
      </c>
      <c r="AA68" s="2">
        <f t="shared" si="4"/>
        <v>2570</v>
      </c>
      <c r="AB68" s="2">
        <f t="shared" si="4"/>
        <v>0</v>
      </c>
      <c r="AC68" s="2">
        <f t="shared" si="4"/>
        <v>0</v>
      </c>
      <c r="AD68" s="2">
        <f t="shared" si="4"/>
        <v>52900</v>
      </c>
      <c r="AE68" s="2">
        <f t="shared" si="4"/>
        <v>7500</v>
      </c>
      <c r="AF68" s="2">
        <f t="shared" si="4"/>
        <v>0</v>
      </c>
      <c r="AG68" s="2">
        <f t="shared" si="4"/>
        <v>0</v>
      </c>
      <c r="AH68" s="2">
        <f t="shared" si="5"/>
        <v>0</v>
      </c>
      <c r="AI68" s="2">
        <f t="shared" si="5"/>
        <v>0</v>
      </c>
      <c r="AJ68" s="2">
        <f t="shared" si="5"/>
        <v>0</v>
      </c>
      <c r="AK68" s="2">
        <f t="shared" si="5"/>
        <v>0</v>
      </c>
      <c r="AL68" s="2">
        <f t="shared" si="5"/>
        <v>0</v>
      </c>
      <c r="AM68" s="2">
        <f t="shared" si="5"/>
        <v>0</v>
      </c>
      <c r="AN68" s="2" t="str">
        <f t="shared" ref="AN68:AN73" si="6">E68</f>
        <v>m_nickel</v>
      </c>
      <c r="CQ68" s="24"/>
      <c r="CR68" s="24"/>
      <c r="CT68" s="24"/>
      <c r="CU68" s="24"/>
      <c r="CW68" s="27" t="s">
        <v>123</v>
      </c>
      <c r="CX68" t="s">
        <v>124</v>
      </c>
      <c r="CY68" s="4" t="s">
        <v>127</v>
      </c>
      <c r="CZ68" s="4" t="s">
        <v>129</v>
      </c>
      <c r="DA68" s="29">
        <v>0</v>
      </c>
      <c r="DB68" s="29">
        <v>5</v>
      </c>
    </row>
    <row r="69" s="3" customFormat="1" ht="14.5" spans="2:106">
      <c r="B69" s="12" t="s">
        <v>123</v>
      </c>
      <c r="C69" s="3" t="s">
        <v>124</v>
      </c>
      <c r="D69" s="13" t="s">
        <v>130</v>
      </c>
      <c r="E69" s="13" t="s">
        <v>131</v>
      </c>
      <c r="F69" s="14">
        <v>0</v>
      </c>
      <c r="G69" s="14">
        <f>E79/10000</f>
        <v>410</v>
      </c>
      <c r="H69" s="14">
        <f>F79/10000</f>
        <v>150</v>
      </c>
      <c r="I69" s="14">
        <f>G79/10000</f>
        <v>0</v>
      </c>
      <c r="J69" s="14">
        <f>H79/10000</f>
        <v>0</v>
      </c>
      <c r="K69" s="14">
        <f>I79/10000</f>
        <v>0</v>
      </c>
      <c r="L69" s="14">
        <f t="shared" ref="L69:AM69" si="7">J79/10000</f>
        <v>0</v>
      </c>
      <c r="M69" s="14">
        <f t="shared" si="7"/>
        <v>14</v>
      </c>
      <c r="N69" s="14">
        <f t="shared" si="7"/>
        <v>0</v>
      </c>
      <c r="O69" s="14">
        <f t="shared" si="7"/>
        <v>0</v>
      </c>
      <c r="P69" s="14">
        <f t="shared" si="7"/>
        <v>0</v>
      </c>
      <c r="Q69" s="14">
        <f t="shared" si="7"/>
        <v>0</v>
      </c>
      <c r="R69" s="14">
        <f t="shared" si="7"/>
        <v>0</v>
      </c>
      <c r="S69" s="14">
        <f t="shared" si="7"/>
        <v>0</v>
      </c>
      <c r="T69" s="14">
        <f t="shared" si="7"/>
        <v>0</v>
      </c>
      <c r="U69" s="14">
        <f t="shared" si="7"/>
        <v>0</v>
      </c>
      <c r="V69" s="14">
        <f t="shared" si="7"/>
        <v>0</v>
      </c>
      <c r="W69" s="14">
        <f t="shared" si="7"/>
        <v>0</v>
      </c>
      <c r="X69" s="14">
        <f t="shared" si="7"/>
        <v>0</v>
      </c>
      <c r="Y69" s="14">
        <f t="shared" si="7"/>
        <v>50</v>
      </c>
      <c r="Z69" s="14">
        <f t="shared" si="7"/>
        <v>3.6</v>
      </c>
      <c r="AA69" s="14">
        <f t="shared" si="7"/>
        <v>28.9</v>
      </c>
      <c r="AB69" s="14">
        <f t="shared" si="7"/>
        <v>0</v>
      </c>
      <c r="AC69" s="14">
        <f t="shared" si="7"/>
        <v>0</v>
      </c>
      <c r="AD69" s="14">
        <f t="shared" si="7"/>
        <v>151.7</v>
      </c>
      <c r="AE69" s="14">
        <f t="shared" si="7"/>
        <v>25</v>
      </c>
      <c r="AF69" s="14">
        <f t="shared" si="7"/>
        <v>0</v>
      </c>
      <c r="AG69" s="14">
        <f t="shared" si="7"/>
        <v>0</v>
      </c>
      <c r="AH69" s="14">
        <f t="shared" si="7"/>
        <v>0</v>
      </c>
      <c r="AI69" s="14">
        <f t="shared" si="7"/>
        <v>0</v>
      </c>
      <c r="AJ69" s="14">
        <f t="shared" si="7"/>
        <v>0</v>
      </c>
      <c r="AK69" s="14">
        <f t="shared" si="7"/>
        <v>3.6</v>
      </c>
      <c r="AL69" s="14">
        <f t="shared" si="7"/>
        <v>0</v>
      </c>
      <c r="AM69" s="14">
        <f t="shared" si="7"/>
        <v>0</v>
      </c>
      <c r="AN69" s="2" t="str">
        <f t="shared" si="6"/>
        <v>m_cobalt</v>
      </c>
      <c r="CQ69" s="25"/>
      <c r="CR69" s="25"/>
      <c r="CT69" s="25"/>
      <c r="CU69" s="25"/>
      <c r="CW69" s="12" t="s">
        <v>123</v>
      </c>
      <c r="CX69" s="3" t="s">
        <v>124</v>
      </c>
      <c r="CY69" s="13" t="s">
        <v>127</v>
      </c>
      <c r="CZ69" s="13" t="s">
        <v>131</v>
      </c>
      <c r="DA69" s="25">
        <v>0</v>
      </c>
      <c r="DB69" s="25">
        <v>5</v>
      </c>
    </row>
    <row r="70" s="2" customFormat="1" ht="14.5" spans="2:106">
      <c r="B70" s="11" t="s">
        <v>123</v>
      </c>
      <c r="C70" s="9" t="s">
        <v>124</v>
      </c>
      <c r="D70" s="10" t="s">
        <v>132</v>
      </c>
      <c r="E70" s="15" t="s">
        <v>133</v>
      </c>
      <c r="F70" s="16">
        <f t="shared" ref="F70:Z70" si="8">D80/1000</f>
        <v>0</v>
      </c>
      <c r="G70" s="16">
        <f t="shared" si="8"/>
        <v>74000</v>
      </c>
      <c r="H70" s="16">
        <f t="shared" si="8"/>
        <v>270000</v>
      </c>
      <c r="I70" s="16">
        <f t="shared" si="8"/>
        <v>0</v>
      </c>
      <c r="J70" s="16">
        <f t="shared" si="8"/>
        <v>0</v>
      </c>
      <c r="K70" s="16">
        <f t="shared" si="8"/>
        <v>0</v>
      </c>
      <c r="L70" s="16">
        <f t="shared" si="8"/>
        <v>270000</v>
      </c>
      <c r="M70" s="16">
        <f t="shared" si="8"/>
        <v>280000</v>
      </c>
      <c r="N70" s="16">
        <f t="shared" si="8"/>
        <v>0</v>
      </c>
      <c r="O70" s="16">
        <f t="shared" si="8"/>
        <v>0</v>
      </c>
      <c r="P70" s="16">
        <f t="shared" si="8"/>
        <v>0</v>
      </c>
      <c r="Q70" s="16">
        <f t="shared" si="8"/>
        <v>0</v>
      </c>
      <c r="R70" s="16">
        <f t="shared" si="8"/>
        <v>0</v>
      </c>
      <c r="S70" s="16">
        <f t="shared" si="8"/>
        <v>0</v>
      </c>
      <c r="T70" s="16">
        <f t="shared" si="8"/>
        <v>0</v>
      </c>
      <c r="U70" s="16">
        <f t="shared" si="8"/>
        <v>34000</v>
      </c>
      <c r="V70" s="16">
        <f t="shared" si="8"/>
        <v>0</v>
      </c>
      <c r="W70" s="16">
        <f t="shared" si="8"/>
        <v>0</v>
      </c>
      <c r="X70" s="16">
        <f t="shared" si="8"/>
        <v>0</v>
      </c>
      <c r="Y70" s="16">
        <f t="shared" si="8"/>
        <v>275000</v>
      </c>
      <c r="Z70" s="16">
        <f t="shared" si="8"/>
        <v>0</v>
      </c>
      <c r="AA70" s="22">
        <v>100</v>
      </c>
      <c r="AB70" s="2">
        <f t="shared" ref="AB70:AM73" si="9">Z80/1000</f>
        <v>0</v>
      </c>
      <c r="AC70" s="2">
        <f t="shared" si="9"/>
        <v>0</v>
      </c>
      <c r="AD70" s="2">
        <f t="shared" si="9"/>
        <v>5000</v>
      </c>
      <c r="AE70" s="2">
        <f t="shared" si="9"/>
        <v>0</v>
      </c>
      <c r="AF70" s="2">
        <f t="shared" si="9"/>
        <v>0</v>
      </c>
      <c r="AG70" s="9">
        <f t="shared" si="9"/>
        <v>640000</v>
      </c>
      <c r="AH70" s="2">
        <f t="shared" si="9"/>
        <v>0</v>
      </c>
      <c r="AI70" s="2">
        <f t="shared" si="9"/>
        <v>0</v>
      </c>
      <c r="AJ70" s="2">
        <f t="shared" si="9"/>
        <v>0</v>
      </c>
      <c r="AK70" s="2">
        <f t="shared" si="9"/>
        <v>0</v>
      </c>
      <c r="AL70" s="2">
        <f t="shared" si="9"/>
        <v>0</v>
      </c>
      <c r="AM70" s="2">
        <f t="shared" si="9"/>
        <v>140000</v>
      </c>
      <c r="AN70" s="2" t="str">
        <f t="shared" si="6"/>
        <v>m_manganese</v>
      </c>
      <c r="CQ70" s="24"/>
      <c r="CR70" s="24"/>
      <c r="CT70" s="24"/>
      <c r="CU70" s="24"/>
      <c r="CW70" s="27" t="s">
        <v>123</v>
      </c>
      <c r="CX70" t="s">
        <v>124</v>
      </c>
      <c r="CY70" s="4" t="s">
        <v>127</v>
      </c>
      <c r="CZ70" s="28" t="s">
        <v>133</v>
      </c>
      <c r="DA70" s="29">
        <v>0</v>
      </c>
      <c r="DB70" s="29">
        <v>5</v>
      </c>
    </row>
    <row r="71" s="2" customFormat="1" ht="14.5" spans="2:106">
      <c r="B71" s="11" t="s">
        <v>123</v>
      </c>
      <c r="C71" s="9" t="s">
        <v>124</v>
      </c>
      <c r="D71" s="10" t="s">
        <v>134</v>
      </c>
      <c r="E71" s="10" t="s">
        <v>135</v>
      </c>
      <c r="F71" s="2">
        <f t="shared" ref="F71:L73" si="10">D81/1000</f>
        <v>0</v>
      </c>
      <c r="G71" s="2">
        <f t="shared" si="10"/>
        <v>0</v>
      </c>
      <c r="H71" s="2">
        <f t="shared" si="10"/>
        <v>0</v>
      </c>
      <c r="I71" s="2">
        <f t="shared" si="10"/>
        <v>0</v>
      </c>
      <c r="J71" s="2">
        <f t="shared" si="10"/>
        <v>0</v>
      </c>
      <c r="K71" s="2">
        <f t="shared" si="10"/>
        <v>0</v>
      </c>
      <c r="L71" s="2">
        <f t="shared" si="10"/>
        <v>0</v>
      </c>
      <c r="M71" s="21">
        <v>41500</v>
      </c>
      <c r="N71" s="2">
        <f t="shared" ref="N71:Z73" si="11">L81/1000</f>
        <v>0</v>
      </c>
      <c r="O71" s="2">
        <f t="shared" si="11"/>
        <v>0</v>
      </c>
      <c r="P71" s="2">
        <f t="shared" si="11"/>
        <v>0</v>
      </c>
      <c r="Q71" s="2">
        <f t="shared" si="11"/>
        <v>0</v>
      </c>
      <c r="R71" s="2">
        <f t="shared" si="11"/>
        <v>0</v>
      </c>
      <c r="S71" s="2">
        <f t="shared" si="11"/>
        <v>0</v>
      </c>
      <c r="T71" s="2">
        <f t="shared" si="11"/>
        <v>0</v>
      </c>
      <c r="U71" s="2">
        <f t="shared" si="11"/>
        <v>0</v>
      </c>
      <c r="V71" s="2">
        <f t="shared" si="11"/>
        <v>0</v>
      </c>
      <c r="W71" s="2">
        <f t="shared" si="11"/>
        <v>0</v>
      </c>
      <c r="X71" s="2">
        <f t="shared" si="11"/>
        <v>0</v>
      </c>
      <c r="Y71" s="2">
        <f t="shared" si="11"/>
        <v>0</v>
      </c>
      <c r="Z71" s="2">
        <f t="shared" si="11"/>
        <v>0</v>
      </c>
      <c r="AA71" s="21">
        <v>3650</v>
      </c>
      <c r="AB71" s="2">
        <f t="shared" si="9"/>
        <v>0</v>
      </c>
      <c r="AC71" s="2">
        <f t="shared" si="9"/>
        <v>0</v>
      </c>
      <c r="AD71" s="2">
        <f t="shared" si="9"/>
        <v>0</v>
      </c>
      <c r="AE71" s="2">
        <f t="shared" si="9"/>
        <v>0</v>
      </c>
      <c r="AF71" s="2">
        <f t="shared" si="9"/>
        <v>0</v>
      </c>
      <c r="AG71" s="2">
        <f t="shared" si="9"/>
        <v>0</v>
      </c>
      <c r="AH71" s="2">
        <f t="shared" si="9"/>
        <v>0</v>
      </c>
      <c r="AI71" s="2">
        <f t="shared" si="9"/>
        <v>0</v>
      </c>
      <c r="AJ71" s="2">
        <f t="shared" si="9"/>
        <v>0</v>
      </c>
      <c r="AK71" s="2">
        <f t="shared" si="9"/>
        <v>0</v>
      </c>
      <c r="AL71" s="2">
        <f t="shared" si="9"/>
        <v>0</v>
      </c>
      <c r="AM71" s="2">
        <f t="shared" si="9"/>
        <v>0</v>
      </c>
      <c r="AN71" s="2" t="str">
        <f t="shared" si="6"/>
        <v>m_aluminum</v>
      </c>
      <c r="CQ71" s="24"/>
      <c r="CR71" s="24"/>
      <c r="CT71" s="24"/>
      <c r="CU71" s="24"/>
      <c r="CW71" s="27" t="s">
        <v>123</v>
      </c>
      <c r="CX71" t="s">
        <v>124</v>
      </c>
      <c r="CY71" s="4" t="s">
        <v>127</v>
      </c>
      <c r="CZ71" s="4" t="s">
        <v>135</v>
      </c>
      <c r="DA71" s="29">
        <v>0</v>
      </c>
      <c r="DB71" s="29">
        <v>5</v>
      </c>
    </row>
    <row r="72" s="2" customFormat="1" ht="14.5" spans="2:106">
      <c r="B72" s="11" t="s">
        <v>123</v>
      </c>
      <c r="C72" s="9" t="s">
        <v>124</v>
      </c>
      <c r="D72" s="10" t="s">
        <v>136</v>
      </c>
      <c r="E72" s="10" t="s">
        <v>137</v>
      </c>
      <c r="F72" s="2">
        <f t="shared" si="10"/>
        <v>0</v>
      </c>
      <c r="G72" s="2">
        <f t="shared" si="10"/>
        <v>50000</v>
      </c>
      <c r="H72" s="2">
        <f t="shared" si="10"/>
        <v>97000</v>
      </c>
      <c r="I72" s="2">
        <f t="shared" si="10"/>
        <v>0</v>
      </c>
      <c r="J72" s="2">
        <f t="shared" si="10"/>
        <v>0</v>
      </c>
      <c r="K72" s="2">
        <f t="shared" si="10"/>
        <v>0</v>
      </c>
      <c r="L72" s="2">
        <f t="shared" si="10"/>
        <v>0</v>
      </c>
      <c r="M72" s="2">
        <f>K82/1000</f>
        <v>27000</v>
      </c>
      <c r="N72" s="2">
        <f t="shared" si="11"/>
        <v>0</v>
      </c>
      <c r="O72" s="2">
        <f t="shared" si="11"/>
        <v>0</v>
      </c>
      <c r="P72" s="2">
        <f t="shared" si="11"/>
        <v>0</v>
      </c>
      <c r="Q72" s="2">
        <f t="shared" si="11"/>
        <v>0</v>
      </c>
      <c r="R72" s="2">
        <f t="shared" si="11"/>
        <v>0</v>
      </c>
      <c r="S72" s="2">
        <f t="shared" si="11"/>
        <v>0</v>
      </c>
      <c r="T72" s="2">
        <f t="shared" si="11"/>
        <v>0</v>
      </c>
      <c r="U72" s="2">
        <f t="shared" si="11"/>
        <v>0</v>
      </c>
      <c r="V72" s="2">
        <f t="shared" si="11"/>
        <v>0</v>
      </c>
      <c r="W72" s="2">
        <f t="shared" si="11"/>
        <v>0</v>
      </c>
      <c r="X72" s="2">
        <f t="shared" si="11"/>
        <v>0</v>
      </c>
      <c r="Y72" s="2">
        <f t="shared" si="11"/>
        <v>324000</v>
      </c>
      <c r="Z72" s="2">
        <f t="shared" si="11"/>
        <v>0</v>
      </c>
      <c r="AA72" s="2">
        <f>Y82/1000</f>
        <v>51600</v>
      </c>
      <c r="AB72" s="2">
        <f t="shared" si="9"/>
        <v>0</v>
      </c>
      <c r="AC72" s="2">
        <f t="shared" si="9"/>
        <v>30000</v>
      </c>
      <c r="AD72" s="2">
        <f t="shared" si="9"/>
        <v>244000</v>
      </c>
      <c r="AE72" s="2">
        <f t="shared" si="9"/>
        <v>62000</v>
      </c>
      <c r="AF72" s="2">
        <f t="shared" si="9"/>
        <v>0</v>
      </c>
      <c r="AG72" s="2">
        <f t="shared" si="9"/>
        <v>0</v>
      </c>
      <c r="AH72" s="2">
        <f t="shared" si="9"/>
        <v>0</v>
      </c>
      <c r="AI72" s="2">
        <f t="shared" si="9"/>
        <v>0</v>
      </c>
      <c r="AJ72" s="2">
        <f t="shared" si="9"/>
        <v>0</v>
      </c>
      <c r="AK72" s="2">
        <f t="shared" si="9"/>
        <v>0</v>
      </c>
      <c r="AL72" s="2">
        <f t="shared" si="9"/>
        <v>0</v>
      </c>
      <c r="AM72" s="2">
        <f t="shared" si="9"/>
        <v>0</v>
      </c>
      <c r="AN72" s="2" t="str">
        <f t="shared" si="6"/>
        <v>m_copper</v>
      </c>
      <c r="CQ72" s="24"/>
      <c r="CR72" s="24"/>
      <c r="CT72" s="24"/>
      <c r="CU72" s="24"/>
      <c r="CW72" s="27" t="s">
        <v>123</v>
      </c>
      <c r="CX72" t="s">
        <v>124</v>
      </c>
      <c r="CY72" s="4" t="s">
        <v>127</v>
      </c>
      <c r="CZ72" s="4" t="s">
        <v>137</v>
      </c>
      <c r="DA72" s="29">
        <v>0</v>
      </c>
      <c r="DB72" s="29">
        <v>5</v>
      </c>
    </row>
    <row r="73" s="1" customFormat="1" ht="14.5" spans="1:106">
      <c r="A73" s="2"/>
      <c r="B73" s="11" t="s">
        <v>123</v>
      </c>
      <c r="C73" s="9" t="s">
        <v>124</v>
      </c>
      <c r="D73" s="10" t="s">
        <v>138</v>
      </c>
      <c r="E73" s="10" t="s">
        <v>139</v>
      </c>
      <c r="F73" s="2">
        <f t="shared" si="10"/>
        <v>0</v>
      </c>
      <c r="G73" s="2">
        <f t="shared" si="10"/>
        <v>69000</v>
      </c>
      <c r="H73" s="2">
        <f t="shared" si="10"/>
        <v>0</v>
      </c>
      <c r="I73" s="2">
        <f t="shared" si="10"/>
        <v>0</v>
      </c>
      <c r="J73" s="2">
        <f t="shared" si="10"/>
        <v>0</v>
      </c>
      <c r="K73" s="2">
        <f t="shared" si="10"/>
        <v>0</v>
      </c>
      <c r="L73" s="2">
        <f t="shared" si="10"/>
        <v>74000</v>
      </c>
      <c r="M73" s="2">
        <f>K83/1000</f>
        <v>52000</v>
      </c>
      <c r="N73" s="2">
        <f t="shared" si="11"/>
        <v>0</v>
      </c>
      <c r="O73" s="2">
        <f t="shared" si="11"/>
        <v>0</v>
      </c>
      <c r="P73" s="2">
        <f t="shared" si="11"/>
        <v>0</v>
      </c>
      <c r="Q73" s="2">
        <f t="shared" si="11"/>
        <v>0</v>
      </c>
      <c r="R73" s="2">
        <f t="shared" si="11"/>
        <v>0</v>
      </c>
      <c r="S73" s="2">
        <f t="shared" si="11"/>
        <v>0</v>
      </c>
      <c r="T73" s="2">
        <f t="shared" si="11"/>
        <v>0</v>
      </c>
      <c r="U73" s="2">
        <f t="shared" si="11"/>
        <v>8000</v>
      </c>
      <c r="V73" s="2">
        <f t="shared" si="11"/>
        <v>0</v>
      </c>
      <c r="W73" s="2">
        <f t="shared" si="11"/>
        <v>0</v>
      </c>
      <c r="X73" s="2">
        <f t="shared" si="11"/>
        <v>0</v>
      </c>
      <c r="Y73" s="2">
        <f t="shared" si="11"/>
        <v>77100</v>
      </c>
      <c r="Z73" s="2">
        <f t="shared" si="11"/>
        <v>90000</v>
      </c>
      <c r="AA73" s="2">
        <f>Y83/1000</f>
        <v>5700</v>
      </c>
      <c r="AB73" s="2">
        <f t="shared" si="9"/>
        <v>600</v>
      </c>
      <c r="AC73" s="2">
        <f t="shared" si="9"/>
        <v>0</v>
      </c>
      <c r="AD73" s="2">
        <f t="shared" si="9"/>
        <v>12900</v>
      </c>
      <c r="AE73" s="2">
        <f t="shared" si="9"/>
        <v>14000</v>
      </c>
      <c r="AF73" s="2">
        <f t="shared" si="9"/>
        <v>0</v>
      </c>
      <c r="AG73" s="2">
        <f t="shared" si="9"/>
        <v>0</v>
      </c>
      <c r="AH73" s="2">
        <f t="shared" si="9"/>
        <v>0</v>
      </c>
      <c r="AI73" s="2">
        <f t="shared" si="9"/>
        <v>0</v>
      </c>
      <c r="AJ73" s="2">
        <f t="shared" si="9"/>
        <v>0</v>
      </c>
      <c r="AK73" s="2">
        <f t="shared" si="9"/>
        <v>90000</v>
      </c>
      <c r="AL73" s="2">
        <f t="shared" si="9"/>
        <v>0</v>
      </c>
      <c r="AM73" s="2">
        <f t="shared" si="9"/>
        <v>0</v>
      </c>
      <c r="AN73" s="2" t="str">
        <f t="shared" si="6"/>
        <v>m_graphite</v>
      </c>
      <c r="AY73" s="2"/>
      <c r="BB73" s="2"/>
      <c r="CQ73" s="23"/>
      <c r="CR73" s="24"/>
      <c r="CT73" s="23"/>
      <c r="CU73" s="23"/>
      <c r="CW73" s="27" t="s">
        <v>123</v>
      </c>
      <c r="CX73" t="s">
        <v>124</v>
      </c>
      <c r="CY73" s="4" t="s">
        <v>127</v>
      </c>
      <c r="CZ73" s="4" t="s">
        <v>139</v>
      </c>
      <c r="DA73" s="29">
        <v>0</v>
      </c>
      <c r="DB73" s="29">
        <v>5</v>
      </c>
    </row>
    <row r="74" s="4" customFormat="1"/>
    <row r="75" s="4" customFormat="1" spans="5:5">
      <c r="E75" s="4" t="s">
        <v>140</v>
      </c>
    </row>
    <row r="76" s="4" customFormat="1"/>
    <row r="77" s="4" customFormat="1" spans="4:37">
      <c r="D77" s="17">
        <v>0</v>
      </c>
      <c r="E77" s="17">
        <v>310000</v>
      </c>
      <c r="F77" s="17">
        <v>6200000</v>
      </c>
      <c r="G77" s="17">
        <v>0</v>
      </c>
      <c r="H77" s="17"/>
      <c r="I77" s="17"/>
      <c r="J77" s="17">
        <v>250000</v>
      </c>
      <c r="K77" s="17">
        <v>2000000</v>
      </c>
      <c r="L77" s="17"/>
      <c r="M77" s="17">
        <v>0</v>
      </c>
      <c r="N77" s="17">
        <v>0</v>
      </c>
      <c r="O77" s="17">
        <v>0</v>
      </c>
      <c r="P77" s="17">
        <v>0</v>
      </c>
      <c r="Q77" s="17"/>
      <c r="R77" s="17"/>
      <c r="S77" s="17">
        <v>0</v>
      </c>
      <c r="T77" s="17"/>
      <c r="U77" s="17"/>
      <c r="V77" s="17">
        <v>0</v>
      </c>
      <c r="W77" s="17">
        <v>12250000</v>
      </c>
      <c r="X77" s="17">
        <v>0</v>
      </c>
      <c r="Y77" s="17">
        <v>1930000</v>
      </c>
      <c r="Z77" s="17">
        <v>0</v>
      </c>
      <c r="AA77" s="17">
        <v>0</v>
      </c>
      <c r="AB77" s="17">
        <v>3300000</v>
      </c>
      <c r="AC77" s="17">
        <v>0</v>
      </c>
      <c r="AD77" s="17">
        <v>0</v>
      </c>
      <c r="AE77" s="17">
        <v>0</v>
      </c>
      <c r="AF77" s="17">
        <v>60000</v>
      </c>
      <c r="AG77" s="17">
        <v>0</v>
      </c>
      <c r="AH77" s="17"/>
      <c r="AI77" s="17">
        <v>0</v>
      </c>
      <c r="AJ77" s="17">
        <v>0</v>
      </c>
      <c r="AK77" s="17">
        <v>0</v>
      </c>
    </row>
    <row r="78" s="4" customFormat="1" spans="4:37">
      <c r="D78" s="17">
        <v>0</v>
      </c>
      <c r="E78" s="17">
        <v>0</v>
      </c>
      <c r="F78" s="17">
        <v>21000000</v>
      </c>
      <c r="G78" s="17">
        <v>0</v>
      </c>
      <c r="H78" s="17"/>
      <c r="I78" s="17"/>
      <c r="J78" s="17">
        <v>16000000</v>
      </c>
      <c r="K78" s="17">
        <v>2100000</v>
      </c>
      <c r="L78" s="17"/>
      <c r="M78" s="17">
        <v>0</v>
      </c>
      <c r="N78" s="17">
        <v>0</v>
      </c>
      <c r="O78" s="17">
        <v>0</v>
      </c>
      <c r="P78" s="17">
        <v>0</v>
      </c>
      <c r="Q78" s="17"/>
      <c r="R78" s="17"/>
      <c r="S78" s="17">
        <v>0</v>
      </c>
      <c r="T78" s="17"/>
      <c r="U78" s="17"/>
      <c r="V78" s="17">
        <v>0</v>
      </c>
      <c r="W78" s="17">
        <v>16000000</v>
      </c>
      <c r="X78" s="17">
        <v>0</v>
      </c>
      <c r="Y78" s="17">
        <v>2570000</v>
      </c>
      <c r="Z78" s="17">
        <v>0</v>
      </c>
      <c r="AA78" s="17">
        <v>0</v>
      </c>
      <c r="AB78" s="17">
        <v>52900000</v>
      </c>
      <c r="AC78" s="17">
        <v>7500000</v>
      </c>
      <c r="AD78" s="17">
        <v>0</v>
      </c>
      <c r="AE78" s="17">
        <v>0</v>
      </c>
      <c r="AF78" s="17">
        <v>0</v>
      </c>
      <c r="AG78" s="17">
        <v>0</v>
      </c>
      <c r="AH78" s="17"/>
      <c r="AI78" s="17">
        <v>0</v>
      </c>
      <c r="AJ78" s="17">
        <v>0</v>
      </c>
      <c r="AK78" s="17">
        <v>0</v>
      </c>
    </row>
    <row r="79" s="4" customFormat="1" spans="4:37">
      <c r="D79" s="17">
        <v>13000</v>
      </c>
      <c r="E79" s="17">
        <v>4100000</v>
      </c>
      <c r="F79" s="17">
        <v>1500000</v>
      </c>
      <c r="G79" s="17">
        <v>0</v>
      </c>
      <c r="H79" s="17"/>
      <c r="I79" s="17"/>
      <c r="J79" s="17">
        <v>0</v>
      </c>
      <c r="K79" s="17">
        <v>140000</v>
      </c>
      <c r="L79" s="17"/>
      <c r="M79" s="17">
        <v>0</v>
      </c>
      <c r="N79" s="17">
        <v>0</v>
      </c>
      <c r="O79" s="17">
        <v>0</v>
      </c>
      <c r="P79" s="17">
        <v>0</v>
      </c>
      <c r="Q79" s="17"/>
      <c r="R79" s="17"/>
      <c r="S79" s="17">
        <v>0</v>
      </c>
      <c r="T79" s="17"/>
      <c r="U79" s="17"/>
      <c r="V79" s="17">
        <v>0</v>
      </c>
      <c r="W79" s="17">
        <v>500000</v>
      </c>
      <c r="X79" s="17">
        <v>36000</v>
      </c>
      <c r="Y79" s="17">
        <v>289000</v>
      </c>
      <c r="Z79" s="17">
        <v>0</v>
      </c>
      <c r="AA79" s="17">
        <v>0</v>
      </c>
      <c r="AB79" s="17">
        <v>1517000</v>
      </c>
      <c r="AC79" s="17">
        <v>250000</v>
      </c>
      <c r="AD79" s="17">
        <v>0</v>
      </c>
      <c r="AE79" s="17">
        <v>0</v>
      </c>
      <c r="AF79" s="17">
        <v>0</v>
      </c>
      <c r="AG79" s="17">
        <v>0</v>
      </c>
      <c r="AH79" s="17"/>
      <c r="AI79" s="17">
        <v>36000</v>
      </c>
      <c r="AJ79" s="17">
        <v>0</v>
      </c>
      <c r="AK79" s="17">
        <v>0</v>
      </c>
    </row>
    <row r="80" s="4" customFormat="1" spans="4:37">
      <c r="D80" s="17">
        <v>0</v>
      </c>
      <c r="E80" s="17">
        <v>74000000</v>
      </c>
      <c r="F80" s="17">
        <v>270000000</v>
      </c>
      <c r="G80" s="17">
        <v>0</v>
      </c>
      <c r="H80" s="17"/>
      <c r="I80" s="17"/>
      <c r="J80" s="17">
        <v>270000000</v>
      </c>
      <c r="K80" s="17">
        <v>280000000</v>
      </c>
      <c r="L80" s="17"/>
      <c r="M80" s="17">
        <v>0</v>
      </c>
      <c r="N80" s="17">
        <v>0</v>
      </c>
      <c r="O80" s="17">
        <v>0</v>
      </c>
      <c r="P80" s="17">
        <v>0</v>
      </c>
      <c r="Q80" s="17"/>
      <c r="R80" s="17"/>
      <c r="S80" s="17">
        <v>34000000</v>
      </c>
      <c r="T80" s="17"/>
      <c r="U80" s="17"/>
      <c r="V80" s="17">
        <v>0</v>
      </c>
      <c r="W80" s="17">
        <v>275000000</v>
      </c>
      <c r="X80" s="17">
        <v>0</v>
      </c>
      <c r="Y80" s="17">
        <v>0</v>
      </c>
      <c r="Z80" s="17">
        <v>0</v>
      </c>
      <c r="AA80" s="17">
        <v>0</v>
      </c>
      <c r="AB80" s="17">
        <v>5000000</v>
      </c>
      <c r="AC80" s="17">
        <v>0</v>
      </c>
      <c r="AD80" s="17">
        <v>0</v>
      </c>
      <c r="AE80" s="17">
        <v>640000000</v>
      </c>
      <c r="AF80" s="17">
        <v>0</v>
      </c>
      <c r="AG80" s="17">
        <v>0</v>
      </c>
      <c r="AH80" s="17"/>
      <c r="AI80" s="17">
        <v>0</v>
      </c>
      <c r="AJ80" s="17">
        <v>0</v>
      </c>
      <c r="AK80" s="17">
        <v>140000000</v>
      </c>
    </row>
    <row r="81" s="4" customFormat="1" spans="4:37"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>
        <v>0</v>
      </c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</row>
    <row r="82" s="4" customFormat="1" spans="4:37">
      <c r="D82" s="17">
        <v>0</v>
      </c>
      <c r="E82" s="17">
        <v>50000000</v>
      </c>
      <c r="F82" s="17">
        <v>97000000</v>
      </c>
      <c r="G82" s="17">
        <v>0</v>
      </c>
      <c r="H82" s="17"/>
      <c r="I82" s="17"/>
      <c r="J82" s="17">
        <v>0</v>
      </c>
      <c r="K82" s="17">
        <v>27000000</v>
      </c>
      <c r="L82" s="17"/>
      <c r="M82" s="17">
        <v>0</v>
      </c>
      <c r="N82" s="17">
        <v>0</v>
      </c>
      <c r="O82" s="17">
        <v>0</v>
      </c>
      <c r="P82" s="17">
        <v>0</v>
      </c>
      <c r="Q82" s="17"/>
      <c r="R82" s="17"/>
      <c r="S82" s="17">
        <v>0</v>
      </c>
      <c r="T82" s="17"/>
      <c r="U82" s="17"/>
      <c r="V82" s="17">
        <v>0</v>
      </c>
      <c r="W82" s="17">
        <v>324000000</v>
      </c>
      <c r="X82" s="17">
        <v>0</v>
      </c>
      <c r="Y82" s="17">
        <v>51600000</v>
      </c>
      <c r="Z82" s="17">
        <v>0</v>
      </c>
      <c r="AA82" s="17">
        <v>30000000</v>
      </c>
      <c r="AB82" s="17">
        <v>244000000</v>
      </c>
      <c r="AC82" s="17">
        <v>62000000</v>
      </c>
      <c r="AD82" s="17">
        <v>0</v>
      </c>
      <c r="AE82" s="17">
        <v>0</v>
      </c>
      <c r="AF82" s="17">
        <v>0</v>
      </c>
      <c r="AG82" s="17">
        <v>0</v>
      </c>
      <c r="AH82" s="17"/>
      <c r="AI82" s="17">
        <v>0</v>
      </c>
      <c r="AJ82" s="17">
        <v>0</v>
      </c>
      <c r="AK82" s="17">
        <v>0</v>
      </c>
    </row>
    <row r="83" s="4" customFormat="1" spans="4:37">
      <c r="D83" s="17">
        <v>0</v>
      </c>
      <c r="E83" s="17">
        <v>69000000</v>
      </c>
      <c r="F83" s="17">
        <v>0</v>
      </c>
      <c r="G83" s="17">
        <v>0</v>
      </c>
      <c r="H83" s="17"/>
      <c r="I83" s="17"/>
      <c r="J83" s="17">
        <v>74000000</v>
      </c>
      <c r="K83" s="17">
        <v>52000000</v>
      </c>
      <c r="L83" s="17"/>
      <c r="M83" s="17">
        <v>0</v>
      </c>
      <c r="N83" s="17">
        <v>0</v>
      </c>
      <c r="O83" s="17">
        <v>0</v>
      </c>
      <c r="P83" s="17">
        <v>0</v>
      </c>
      <c r="Q83" s="17"/>
      <c r="R83" s="17"/>
      <c r="S83" s="17">
        <v>8000000</v>
      </c>
      <c r="T83" s="17"/>
      <c r="U83" s="17"/>
      <c r="V83" s="17">
        <v>0</v>
      </c>
      <c r="W83" s="17">
        <v>77100000</v>
      </c>
      <c r="X83" s="17">
        <v>90000000</v>
      </c>
      <c r="Y83" s="17">
        <v>5700000</v>
      </c>
      <c r="Z83" s="17">
        <v>600000</v>
      </c>
      <c r="AA83" s="17">
        <v>0</v>
      </c>
      <c r="AB83" s="17">
        <v>12900000</v>
      </c>
      <c r="AC83" s="17">
        <v>14000000</v>
      </c>
      <c r="AD83" s="17">
        <v>0</v>
      </c>
      <c r="AE83" s="17">
        <v>0</v>
      </c>
      <c r="AF83" s="17">
        <v>0</v>
      </c>
      <c r="AG83" s="17">
        <v>0</v>
      </c>
      <c r="AH83" s="17"/>
      <c r="AI83" s="17">
        <v>90000000</v>
      </c>
      <c r="AJ83" s="17">
        <v>0</v>
      </c>
      <c r="AK83" s="17">
        <v>0</v>
      </c>
    </row>
    <row r="84" s="4" customFormat="1"/>
    <row r="88" spans="2:2">
      <c r="B88" t="s">
        <v>141</v>
      </c>
    </row>
    <row r="91" spans="8:12">
      <c r="H91" s="4"/>
      <c r="I91" s="4"/>
      <c r="J91" s="4"/>
      <c r="K91" s="4"/>
      <c r="L91" s="4"/>
    </row>
    <row r="92" spans="4:12">
      <c r="D92" s="4"/>
      <c r="H92" s="4"/>
      <c r="I92" s="4"/>
      <c r="J92" s="4"/>
      <c r="K92" s="4"/>
      <c r="L92" s="4"/>
    </row>
    <row r="93" spans="3:12">
      <c r="C93" s="4"/>
      <c r="D93" s="4"/>
      <c r="F93" s="4"/>
      <c r="H93" s="4"/>
      <c r="I93" s="4"/>
      <c r="J93" s="4"/>
      <c r="K93" s="4"/>
      <c r="L93" s="4"/>
    </row>
    <row r="94" spans="3:12">
      <c r="C94" s="4"/>
      <c r="D94" s="4"/>
      <c r="H94" s="4"/>
      <c r="I94" s="4"/>
      <c r="J94" s="4"/>
      <c r="K94" s="4"/>
      <c r="L94" s="4"/>
    </row>
    <row r="95" spans="3:12">
      <c r="C95" s="4"/>
      <c r="D95" s="4"/>
      <c r="F95" s="4"/>
      <c r="H95" s="4"/>
      <c r="I95" s="4"/>
      <c r="J95" s="4"/>
      <c r="K95" s="4"/>
      <c r="L95" s="4"/>
    </row>
    <row r="96" spans="3:12">
      <c r="C96" s="4"/>
      <c r="D96" s="4"/>
      <c r="H96" s="4"/>
      <c r="I96" s="4"/>
      <c r="J96" s="4"/>
      <c r="K96" s="4"/>
      <c r="L96" s="4"/>
    </row>
    <row r="97" spans="3:12">
      <c r="C97" s="4"/>
      <c r="D97" s="4"/>
      <c r="F97" s="4"/>
      <c r="H97" s="4"/>
      <c r="I97" s="4"/>
      <c r="J97" s="4"/>
      <c r="K97" s="4"/>
      <c r="L97" s="4"/>
    </row>
    <row r="98" spans="3:12">
      <c r="C98" s="4"/>
      <c r="D98" s="4"/>
      <c r="H98" s="4"/>
      <c r="I98" s="4"/>
      <c r="J98" s="4"/>
      <c r="K98" s="4"/>
      <c r="L98" s="4"/>
    </row>
    <row r="99" spans="3:6">
      <c r="C99" s="4"/>
      <c r="F99" s="4"/>
    </row>
    <row r="100" spans="3:4">
      <c r="C100" s="4"/>
      <c r="D100" s="4"/>
    </row>
    <row r="101" spans="3:7">
      <c r="C101" s="4"/>
      <c r="D101" s="18"/>
      <c r="E101" s="18"/>
      <c r="F101" s="18"/>
      <c r="G101" s="18"/>
    </row>
    <row r="102" spans="3:26">
      <c r="C102" s="4"/>
      <c r="D102" t="s">
        <v>69</v>
      </c>
      <c r="M102" s="4"/>
      <c r="N102" t="s">
        <v>69</v>
      </c>
      <c r="Y102" s="4"/>
      <c r="Z102" t="s">
        <v>69</v>
      </c>
    </row>
    <row r="103" spans="3:29">
      <c r="C103" s="4" t="s">
        <v>71</v>
      </c>
      <c r="D103" s="18" t="s">
        <v>45</v>
      </c>
      <c r="E103" s="18" t="s">
        <v>44</v>
      </c>
      <c r="F103" s="18" t="s">
        <v>11</v>
      </c>
      <c r="G103" s="18" t="s">
        <v>25</v>
      </c>
      <c r="L103" t="s">
        <v>77</v>
      </c>
      <c r="M103" s="4" t="s">
        <v>71</v>
      </c>
      <c r="N103" s="18" t="s">
        <v>45</v>
      </c>
      <c r="O103" s="18" t="s">
        <v>44</v>
      </c>
      <c r="P103" s="18" t="s">
        <v>11</v>
      </c>
      <c r="Q103" s="18" t="s">
        <v>25</v>
      </c>
      <c r="X103" t="s">
        <v>77</v>
      </c>
      <c r="Y103" s="4" t="s">
        <v>71</v>
      </c>
      <c r="Z103" s="18" t="s">
        <v>45</v>
      </c>
      <c r="AA103" s="18" t="s">
        <v>44</v>
      </c>
      <c r="AB103" s="18" t="s">
        <v>11</v>
      </c>
      <c r="AC103" s="18" t="s">
        <v>25</v>
      </c>
    </row>
    <row r="104" spans="3:29">
      <c r="C104" s="4" t="s">
        <v>142</v>
      </c>
      <c r="D104" s="18" t="s">
        <v>143</v>
      </c>
      <c r="E104" s="18">
        <v>7.11384396954065</v>
      </c>
      <c r="F104" s="19">
        <v>5.40179852616065</v>
      </c>
      <c r="G104" s="19">
        <v>8.85540744288872</v>
      </c>
      <c r="L104">
        <v>2050</v>
      </c>
      <c r="M104" s="4" t="s">
        <v>142</v>
      </c>
      <c r="N104" s="18" t="s">
        <v>143</v>
      </c>
      <c r="O104" s="18">
        <f>E104*0.313</f>
        <v>2.22663316246622</v>
      </c>
      <c r="P104" s="18">
        <f>F104*0.313</f>
        <v>1.69076293868828</v>
      </c>
      <c r="Q104" s="18">
        <f>G104*0.313</f>
        <v>2.77174252962417</v>
      </c>
      <c r="X104">
        <v>0</v>
      </c>
      <c r="Y104" s="4" t="s">
        <v>142</v>
      </c>
      <c r="Z104" s="18" t="s">
        <v>143</v>
      </c>
      <c r="AA104" s="18">
        <v>5</v>
      </c>
      <c r="AB104" s="18">
        <v>5</v>
      </c>
      <c r="AC104" s="18">
        <v>5</v>
      </c>
    </row>
    <row r="105" spans="3:29">
      <c r="C105" s="4" t="s">
        <v>142</v>
      </c>
      <c r="D105" s="18" t="s">
        <v>144</v>
      </c>
      <c r="E105" s="18">
        <v>7.11384396954065</v>
      </c>
      <c r="F105" s="19">
        <v>5.40179852616065</v>
      </c>
      <c r="G105" s="19">
        <v>8.85540744288872</v>
      </c>
      <c r="L105">
        <v>2050</v>
      </c>
      <c r="M105" s="4" t="s">
        <v>142</v>
      </c>
      <c r="N105" s="18" t="s">
        <v>144</v>
      </c>
      <c r="O105" s="18">
        <f t="shared" ref="O105:O124" si="12">E105*0.313</f>
        <v>2.22663316246622</v>
      </c>
      <c r="P105" s="18">
        <f t="shared" ref="P105:P124" si="13">F105*0.313</f>
        <v>1.69076293868828</v>
      </c>
      <c r="Q105" s="18">
        <f t="shared" ref="Q105:Q124" si="14">G105*0.313</f>
        <v>2.77174252962417</v>
      </c>
      <c r="X105">
        <v>0</v>
      </c>
      <c r="Y105" s="4" t="s">
        <v>142</v>
      </c>
      <c r="Z105" s="18" t="s">
        <v>144</v>
      </c>
      <c r="AA105" s="18">
        <v>5</v>
      </c>
      <c r="AB105" s="18">
        <v>5</v>
      </c>
      <c r="AC105" s="18">
        <v>5</v>
      </c>
    </row>
    <row r="106" spans="3:29">
      <c r="C106" s="4" t="s">
        <v>142</v>
      </c>
      <c r="D106" s="18" t="s">
        <v>145</v>
      </c>
      <c r="E106" s="18">
        <v>7.62975445836404</v>
      </c>
      <c r="F106" s="19">
        <v>5.79354797347089</v>
      </c>
      <c r="G106" s="19">
        <v>9.49761967575534</v>
      </c>
      <c r="L106">
        <v>2050</v>
      </c>
      <c r="M106" s="4" t="s">
        <v>142</v>
      </c>
      <c r="N106" s="18" t="s">
        <v>145</v>
      </c>
      <c r="O106" s="18">
        <f t="shared" si="12"/>
        <v>2.38811314546794</v>
      </c>
      <c r="P106" s="18">
        <f t="shared" si="13"/>
        <v>1.81338051569639</v>
      </c>
      <c r="Q106" s="18">
        <f t="shared" si="14"/>
        <v>2.97275495851142</v>
      </c>
      <c r="X106">
        <v>0</v>
      </c>
      <c r="Y106" s="4" t="s">
        <v>142</v>
      </c>
      <c r="Z106" s="18" t="s">
        <v>145</v>
      </c>
      <c r="AA106" s="18">
        <v>5</v>
      </c>
      <c r="AB106" s="18">
        <v>5</v>
      </c>
      <c r="AC106" s="18">
        <v>5</v>
      </c>
    </row>
    <row r="107" spans="3:29">
      <c r="C107" s="4" t="s">
        <v>142</v>
      </c>
      <c r="D107" s="18" t="s">
        <v>146</v>
      </c>
      <c r="E107" s="18">
        <v>7.47097081798084</v>
      </c>
      <c r="F107" s="19">
        <v>5.67297781871776</v>
      </c>
      <c r="G107" s="19">
        <v>9.29996366985999</v>
      </c>
      <c r="L107">
        <v>2050</v>
      </c>
      <c r="M107" s="4" t="s">
        <v>142</v>
      </c>
      <c r="N107" s="18" t="s">
        <v>146</v>
      </c>
      <c r="O107" s="18">
        <f t="shared" si="12"/>
        <v>2.338413866028</v>
      </c>
      <c r="P107" s="18">
        <f t="shared" si="13"/>
        <v>1.77564205725866</v>
      </c>
      <c r="Q107" s="18">
        <f t="shared" si="14"/>
        <v>2.91088862866618</v>
      </c>
      <c r="X107">
        <v>0</v>
      </c>
      <c r="Y107" s="4" t="s">
        <v>142</v>
      </c>
      <c r="Z107" s="18" t="s">
        <v>146</v>
      </c>
      <c r="AA107" s="18">
        <v>5</v>
      </c>
      <c r="AB107" s="18">
        <v>5</v>
      </c>
      <c r="AC107" s="18">
        <v>5</v>
      </c>
    </row>
    <row r="108" spans="3:29">
      <c r="C108" s="4" t="s">
        <v>142</v>
      </c>
      <c r="D108" s="18" t="s">
        <v>147</v>
      </c>
      <c r="E108" s="18">
        <v>7.51643520019651</v>
      </c>
      <c r="F108" s="19">
        <v>5.70750058953574</v>
      </c>
      <c r="G108" s="19">
        <v>9.35655836403832</v>
      </c>
      <c r="L108">
        <v>2050</v>
      </c>
      <c r="M108" s="4" t="s">
        <v>142</v>
      </c>
      <c r="N108" s="18" t="s">
        <v>147</v>
      </c>
      <c r="O108" s="18">
        <f t="shared" si="12"/>
        <v>2.35264421766151</v>
      </c>
      <c r="P108" s="18">
        <f t="shared" si="13"/>
        <v>1.78644768452469</v>
      </c>
      <c r="Q108" s="18">
        <f t="shared" si="14"/>
        <v>2.92860276794399</v>
      </c>
      <c r="X108">
        <v>0</v>
      </c>
      <c r="Y108" s="4" t="s">
        <v>142</v>
      </c>
      <c r="Z108" s="18" t="s">
        <v>147</v>
      </c>
      <c r="AA108" s="18">
        <v>5</v>
      </c>
      <c r="AB108" s="18">
        <v>5</v>
      </c>
      <c r="AC108" s="18">
        <v>5</v>
      </c>
    </row>
    <row r="109" spans="3:29">
      <c r="C109" s="4" t="s">
        <v>142</v>
      </c>
      <c r="D109" s="18" t="s">
        <v>148</v>
      </c>
      <c r="E109" s="18">
        <v>7.55036263817244</v>
      </c>
      <c r="F109" s="19">
        <v>5.73326293294031</v>
      </c>
      <c r="G109" s="19">
        <v>9.39879167280766</v>
      </c>
      <c r="L109">
        <v>2050</v>
      </c>
      <c r="M109" s="4" t="s">
        <v>142</v>
      </c>
      <c r="N109" s="18" t="s">
        <v>148</v>
      </c>
      <c r="O109" s="18">
        <f t="shared" si="12"/>
        <v>2.36326350574797</v>
      </c>
      <c r="P109" s="18">
        <f t="shared" si="13"/>
        <v>1.79451129801032</v>
      </c>
      <c r="Q109" s="18">
        <f t="shared" si="14"/>
        <v>2.9418217935888</v>
      </c>
      <c r="X109">
        <v>0</v>
      </c>
      <c r="Y109" s="4" t="s">
        <v>142</v>
      </c>
      <c r="Z109" s="18" t="s">
        <v>148</v>
      </c>
      <c r="AA109" s="18">
        <v>5</v>
      </c>
      <c r="AB109" s="18">
        <v>5</v>
      </c>
      <c r="AC109" s="18">
        <v>5</v>
      </c>
    </row>
    <row r="110" spans="3:29">
      <c r="C110" s="4" t="s">
        <v>142</v>
      </c>
      <c r="D110" s="18" t="s">
        <v>149</v>
      </c>
      <c r="E110" s="18">
        <v>7.62975445836404</v>
      </c>
      <c r="F110" s="19">
        <v>5.79354797347089</v>
      </c>
      <c r="G110" s="19">
        <v>9.49761967575534</v>
      </c>
      <c r="L110">
        <v>2050</v>
      </c>
      <c r="M110" s="4" t="s">
        <v>142</v>
      </c>
      <c r="N110" s="18" t="s">
        <v>149</v>
      </c>
      <c r="O110" s="18">
        <f t="shared" si="12"/>
        <v>2.38811314546794</v>
      </c>
      <c r="P110" s="18">
        <f t="shared" si="13"/>
        <v>1.81338051569639</v>
      </c>
      <c r="Q110" s="18">
        <f t="shared" si="14"/>
        <v>2.97275495851142</v>
      </c>
      <c r="X110">
        <v>0</v>
      </c>
      <c r="Y110" s="4" t="s">
        <v>142</v>
      </c>
      <c r="Z110" s="18" t="s">
        <v>149</v>
      </c>
      <c r="AA110" s="18">
        <v>5</v>
      </c>
      <c r="AB110" s="18">
        <v>5</v>
      </c>
      <c r="AC110" s="18">
        <v>5</v>
      </c>
    </row>
    <row r="111" spans="3:29">
      <c r="C111" s="4" t="s">
        <v>142</v>
      </c>
      <c r="D111" s="18" t="s">
        <v>150</v>
      </c>
      <c r="E111" s="18">
        <v>4.18384600835176</v>
      </c>
      <c r="F111" s="19">
        <v>3.17694532056006</v>
      </c>
      <c r="G111" s="19">
        <v>5.20810707442889</v>
      </c>
      <c r="L111">
        <v>2050</v>
      </c>
      <c r="M111" s="4" t="s">
        <v>142</v>
      </c>
      <c r="N111" s="18" t="s">
        <v>150</v>
      </c>
      <c r="O111" s="18">
        <f t="shared" si="12"/>
        <v>1.3095438006141</v>
      </c>
      <c r="P111" s="18">
        <f t="shared" si="13"/>
        <v>0.994383885335299</v>
      </c>
      <c r="Q111" s="18">
        <f t="shared" si="14"/>
        <v>1.63013751429624</v>
      </c>
      <c r="X111">
        <v>0</v>
      </c>
      <c r="Y111" s="4" t="s">
        <v>142</v>
      </c>
      <c r="Z111" s="18" t="s">
        <v>150</v>
      </c>
      <c r="AA111" s="18">
        <v>5</v>
      </c>
      <c r="AB111" s="18">
        <v>5</v>
      </c>
      <c r="AC111" s="18">
        <v>5</v>
      </c>
    </row>
    <row r="112" spans="3:29">
      <c r="C112" s="4" t="s">
        <v>142</v>
      </c>
      <c r="D112" s="18" t="s">
        <v>151</v>
      </c>
      <c r="E112" s="18">
        <v>4.18384600835176</v>
      </c>
      <c r="F112" s="19">
        <v>3.17694532056006</v>
      </c>
      <c r="G112" s="19">
        <v>5.20810707442889</v>
      </c>
      <c r="L112">
        <v>2050</v>
      </c>
      <c r="M112" s="4" t="s">
        <v>142</v>
      </c>
      <c r="N112" s="18" t="s">
        <v>151</v>
      </c>
      <c r="O112" s="18">
        <f t="shared" si="12"/>
        <v>1.3095438006141</v>
      </c>
      <c r="P112" s="18">
        <f t="shared" si="13"/>
        <v>0.994383885335299</v>
      </c>
      <c r="Q112" s="18">
        <f t="shared" si="14"/>
        <v>1.63013751429624</v>
      </c>
      <c r="X112">
        <v>0</v>
      </c>
      <c r="Y112" s="4" t="s">
        <v>142</v>
      </c>
      <c r="Z112" s="18" t="s">
        <v>151</v>
      </c>
      <c r="AA112" s="18">
        <v>5</v>
      </c>
      <c r="AB112" s="18">
        <v>5</v>
      </c>
      <c r="AC112" s="18">
        <v>5</v>
      </c>
    </row>
    <row r="113" spans="3:29">
      <c r="C113" s="4" t="s">
        <v>142</v>
      </c>
      <c r="D113" s="18" t="s">
        <v>152</v>
      </c>
      <c r="E113" s="18">
        <v>4.18384600835176</v>
      </c>
      <c r="F113" s="19">
        <v>3.17694532056006</v>
      </c>
      <c r="G113" s="19">
        <v>5.20810707442889</v>
      </c>
      <c r="L113">
        <v>2050</v>
      </c>
      <c r="M113" s="4" t="s">
        <v>142</v>
      </c>
      <c r="N113" s="18" t="s">
        <v>152</v>
      </c>
      <c r="O113" s="18">
        <f t="shared" si="12"/>
        <v>1.3095438006141</v>
      </c>
      <c r="P113" s="18">
        <f t="shared" si="13"/>
        <v>0.994383885335299</v>
      </c>
      <c r="Q113" s="18">
        <f t="shared" si="14"/>
        <v>1.63013751429624</v>
      </c>
      <c r="X113">
        <v>0</v>
      </c>
      <c r="Y113" s="4" t="s">
        <v>142</v>
      </c>
      <c r="Z113" s="18" t="s">
        <v>152</v>
      </c>
      <c r="AA113" s="18">
        <v>5</v>
      </c>
      <c r="AB113" s="18">
        <v>5</v>
      </c>
      <c r="AC113" s="18">
        <v>5</v>
      </c>
    </row>
    <row r="114" spans="3:29">
      <c r="C114" s="4" t="s">
        <v>142</v>
      </c>
      <c r="D114" s="18" t="s">
        <v>153</v>
      </c>
      <c r="E114" s="18">
        <v>4.18384600835176</v>
      </c>
      <c r="F114" s="19">
        <v>3.17694532056006</v>
      </c>
      <c r="G114" s="19">
        <v>5.20810707442889</v>
      </c>
      <c r="L114">
        <v>2050</v>
      </c>
      <c r="M114" s="4" t="s">
        <v>142</v>
      </c>
      <c r="N114" s="18" t="s">
        <v>153</v>
      </c>
      <c r="O114" s="18">
        <f t="shared" si="12"/>
        <v>1.3095438006141</v>
      </c>
      <c r="P114" s="18">
        <f t="shared" si="13"/>
        <v>0.994383885335299</v>
      </c>
      <c r="Q114" s="18">
        <f t="shared" si="14"/>
        <v>1.63013751429624</v>
      </c>
      <c r="X114">
        <v>0</v>
      </c>
      <c r="Y114" s="4" t="s">
        <v>142</v>
      </c>
      <c r="Z114" s="18" t="s">
        <v>153</v>
      </c>
      <c r="AA114" s="18">
        <v>5</v>
      </c>
      <c r="AB114" s="18">
        <v>5</v>
      </c>
      <c r="AC114" s="18">
        <v>5</v>
      </c>
    </row>
    <row r="115" spans="3:29">
      <c r="C115" s="4" t="s">
        <v>142</v>
      </c>
      <c r="D115" s="18" t="s">
        <v>154</v>
      </c>
      <c r="E115" s="18">
        <v>4.18384600835176</v>
      </c>
      <c r="F115" s="19">
        <v>3.17694532056006</v>
      </c>
      <c r="G115" s="19">
        <v>5.20810707442889</v>
      </c>
      <c r="L115">
        <v>2050</v>
      </c>
      <c r="M115" s="4" t="s">
        <v>142</v>
      </c>
      <c r="N115" s="18" t="s">
        <v>154</v>
      </c>
      <c r="O115" s="18">
        <f t="shared" si="12"/>
        <v>1.3095438006141</v>
      </c>
      <c r="P115" s="18">
        <f t="shared" si="13"/>
        <v>0.994383885335299</v>
      </c>
      <c r="Q115" s="18">
        <f t="shared" si="14"/>
        <v>1.63013751429624</v>
      </c>
      <c r="X115">
        <v>0</v>
      </c>
      <c r="Y115" s="4" t="s">
        <v>142</v>
      </c>
      <c r="Z115" s="18" t="s">
        <v>154</v>
      </c>
      <c r="AA115" s="18">
        <v>5</v>
      </c>
      <c r="AB115" s="18">
        <v>5</v>
      </c>
      <c r="AC115" s="18">
        <v>5</v>
      </c>
    </row>
    <row r="116" spans="3:29">
      <c r="C116" s="4" t="s">
        <v>142</v>
      </c>
      <c r="D116" s="18" t="s">
        <v>155</v>
      </c>
      <c r="E116" s="18">
        <v>4.18384600835176</v>
      </c>
      <c r="F116" s="19">
        <v>3.17694532056006</v>
      </c>
      <c r="G116" s="19">
        <v>5.20810707442889</v>
      </c>
      <c r="L116">
        <v>2050</v>
      </c>
      <c r="M116" s="4" t="s">
        <v>142</v>
      </c>
      <c r="N116" s="18" t="s">
        <v>155</v>
      </c>
      <c r="O116" s="18">
        <f t="shared" si="12"/>
        <v>1.3095438006141</v>
      </c>
      <c r="P116" s="18">
        <f t="shared" si="13"/>
        <v>0.994383885335299</v>
      </c>
      <c r="Q116" s="18">
        <f t="shared" si="14"/>
        <v>1.63013751429624</v>
      </c>
      <c r="X116">
        <v>0</v>
      </c>
      <c r="Y116" s="4" t="s">
        <v>142</v>
      </c>
      <c r="Z116" s="18" t="s">
        <v>155</v>
      </c>
      <c r="AA116" s="18">
        <v>5</v>
      </c>
      <c r="AB116" s="18">
        <v>5</v>
      </c>
      <c r="AC116" s="18">
        <v>5</v>
      </c>
    </row>
    <row r="117" spans="3:29">
      <c r="C117" s="4" t="s">
        <v>142</v>
      </c>
      <c r="D117" s="18" t="s">
        <v>156</v>
      </c>
      <c r="E117" s="18">
        <v>4.18384600835176</v>
      </c>
      <c r="F117" s="19">
        <v>3.17694532056006</v>
      </c>
      <c r="G117" s="19">
        <v>5.20810707442889</v>
      </c>
      <c r="L117">
        <v>2050</v>
      </c>
      <c r="M117" s="4" t="s">
        <v>142</v>
      </c>
      <c r="N117" s="18" t="s">
        <v>156</v>
      </c>
      <c r="O117" s="18">
        <f t="shared" si="12"/>
        <v>1.3095438006141</v>
      </c>
      <c r="P117" s="18">
        <f t="shared" si="13"/>
        <v>0.994383885335299</v>
      </c>
      <c r="Q117" s="18">
        <f t="shared" si="14"/>
        <v>1.63013751429624</v>
      </c>
      <c r="X117">
        <v>0</v>
      </c>
      <c r="Y117" s="4" t="s">
        <v>142</v>
      </c>
      <c r="Z117" s="18" t="s">
        <v>156</v>
      </c>
      <c r="AA117" s="18">
        <v>5</v>
      </c>
      <c r="AB117" s="18">
        <v>5</v>
      </c>
      <c r="AC117" s="18">
        <v>5</v>
      </c>
    </row>
    <row r="118" spans="3:29">
      <c r="C118" s="4" t="s">
        <v>142</v>
      </c>
      <c r="D118" s="18" t="s">
        <v>157</v>
      </c>
      <c r="E118" s="18">
        <v>3.56556266273643</v>
      </c>
      <c r="F118" s="19">
        <v>2.70746042741341</v>
      </c>
      <c r="G118" s="19">
        <v>4.4384597641857</v>
      </c>
      <c r="L118">
        <v>2050</v>
      </c>
      <c r="M118" s="4" t="s">
        <v>142</v>
      </c>
      <c r="N118" s="18" t="s">
        <v>157</v>
      </c>
      <c r="O118" s="18">
        <f t="shared" si="12"/>
        <v>1.1160211134365</v>
      </c>
      <c r="P118" s="18">
        <f t="shared" si="13"/>
        <v>0.847435113780397</v>
      </c>
      <c r="Q118" s="18">
        <f t="shared" si="14"/>
        <v>1.38923790619012</v>
      </c>
      <c r="X118">
        <v>0</v>
      </c>
      <c r="Y118" s="4" t="s">
        <v>142</v>
      </c>
      <c r="Z118" s="18" t="s">
        <v>157</v>
      </c>
      <c r="AA118" s="18">
        <v>5</v>
      </c>
      <c r="AB118" s="18">
        <v>5</v>
      </c>
      <c r="AC118" s="18">
        <v>5</v>
      </c>
    </row>
    <row r="119" spans="3:29">
      <c r="C119" s="4" t="s">
        <v>142</v>
      </c>
      <c r="D119" s="18" t="s">
        <v>158</v>
      </c>
      <c r="E119" s="18">
        <v>3.60087708179809</v>
      </c>
      <c r="F119" s="19">
        <v>2.73427597641857</v>
      </c>
      <c r="G119" s="19">
        <v>4.48241960206338</v>
      </c>
      <c r="L119">
        <v>2050</v>
      </c>
      <c r="M119" s="4" t="s">
        <v>142</v>
      </c>
      <c r="N119" s="18" t="s">
        <v>158</v>
      </c>
      <c r="O119" s="18">
        <f t="shared" si="12"/>
        <v>1.1270745266028</v>
      </c>
      <c r="P119" s="18">
        <f t="shared" si="13"/>
        <v>0.855828380619012</v>
      </c>
      <c r="Q119" s="18">
        <f t="shared" si="14"/>
        <v>1.40299733544584</v>
      </c>
      <c r="X119">
        <v>0</v>
      </c>
      <c r="Y119" s="4" t="s">
        <v>142</v>
      </c>
      <c r="Z119" s="18" t="s">
        <v>158</v>
      </c>
      <c r="AA119" s="18">
        <v>5</v>
      </c>
      <c r="AB119" s="18">
        <v>5</v>
      </c>
      <c r="AC119" s="18">
        <v>5</v>
      </c>
    </row>
    <row r="120" spans="3:29">
      <c r="C120" s="4" t="s">
        <v>142</v>
      </c>
      <c r="D120" s="18" t="s">
        <v>159</v>
      </c>
      <c r="E120" s="18">
        <v>3.56556266273643</v>
      </c>
      <c r="F120" s="19">
        <v>2.70746042741341</v>
      </c>
      <c r="G120" s="19">
        <v>4.4384597641857</v>
      </c>
      <c r="L120">
        <v>2050</v>
      </c>
      <c r="M120" s="4" t="s">
        <v>142</v>
      </c>
      <c r="N120" s="18" t="s">
        <v>159</v>
      </c>
      <c r="O120" s="18">
        <f t="shared" si="12"/>
        <v>1.1160211134365</v>
      </c>
      <c r="P120" s="18">
        <f t="shared" si="13"/>
        <v>0.847435113780397</v>
      </c>
      <c r="Q120" s="18">
        <f t="shared" si="14"/>
        <v>1.38923790619012</v>
      </c>
      <c r="X120">
        <v>0</v>
      </c>
      <c r="Y120" s="4" t="s">
        <v>142</v>
      </c>
      <c r="Z120" s="18" t="s">
        <v>159</v>
      </c>
      <c r="AA120" s="18">
        <v>5</v>
      </c>
      <c r="AB120" s="18">
        <v>5</v>
      </c>
      <c r="AC120" s="18">
        <v>5</v>
      </c>
    </row>
    <row r="121" spans="3:29">
      <c r="C121" s="4" t="s">
        <v>142</v>
      </c>
      <c r="D121" s="18" t="s">
        <v>160</v>
      </c>
      <c r="E121" s="18">
        <v>3.56645369688037</v>
      </c>
      <c r="F121" s="19">
        <v>2.70813706705969</v>
      </c>
      <c r="G121" s="19">
        <v>4.43956890198968</v>
      </c>
      <c r="L121">
        <v>2050</v>
      </c>
      <c r="M121" s="4" t="s">
        <v>142</v>
      </c>
      <c r="N121" s="18" t="s">
        <v>160</v>
      </c>
      <c r="O121" s="18">
        <f t="shared" si="12"/>
        <v>1.11630000712356</v>
      </c>
      <c r="P121" s="18">
        <f t="shared" si="13"/>
        <v>0.847646901989683</v>
      </c>
      <c r="Q121" s="18">
        <f t="shared" si="14"/>
        <v>1.38958506632277</v>
      </c>
      <c r="X121">
        <v>0</v>
      </c>
      <c r="Y121" s="4" t="s">
        <v>142</v>
      </c>
      <c r="Z121" s="18" t="s">
        <v>160</v>
      </c>
      <c r="AA121" s="18">
        <v>5</v>
      </c>
      <c r="AB121" s="18">
        <v>5</v>
      </c>
      <c r="AC121" s="18">
        <v>5</v>
      </c>
    </row>
    <row r="122" spans="3:29">
      <c r="C122" s="4" t="s">
        <v>142</v>
      </c>
      <c r="D122" s="18" t="s">
        <v>161</v>
      </c>
      <c r="E122" s="18">
        <v>3.56585961680177</v>
      </c>
      <c r="F122" s="19">
        <v>2.70768592483419</v>
      </c>
      <c r="G122" s="19">
        <v>4.43882940309506</v>
      </c>
      <c r="L122">
        <v>2050</v>
      </c>
      <c r="M122" s="4" t="s">
        <v>142</v>
      </c>
      <c r="N122" s="18" t="s">
        <v>161</v>
      </c>
      <c r="O122" s="18">
        <f t="shared" si="12"/>
        <v>1.11611406005895</v>
      </c>
      <c r="P122" s="18">
        <f t="shared" si="13"/>
        <v>0.847505694473101</v>
      </c>
      <c r="Q122" s="18">
        <f t="shared" si="14"/>
        <v>1.38935360316875</v>
      </c>
      <c r="X122">
        <v>0</v>
      </c>
      <c r="Y122" s="4" t="s">
        <v>142</v>
      </c>
      <c r="Z122" s="18" t="s">
        <v>161</v>
      </c>
      <c r="AA122" s="18">
        <v>5</v>
      </c>
      <c r="AB122" s="18">
        <v>5</v>
      </c>
      <c r="AC122" s="18">
        <v>5</v>
      </c>
    </row>
    <row r="123" spans="3:29">
      <c r="C123" s="4" t="s">
        <v>142</v>
      </c>
      <c r="D123" s="18" t="s">
        <v>162</v>
      </c>
      <c r="E123" s="18">
        <v>3.56556266273643</v>
      </c>
      <c r="F123" s="19">
        <v>2.70746042741341</v>
      </c>
      <c r="G123" s="19">
        <v>4.4384597641857</v>
      </c>
      <c r="L123">
        <v>2050</v>
      </c>
      <c r="M123" s="4" t="s">
        <v>142</v>
      </c>
      <c r="N123" s="18" t="s">
        <v>162</v>
      </c>
      <c r="O123" s="18">
        <f t="shared" si="12"/>
        <v>1.1160211134365</v>
      </c>
      <c r="P123" s="18">
        <f t="shared" si="13"/>
        <v>0.847435113780397</v>
      </c>
      <c r="Q123" s="18">
        <f t="shared" si="14"/>
        <v>1.38923790619012</v>
      </c>
      <c r="X123">
        <v>0</v>
      </c>
      <c r="Y123" s="4" t="s">
        <v>142</v>
      </c>
      <c r="Z123" s="18" t="s">
        <v>162</v>
      </c>
      <c r="AA123" s="18">
        <v>5</v>
      </c>
      <c r="AB123" s="18">
        <v>5</v>
      </c>
      <c r="AC123" s="18">
        <v>5</v>
      </c>
    </row>
    <row r="124" spans="3:29">
      <c r="C124" s="4" t="s">
        <v>142</v>
      </c>
      <c r="D124" s="20" t="s">
        <v>163</v>
      </c>
      <c r="E124" s="18">
        <v>3.56496890198968</v>
      </c>
      <c r="F124" s="19">
        <v>2.70700957995578</v>
      </c>
      <c r="G124" s="19">
        <v>4.43772063375092</v>
      </c>
      <c r="L124">
        <v>2050</v>
      </c>
      <c r="M124" s="4" t="s">
        <v>142</v>
      </c>
      <c r="N124" s="20" t="s">
        <v>163</v>
      </c>
      <c r="O124" s="18">
        <f t="shared" si="12"/>
        <v>1.11583526632277</v>
      </c>
      <c r="P124" s="18">
        <f t="shared" si="13"/>
        <v>0.847293998526159</v>
      </c>
      <c r="Q124" s="18">
        <f t="shared" si="14"/>
        <v>1.38900655836404</v>
      </c>
      <c r="X124">
        <v>0</v>
      </c>
      <c r="Y124" s="4" t="s">
        <v>142</v>
      </c>
      <c r="Z124" s="18" t="s">
        <v>163</v>
      </c>
      <c r="AA124" s="18">
        <v>5</v>
      </c>
      <c r="AB124" s="18">
        <v>5</v>
      </c>
      <c r="AC124" s="18">
        <v>5</v>
      </c>
    </row>
    <row r="132" spans="3:25">
      <c r="C132" s="4"/>
      <c r="D132" t="s">
        <v>69</v>
      </c>
      <c r="M132" s="4"/>
      <c r="Y132" s="4"/>
    </row>
    <row r="133" spans="3:29">
      <c r="C133" s="4" t="s">
        <v>71</v>
      </c>
      <c r="D133" s="18" t="s">
        <v>45</v>
      </c>
      <c r="E133" s="18" t="s">
        <v>44</v>
      </c>
      <c r="F133" s="18"/>
      <c r="G133" s="18"/>
      <c r="M133" s="4"/>
      <c r="N133" s="4"/>
      <c r="O133" s="4"/>
      <c r="P133" s="4"/>
      <c r="Q133" s="4"/>
      <c r="Y133" s="4"/>
      <c r="Z133" s="4"/>
      <c r="AA133" s="4"/>
      <c r="AB133" s="4"/>
      <c r="AC133" s="4"/>
    </row>
    <row r="134" spans="3:29">
      <c r="C134" s="4" t="s">
        <v>164</v>
      </c>
      <c r="D134" s="18" t="s">
        <v>143</v>
      </c>
      <c r="E134" s="18">
        <v>0.001</v>
      </c>
      <c r="F134" s="19"/>
      <c r="G134" s="19"/>
      <c r="M134" s="4"/>
      <c r="N134" s="4"/>
      <c r="O134" s="4"/>
      <c r="P134" s="4"/>
      <c r="Q134" s="4"/>
      <c r="Y134" s="4"/>
      <c r="Z134" s="4"/>
      <c r="AA134" s="4"/>
      <c r="AB134" s="4"/>
      <c r="AC134" s="4"/>
    </row>
    <row r="135" spans="3:29">
      <c r="C135" s="4" t="s">
        <v>164</v>
      </c>
      <c r="D135" s="18" t="s">
        <v>144</v>
      </c>
      <c r="E135" s="18">
        <f>E134</f>
        <v>0.001</v>
      </c>
      <c r="F135" s="19"/>
      <c r="G135" s="19"/>
      <c r="M135" s="4"/>
      <c r="N135" s="4"/>
      <c r="O135" s="4"/>
      <c r="P135" s="4"/>
      <c r="Q135" s="4"/>
      <c r="Y135" s="4"/>
      <c r="Z135" s="4"/>
      <c r="AA135" s="4"/>
      <c r="AB135" s="4"/>
      <c r="AC135" s="4"/>
    </row>
    <row r="136" spans="3:29">
      <c r="C136" s="4" t="s">
        <v>164</v>
      </c>
      <c r="D136" s="18" t="s">
        <v>145</v>
      </c>
      <c r="E136" s="18">
        <f t="shared" ref="E136:E154" si="15">E135</f>
        <v>0.001</v>
      </c>
      <c r="F136" s="19"/>
      <c r="G136" s="19"/>
      <c r="M136" s="4"/>
      <c r="N136" s="4"/>
      <c r="O136" s="4"/>
      <c r="P136" s="4"/>
      <c r="Q136" s="4"/>
      <c r="Y136" s="4"/>
      <c r="Z136" s="4"/>
      <c r="AA136" s="4"/>
      <c r="AB136" s="4"/>
      <c r="AC136" s="4"/>
    </row>
    <row r="137" spans="3:29">
      <c r="C137" s="4" t="s">
        <v>164</v>
      </c>
      <c r="D137" s="18" t="s">
        <v>146</v>
      </c>
      <c r="E137" s="18">
        <f t="shared" si="15"/>
        <v>0.001</v>
      </c>
      <c r="F137" s="19"/>
      <c r="G137" s="19"/>
      <c r="M137" s="4"/>
      <c r="N137" s="4"/>
      <c r="O137" s="4"/>
      <c r="P137" s="4"/>
      <c r="Q137" s="4"/>
      <c r="Y137" s="4"/>
      <c r="Z137" s="4"/>
      <c r="AA137" s="4"/>
      <c r="AB137" s="4"/>
      <c r="AC137" s="4"/>
    </row>
    <row r="138" spans="3:29">
      <c r="C138" s="4" t="s">
        <v>164</v>
      </c>
      <c r="D138" s="18" t="s">
        <v>147</v>
      </c>
      <c r="E138" s="18">
        <f t="shared" si="15"/>
        <v>0.001</v>
      </c>
      <c r="F138" s="19"/>
      <c r="G138" s="19"/>
      <c r="M138" s="4"/>
      <c r="N138" s="4"/>
      <c r="O138" s="4"/>
      <c r="P138" s="4"/>
      <c r="Q138" s="4"/>
      <c r="Y138" s="4"/>
      <c r="Z138" s="4"/>
      <c r="AA138" s="4"/>
      <c r="AB138" s="4"/>
      <c r="AC138" s="4"/>
    </row>
    <row r="139" spans="3:29">
      <c r="C139" s="4" t="s">
        <v>164</v>
      </c>
      <c r="D139" s="18" t="s">
        <v>148</v>
      </c>
      <c r="E139" s="18">
        <f t="shared" si="15"/>
        <v>0.001</v>
      </c>
      <c r="F139" s="19"/>
      <c r="G139" s="19"/>
      <c r="M139" s="4"/>
      <c r="N139" s="4"/>
      <c r="O139" s="4"/>
      <c r="P139" s="4"/>
      <c r="Q139" s="4"/>
      <c r="Y139" s="4"/>
      <c r="Z139" s="4"/>
      <c r="AA139" s="4"/>
      <c r="AB139" s="4"/>
      <c r="AC139" s="4"/>
    </row>
    <row r="140" spans="3:29">
      <c r="C140" s="4" t="s">
        <v>164</v>
      </c>
      <c r="D140" s="18" t="s">
        <v>149</v>
      </c>
      <c r="E140" s="18">
        <f t="shared" si="15"/>
        <v>0.001</v>
      </c>
      <c r="F140" s="19"/>
      <c r="G140" s="19"/>
      <c r="M140" s="4"/>
      <c r="N140" s="4"/>
      <c r="O140" s="4"/>
      <c r="P140" s="4"/>
      <c r="Q140" s="4"/>
      <c r="Y140" s="4"/>
      <c r="Z140" s="4"/>
      <c r="AA140" s="4"/>
      <c r="AB140" s="4"/>
      <c r="AC140" s="4"/>
    </row>
    <row r="141" spans="3:29">
      <c r="C141" s="4" t="s">
        <v>164</v>
      </c>
      <c r="D141" s="18" t="s">
        <v>150</v>
      </c>
      <c r="E141" s="18">
        <f t="shared" si="15"/>
        <v>0.001</v>
      </c>
      <c r="F141" s="19"/>
      <c r="G141" s="19"/>
      <c r="M141" s="4"/>
      <c r="N141" s="4"/>
      <c r="O141" s="4"/>
      <c r="P141" s="4"/>
      <c r="Q141" s="4"/>
      <c r="Y141" s="4"/>
      <c r="Z141" s="4"/>
      <c r="AA141" s="4"/>
      <c r="AB141" s="4"/>
      <c r="AC141" s="4"/>
    </row>
    <row r="142" spans="3:29">
      <c r="C142" s="4" t="s">
        <v>164</v>
      </c>
      <c r="D142" s="18" t="s">
        <v>151</v>
      </c>
      <c r="E142" s="18">
        <f t="shared" si="15"/>
        <v>0.001</v>
      </c>
      <c r="F142" s="19"/>
      <c r="G142" s="19"/>
      <c r="M142" s="4"/>
      <c r="N142" s="4"/>
      <c r="O142" s="4"/>
      <c r="P142" s="4"/>
      <c r="Q142" s="4"/>
      <c r="Y142" s="4"/>
      <c r="Z142" s="4"/>
      <c r="AA142" s="4"/>
      <c r="AB142" s="4"/>
      <c r="AC142" s="4"/>
    </row>
    <row r="143" spans="3:29">
      <c r="C143" s="4" t="s">
        <v>164</v>
      </c>
      <c r="D143" s="18" t="s">
        <v>152</v>
      </c>
      <c r="E143" s="18">
        <f t="shared" si="15"/>
        <v>0.001</v>
      </c>
      <c r="F143" s="19"/>
      <c r="G143" s="19"/>
      <c r="M143" s="4"/>
      <c r="N143" s="4"/>
      <c r="O143" s="4"/>
      <c r="P143" s="4"/>
      <c r="Q143" s="4"/>
      <c r="Y143" s="4"/>
      <c r="Z143" s="4"/>
      <c r="AA143" s="4"/>
      <c r="AB143" s="4"/>
      <c r="AC143" s="4"/>
    </row>
    <row r="144" spans="3:29">
      <c r="C144" s="4" t="s">
        <v>164</v>
      </c>
      <c r="D144" s="18" t="s">
        <v>153</v>
      </c>
      <c r="E144" s="18">
        <f t="shared" si="15"/>
        <v>0.001</v>
      </c>
      <c r="F144" s="19"/>
      <c r="G144" s="19"/>
      <c r="M144" s="4"/>
      <c r="N144" s="4"/>
      <c r="O144" s="4"/>
      <c r="P144" s="4"/>
      <c r="Q144" s="4"/>
      <c r="Y144" s="4"/>
      <c r="Z144" s="4"/>
      <c r="AA144" s="4"/>
      <c r="AB144" s="4"/>
      <c r="AC144" s="4"/>
    </row>
    <row r="145" spans="3:29">
      <c r="C145" s="4" t="s">
        <v>164</v>
      </c>
      <c r="D145" s="18" t="s">
        <v>154</v>
      </c>
      <c r="E145" s="18">
        <f t="shared" si="15"/>
        <v>0.001</v>
      </c>
      <c r="F145" s="19"/>
      <c r="G145" s="19"/>
      <c r="M145" s="4"/>
      <c r="N145" s="4"/>
      <c r="O145" s="4"/>
      <c r="P145" s="4"/>
      <c r="Q145" s="4"/>
      <c r="Y145" s="4"/>
      <c r="Z145" s="4"/>
      <c r="AA145" s="4"/>
      <c r="AB145" s="4"/>
      <c r="AC145" s="4"/>
    </row>
    <row r="146" spans="3:29">
      <c r="C146" s="4" t="s">
        <v>164</v>
      </c>
      <c r="D146" s="18" t="s">
        <v>155</v>
      </c>
      <c r="E146" s="18">
        <f t="shared" si="15"/>
        <v>0.001</v>
      </c>
      <c r="F146" s="19"/>
      <c r="G146" s="19"/>
      <c r="M146" s="4"/>
      <c r="N146" s="4"/>
      <c r="O146" s="4"/>
      <c r="P146" s="4"/>
      <c r="Q146" s="4"/>
      <c r="Y146" s="4"/>
      <c r="Z146" s="4"/>
      <c r="AA146" s="4"/>
      <c r="AB146" s="4"/>
      <c r="AC146" s="4"/>
    </row>
    <row r="147" spans="3:29">
      <c r="C147" s="4" t="s">
        <v>164</v>
      </c>
      <c r="D147" s="18" t="s">
        <v>156</v>
      </c>
      <c r="E147" s="18">
        <f t="shared" si="15"/>
        <v>0.001</v>
      </c>
      <c r="F147" s="19"/>
      <c r="G147" s="19"/>
      <c r="M147" s="4"/>
      <c r="N147" s="4"/>
      <c r="O147" s="4"/>
      <c r="P147" s="4"/>
      <c r="Q147" s="4"/>
      <c r="Y147" s="4"/>
      <c r="Z147" s="4"/>
      <c r="AA147" s="4"/>
      <c r="AB147" s="4"/>
      <c r="AC147" s="4"/>
    </row>
    <row r="148" spans="3:29">
      <c r="C148" s="4" t="s">
        <v>164</v>
      </c>
      <c r="D148" s="18" t="s">
        <v>157</v>
      </c>
      <c r="E148" s="18">
        <f t="shared" si="15"/>
        <v>0.001</v>
      </c>
      <c r="F148" s="19"/>
      <c r="G148" s="19"/>
      <c r="M148" s="4"/>
      <c r="N148" s="4"/>
      <c r="O148" s="4"/>
      <c r="P148" s="4"/>
      <c r="Q148" s="4"/>
      <c r="Y148" s="4"/>
      <c r="Z148" s="4"/>
      <c r="AA148" s="4"/>
      <c r="AB148" s="4"/>
      <c r="AC148" s="4"/>
    </row>
    <row r="149" spans="3:29">
      <c r="C149" s="4" t="s">
        <v>164</v>
      </c>
      <c r="D149" s="18" t="s">
        <v>158</v>
      </c>
      <c r="E149" s="18">
        <f t="shared" si="15"/>
        <v>0.001</v>
      </c>
      <c r="F149" s="19"/>
      <c r="G149" s="19"/>
      <c r="M149" s="4"/>
      <c r="N149" s="4"/>
      <c r="O149" s="4"/>
      <c r="P149" s="4"/>
      <c r="Q149" s="4"/>
      <c r="Y149" s="4"/>
      <c r="Z149" s="4"/>
      <c r="AA149" s="4"/>
      <c r="AB149" s="4"/>
      <c r="AC149" s="4"/>
    </row>
    <row r="150" spans="3:29">
      <c r="C150" s="4" t="s">
        <v>164</v>
      </c>
      <c r="D150" s="18" t="s">
        <v>159</v>
      </c>
      <c r="E150" s="18">
        <f t="shared" si="15"/>
        <v>0.001</v>
      </c>
      <c r="F150" s="19"/>
      <c r="G150" s="19"/>
      <c r="M150" s="4"/>
      <c r="N150" s="4"/>
      <c r="O150" s="4"/>
      <c r="P150" s="4"/>
      <c r="Q150" s="4"/>
      <c r="Y150" s="4"/>
      <c r="Z150" s="4"/>
      <c r="AA150" s="4"/>
      <c r="AB150" s="4"/>
      <c r="AC150" s="4"/>
    </row>
    <row r="151" spans="3:29">
      <c r="C151" s="4" t="s">
        <v>164</v>
      </c>
      <c r="D151" s="18" t="s">
        <v>160</v>
      </c>
      <c r="E151" s="18">
        <f t="shared" si="15"/>
        <v>0.001</v>
      </c>
      <c r="F151" s="19"/>
      <c r="G151" s="19"/>
      <c r="M151" s="4"/>
      <c r="N151" s="4"/>
      <c r="O151" s="4"/>
      <c r="P151" s="4"/>
      <c r="Q151" s="4"/>
      <c r="Y151" s="4"/>
      <c r="Z151" s="4"/>
      <c r="AA151" s="4"/>
      <c r="AB151" s="4"/>
      <c r="AC151" s="4"/>
    </row>
    <row r="152" spans="3:29">
      <c r="C152" s="4" t="s">
        <v>164</v>
      </c>
      <c r="D152" s="18" t="s">
        <v>161</v>
      </c>
      <c r="E152" s="18">
        <f t="shared" si="15"/>
        <v>0.001</v>
      </c>
      <c r="F152" s="19"/>
      <c r="G152" s="19"/>
      <c r="M152" s="4"/>
      <c r="N152" s="4"/>
      <c r="O152" s="4"/>
      <c r="P152" s="4"/>
      <c r="Q152" s="4"/>
      <c r="Y152" s="4"/>
      <c r="Z152" s="4"/>
      <c r="AA152" s="4"/>
      <c r="AB152" s="4"/>
      <c r="AC152" s="4"/>
    </row>
    <row r="153" spans="3:29">
      <c r="C153" s="4" t="s">
        <v>164</v>
      </c>
      <c r="D153" s="18" t="s">
        <v>162</v>
      </c>
      <c r="E153" s="18">
        <f t="shared" si="15"/>
        <v>0.001</v>
      </c>
      <c r="F153" s="19"/>
      <c r="G153" s="19"/>
      <c r="M153" s="4"/>
      <c r="N153" s="4"/>
      <c r="O153" s="4"/>
      <c r="P153" s="4"/>
      <c r="Q153" s="4"/>
      <c r="Y153" s="4"/>
      <c r="Z153" s="4"/>
      <c r="AA153" s="4"/>
      <c r="AB153" s="4"/>
      <c r="AC153" s="4"/>
    </row>
    <row r="154" spans="3:29">
      <c r="C154" s="4" t="s">
        <v>164</v>
      </c>
      <c r="D154" s="20" t="s">
        <v>163</v>
      </c>
      <c r="E154" s="18">
        <f t="shared" si="15"/>
        <v>0.001</v>
      </c>
      <c r="F154" s="19"/>
      <c r="G154" s="19"/>
      <c r="M154" s="4"/>
      <c r="N154" s="4"/>
      <c r="O154" s="4"/>
      <c r="P154" s="4"/>
      <c r="Q154" s="4"/>
      <c r="Y154" s="4"/>
      <c r="Z154" s="4"/>
      <c r="AA154" s="4"/>
      <c r="AB154" s="4"/>
      <c r="AC154" s="4"/>
    </row>
  </sheetData>
  <sortState ref="AZ33:BA38">
    <sortCondition ref="AZ33:AZ38"/>
  </sortState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55"/>
  <sheetViews>
    <sheetView workbookViewId="0">
      <selection activeCell="A1" sqref="A1"/>
    </sheetView>
  </sheetViews>
  <sheetFormatPr defaultColWidth="9" defaultRowHeight="12.5"/>
  <cols>
    <col min="3" max="3" width="11.6" customWidth="1"/>
    <col min="12" max="28" width="5.26363636363636" customWidth="1"/>
  </cols>
  <sheetData>
    <row r="1" spans="1:47">
      <c r="A1" t="s">
        <v>165</v>
      </c>
      <c r="B1" t="s">
        <v>71</v>
      </c>
      <c r="C1" t="s">
        <v>45</v>
      </c>
      <c r="D1" t="s">
        <v>47</v>
      </c>
      <c r="E1" t="s">
        <v>166</v>
      </c>
      <c r="F1" t="s">
        <v>167</v>
      </c>
      <c r="G1" t="s">
        <v>77</v>
      </c>
      <c r="H1" t="s">
        <v>168</v>
      </c>
      <c r="I1" t="s">
        <v>169</v>
      </c>
      <c r="J1" t="s">
        <v>170</v>
      </c>
      <c r="K1" t="s">
        <v>171</v>
      </c>
      <c r="L1" t="s">
        <v>3</v>
      </c>
      <c r="M1" t="s">
        <v>5</v>
      </c>
      <c r="N1" t="s">
        <v>6</v>
      </c>
      <c r="O1" t="s">
        <v>7</v>
      </c>
      <c r="P1" t="s">
        <v>8</v>
      </c>
      <c r="Q1" t="s">
        <v>9</v>
      </c>
      <c r="R1" t="s">
        <v>10</v>
      </c>
      <c r="S1" t="s">
        <v>11</v>
      </c>
      <c r="T1" t="s">
        <v>12</v>
      </c>
      <c r="U1" t="s">
        <v>13</v>
      </c>
      <c r="V1" t="s">
        <v>14</v>
      </c>
      <c r="W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F1" t="s">
        <v>24</v>
      </c>
      <c r="AG1" t="s">
        <v>25</v>
      </c>
      <c r="AH1" t="s">
        <v>26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t="s">
        <v>35</v>
      </c>
      <c r="AR1" t="s">
        <v>36</v>
      </c>
      <c r="AS1" t="s">
        <v>37</v>
      </c>
      <c r="AT1" t="s">
        <v>38</v>
      </c>
      <c r="AU1" t="s">
        <v>172</v>
      </c>
    </row>
    <row r="2" spans="1:47">
      <c r="A2" t="s">
        <v>51</v>
      </c>
      <c r="B2" t="s">
        <v>52</v>
      </c>
      <c r="C2" t="s">
        <v>107</v>
      </c>
      <c r="D2" t="s">
        <v>173</v>
      </c>
      <c r="E2" t="s">
        <v>124</v>
      </c>
      <c r="F2" t="s">
        <v>174</v>
      </c>
      <c r="G2" t="s">
        <v>175</v>
      </c>
      <c r="H2" t="s">
        <v>173</v>
      </c>
      <c r="I2" t="s">
        <v>173</v>
      </c>
      <c r="J2" t="s">
        <v>173</v>
      </c>
      <c r="K2" t="s">
        <v>173</v>
      </c>
      <c r="L2">
        <v>7</v>
      </c>
      <c r="M2">
        <v>7</v>
      </c>
      <c r="N2">
        <v>7</v>
      </c>
      <c r="O2">
        <v>7</v>
      </c>
      <c r="P2">
        <v>7</v>
      </c>
      <c r="Q2">
        <v>7</v>
      </c>
      <c r="R2">
        <v>7</v>
      </c>
      <c r="S2">
        <v>7</v>
      </c>
      <c r="T2">
        <v>7</v>
      </c>
      <c r="U2">
        <v>7</v>
      </c>
      <c r="V2">
        <v>7</v>
      </c>
      <c r="W2">
        <v>7</v>
      </c>
      <c r="X2">
        <v>7</v>
      </c>
      <c r="Y2">
        <v>7</v>
      </c>
      <c r="Z2">
        <v>7</v>
      </c>
      <c r="AA2">
        <v>7</v>
      </c>
      <c r="AB2">
        <v>7</v>
      </c>
      <c r="AC2">
        <v>7</v>
      </c>
      <c r="AD2">
        <v>4</v>
      </c>
      <c r="AE2">
        <v>7</v>
      </c>
      <c r="AF2">
        <v>5</v>
      </c>
      <c r="AG2">
        <v>7</v>
      </c>
      <c r="AH2">
        <v>4</v>
      </c>
      <c r="AI2">
        <v>7</v>
      </c>
      <c r="AJ2">
        <v>7</v>
      </c>
      <c r="AK2">
        <v>3</v>
      </c>
      <c r="AL2">
        <v>7</v>
      </c>
      <c r="AM2">
        <v>7</v>
      </c>
      <c r="AN2">
        <v>6.5</v>
      </c>
      <c r="AO2">
        <v>7</v>
      </c>
      <c r="AP2">
        <v>7</v>
      </c>
      <c r="AQ2">
        <v>7</v>
      </c>
      <c r="AR2">
        <v>4</v>
      </c>
      <c r="AS2">
        <v>4</v>
      </c>
      <c r="AT2">
        <v>4</v>
      </c>
      <c r="AU2" t="s">
        <v>173</v>
      </c>
    </row>
    <row r="3" spans="1:47">
      <c r="A3" t="s">
        <v>51</v>
      </c>
      <c r="B3" t="s">
        <v>52</v>
      </c>
      <c r="C3" t="s">
        <v>176</v>
      </c>
      <c r="D3" t="s">
        <v>173</v>
      </c>
      <c r="E3" t="s">
        <v>124</v>
      </c>
      <c r="F3" t="s">
        <v>174</v>
      </c>
      <c r="G3" t="s">
        <v>175</v>
      </c>
      <c r="H3" t="s">
        <v>173</v>
      </c>
      <c r="I3" t="s">
        <v>173</v>
      </c>
      <c r="J3" t="s">
        <v>173</v>
      </c>
      <c r="K3" t="s">
        <v>173</v>
      </c>
      <c r="L3">
        <v>15</v>
      </c>
      <c r="M3">
        <v>15</v>
      </c>
      <c r="N3">
        <v>15</v>
      </c>
      <c r="O3">
        <v>15</v>
      </c>
      <c r="P3">
        <v>15</v>
      </c>
      <c r="Q3">
        <v>15</v>
      </c>
      <c r="R3">
        <v>15</v>
      </c>
      <c r="S3">
        <v>15</v>
      </c>
      <c r="T3">
        <v>15</v>
      </c>
      <c r="U3">
        <v>15</v>
      </c>
      <c r="V3">
        <v>15</v>
      </c>
      <c r="W3">
        <v>15</v>
      </c>
      <c r="X3">
        <v>15</v>
      </c>
      <c r="Y3">
        <v>15</v>
      </c>
      <c r="Z3">
        <v>15</v>
      </c>
      <c r="AA3">
        <v>15</v>
      </c>
      <c r="AB3">
        <v>15</v>
      </c>
      <c r="AC3">
        <v>15</v>
      </c>
      <c r="AD3">
        <v>15</v>
      </c>
      <c r="AE3">
        <v>15</v>
      </c>
      <c r="AF3">
        <v>15</v>
      </c>
      <c r="AG3">
        <v>15</v>
      </c>
      <c r="AH3">
        <v>15</v>
      </c>
      <c r="AI3">
        <v>15</v>
      </c>
      <c r="AJ3">
        <v>15</v>
      </c>
      <c r="AK3">
        <v>15</v>
      </c>
      <c r="AL3">
        <v>15</v>
      </c>
      <c r="AM3">
        <v>15</v>
      </c>
      <c r="AN3">
        <v>20</v>
      </c>
      <c r="AO3">
        <v>15</v>
      </c>
      <c r="AP3">
        <v>15</v>
      </c>
      <c r="AQ3">
        <v>15</v>
      </c>
      <c r="AR3">
        <v>15</v>
      </c>
      <c r="AS3">
        <v>15</v>
      </c>
      <c r="AT3">
        <v>15</v>
      </c>
      <c r="AU3" t="s">
        <v>173</v>
      </c>
    </row>
    <row r="4" spans="1:47">
      <c r="A4" t="s">
        <v>51</v>
      </c>
      <c r="B4" t="s">
        <v>52</v>
      </c>
      <c r="C4" t="s">
        <v>177</v>
      </c>
      <c r="D4" t="s">
        <v>173</v>
      </c>
      <c r="E4" t="s">
        <v>124</v>
      </c>
      <c r="F4" t="s">
        <v>174</v>
      </c>
      <c r="G4" t="s">
        <v>175</v>
      </c>
      <c r="H4" t="s">
        <v>173</v>
      </c>
      <c r="I4" t="s">
        <v>173</v>
      </c>
      <c r="J4" t="s">
        <v>173</v>
      </c>
      <c r="K4" t="s">
        <v>173</v>
      </c>
      <c r="L4">
        <v>15</v>
      </c>
      <c r="M4">
        <v>15</v>
      </c>
      <c r="N4">
        <v>15</v>
      </c>
      <c r="O4">
        <v>15</v>
      </c>
      <c r="P4">
        <v>15</v>
      </c>
      <c r="Q4">
        <v>15</v>
      </c>
      <c r="R4">
        <v>15</v>
      </c>
      <c r="S4">
        <v>15</v>
      </c>
      <c r="T4">
        <v>15</v>
      </c>
      <c r="U4">
        <v>15</v>
      </c>
      <c r="V4">
        <v>15</v>
      </c>
      <c r="W4">
        <v>15</v>
      </c>
      <c r="X4">
        <v>15</v>
      </c>
      <c r="Y4">
        <v>15</v>
      </c>
      <c r="Z4">
        <v>15</v>
      </c>
      <c r="AA4">
        <v>15</v>
      </c>
      <c r="AB4">
        <v>15</v>
      </c>
      <c r="AC4">
        <v>15</v>
      </c>
      <c r="AD4">
        <v>15</v>
      </c>
      <c r="AE4">
        <v>15</v>
      </c>
      <c r="AF4">
        <v>15</v>
      </c>
      <c r="AG4">
        <v>15</v>
      </c>
      <c r="AH4">
        <v>15</v>
      </c>
      <c r="AI4">
        <v>15</v>
      </c>
      <c r="AJ4">
        <v>15</v>
      </c>
      <c r="AK4">
        <v>15</v>
      </c>
      <c r="AL4">
        <v>15</v>
      </c>
      <c r="AM4">
        <v>15</v>
      </c>
      <c r="AN4">
        <v>20</v>
      </c>
      <c r="AO4">
        <v>15</v>
      </c>
      <c r="AP4">
        <v>15</v>
      </c>
      <c r="AQ4">
        <v>15</v>
      </c>
      <c r="AR4">
        <v>15</v>
      </c>
      <c r="AS4">
        <v>15</v>
      </c>
      <c r="AT4">
        <v>15</v>
      </c>
      <c r="AU4" t="s">
        <v>173</v>
      </c>
    </row>
    <row r="5" spans="1:47">
      <c r="A5" t="s">
        <v>51</v>
      </c>
      <c r="B5" t="s">
        <v>52</v>
      </c>
      <c r="C5" t="s">
        <v>108</v>
      </c>
      <c r="D5" t="s">
        <v>173</v>
      </c>
      <c r="E5" t="s">
        <v>124</v>
      </c>
      <c r="F5" t="s">
        <v>174</v>
      </c>
      <c r="G5" t="s">
        <v>175</v>
      </c>
      <c r="H5" t="s">
        <v>173</v>
      </c>
      <c r="I5" t="s">
        <v>173</v>
      </c>
      <c r="J5" t="s">
        <v>173</v>
      </c>
      <c r="K5" t="s">
        <v>173</v>
      </c>
      <c r="L5">
        <v>15</v>
      </c>
      <c r="M5">
        <v>15</v>
      </c>
      <c r="N5">
        <v>15</v>
      </c>
      <c r="O5">
        <v>15</v>
      </c>
      <c r="P5">
        <v>15</v>
      </c>
      <c r="Q5">
        <v>15</v>
      </c>
      <c r="R5">
        <v>15</v>
      </c>
      <c r="S5">
        <v>15</v>
      </c>
      <c r="T5">
        <v>15</v>
      </c>
      <c r="U5">
        <v>15</v>
      </c>
      <c r="V5">
        <v>15</v>
      </c>
      <c r="W5">
        <v>15</v>
      </c>
      <c r="X5">
        <v>15</v>
      </c>
      <c r="Y5">
        <v>15</v>
      </c>
      <c r="Z5">
        <v>15</v>
      </c>
      <c r="AA5">
        <v>15</v>
      </c>
      <c r="AB5">
        <v>15</v>
      </c>
      <c r="AC5">
        <v>15</v>
      </c>
      <c r="AD5">
        <v>15</v>
      </c>
      <c r="AE5">
        <v>15</v>
      </c>
      <c r="AF5">
        <v>15</v>
      </c>
      <c r="AG5">
        <v>15</v>
      </c>
      <c r="AH5">
        <v>15</v>
      </c>
      <c r="AI5">
        <v>15</v>
      </c>
      <c r="AJ5">
        <v>15</v>
      </c>
      <c r="AK5">
        <v>15</v>
      </c>
      <c r="AL5">
        <v>15</v>
      </c>
      <c r="AM5">
        <v>15</v>
      </c>
      <c r="AN5">
        <v>20</v>
      </c>
      <c r="AO5">
        <v>15</v>
      </c>
      <c r="AP5">
        <v>15</v>
      </c>
      <c r="AQ5">
        <v>15</v>
      </c>
      <c r="AR5">
        <v>15</v>
      </c>
      <c r="AS5">
        <v>15</v>
      </c>
      <c r="AT5">
        <v>15</v>
      </c>
      <c r="AU5" t="s">
        <v>173</v>
      </c>
    </row>
    <row r="6" spans="1:47">
      <c r="A6" t="s">
        <v>51</v>
      </c>
      <c r="B6" t="s">
        <v>52</v>
      </c>
      <c r="C6" t="s">
        <v>178</v>
      </c>
      <c r="D6" t="s">
        <v>173</v>
      </c>
      <c r="E6" t="s">
        <v>124</v>
      </c>
      <c r="F6" t="s">
        <v>174</v>
      </c>
      <c r="G6" t="s">
        <v>175</v>
      </c>
      <c r="H6" t="s">
        <v>173</v>
      </c>
      <c r="I6" t="s">
        <v>173</v>
      </c>
      <c r="J6" t="s">
        <v>173</v>
      </c>
      <c r="K6" t="s">
        <v>173</v>
      </c>
      <c r="L6">
        <v>35</v>
      </c>
      <c r="M6">
        <v>35</v>
      </c>
      <c r="N6">
        <v>35</v>
      </c>
      <c r="O6">
        <v>35</v>
      </c>
      <c r="P6">
        <v>35</v>
      </c>
      <c r="Q6">
        <v>35</v>
      </c>
      <c r="R6">
        <v>35</v>
      </c>
      <c r="S6">
        <v>35</v>
      </c>
      <c r="T6">
        <v>35</v>
      </c>
      <c r="U6">
        <v>35</v>
      </c>
      <c r="V6">
        <v>35</v>
      </c>
      <c r="W6">
        <v>35</v>
      </c>
      <c r="X6">
        <v>35</v>
      </c>
      <c r="Y6">
        <v>35</v>
      </c>
      <c r="Z6">
        <v>35</v>
      </c>
      <c r="AA6">
        <v>35</v>
      </c>
      <c r="AB6">
        <v>35</v>
      </c>
      <c r="AC6">
        <v>35</v>
      </c>
      <c r="AD6">
        <v>35</v>
      </c>
      <c r="AE6">
        <v>35</v>
      </c>
      <c r="AF6">
        <v>35</v>
      </c>
      <c r="AG6">
        <v>35</v>
      </c>
      <c r="AH6">
        <v>35</v>
      </c>
      <c r="AI6">
        <v>35</v>
      </c>
      <c r="AJ6">
        <v>35</v>
      </c>
      <c r="AK6">
        <v>35</v>
      </c>
      <c r="AL6">
        <v>35</v>
      </c>
      <c r="AM6">
        <v>35</v>
      </c>
      <c r="AN6">
        <v>35</v>
      </c>
      <c r="AO6">
        <v>35</v>
      </c>
      <c r="AP6">
        <v>35</v>
      </c>
      <c r="AQ6">
        <v>35</v>
      </c>
      <c r="AR6">
        <v>35</v>
      </c>
      <c r="AS6">
        <v>35</v>
      </c>
      <c r="AT6">
        <v>20</v>
      </c>
      <c r="AU6" t="s">
        <v>173</v>
      </c>
    </row>
    <row r="7" spans="1:47">
      <c r="A7" t="s">
        <v>51</v>
      </c>
      <c r="B7" t="s">
        <v>52</v>
      </c>
      <c r="C7" t="s">
        <v>109</v>
      </c>
      <c r="D7" t="s">
        <v>173</v>
      </c>
      <c r="E7" t="s">
        <v>124</v>
      </c>
      <c r="F7" t="s">
        <v>174</v>
      </c>
      <c r="G7" t="s">
        <v>175</v>
      </c>
      <c r="H7" t="s">
        <v>173</v>
      </c>
      <c r="I7" t="s">
        <v>173</v>
      </c>
      <c r="J7" t="s">
        <v>173</v>
      </c>
      <c r="K7" t="s">
        <v>173</v>
      </c>
      <c r="L7">
        <v>35</v>
      </c>
      <c r="M7">
        <v>35</v>
      </c>
      <c r="N7">
        <v>35</v>
      </c>
      <c r="O7">
        <v>35</v>
      </c>
      <c r="P7">
        <v>35</v>
      </c>
      <c r="Q7">
        <v>35</v>
      </c>
      <c r="R7">
        <v>35</v>
      </c>
      <c r="S7">
        <v>35</v>
      </c>
      <c r="T7">
        <v>35</v>
      </c>
      <c r="U7">
        <v>35</v>
      </c>
      <c r="V7">
        <v>35</v>
      </c>
      <c r="W7">
        <v>35</v>
      </c>
      <c r="X7">
        <v>35</v>
      </c>
      <c r="Y7">
        <v>35</v>
      </c>
      <c r="Z7">
        <v>35</v>
      </c>
      <c r="AA7">
        <v>35</v>
      </c>
      <c r="AB7">
        <v>35</v>
      </c>
      <c r="AC7">
        <v>35</v>
      </c>
      <c r="AD7">
        <v>35</v>
      </c>
      <c r="AE7">
        <v>35</v>
      </c>
      <c r="AF7">
        <v>35</v>
      </c>
      <c r="AG7">
        <v>35</v>
      </c>
      <c r="AH7">
        <v>35</v>
      </c>
      <c r="AI7">
        <v>35</v>
      </c>
      <c r="AJ7">
        <v>35</v>
      </c>
      <c r="AK7">
        <v>35</v>
      </c>
      <c r="AL7">
        <v>35</v>
      </c>
      <c r="AM7">
        <v>35</v>
      </c>
      <c r="AN7">
        <v>35</v>
      </c>
      <c r="AO7">
        <v>35</v>
      </c>
      <c r="AP7">
        <v>35</v>
      </c>
      <c r="AQ7">
        <v>35</v>
      </c>
      <c r="AR7">
        <v>35</v>
      </c>
      <c r="AS7">
        <v>35</v>
      </c>
      <c r="AT7">
        <v>20</v>
      </c>
      <c r="AU7" t="s">
        <v>173</v>
      </c>
    </row>
    <row r="8" spans="1:47">
      <c r="A8" t="s">
        <v>51</v>
      </c>
      <c r="B8" t="s">
        <v>52</v>
      </c>
      <c r="C8" t="s">
        <v>179</v>
      </c>
      <c r="D8" t="s">
        <v>173</v>
      </c>
      <c r="E8" t="s">
        <v>124</v>
      </c>
      <c r="F8" t="s">
        <v>174</v>
      </c>
      <c r="G8" t="s">
        <v>175</v>
      </c>
      <c r="H8" t="s">
        <v>173</v>
      </c>
      <c r="I8" t="s">
        <v>173</v>
      </c>
      <c r="J8" t="s">
        <v>173</v>
      </c>
      <c r="K8" t="s">
        <v>173</v>
      </c>
      <c r="L8">
        <v>35</v>
      </c>
      <c r="M8">
        <v>35</v>
      </c>
      <c r="N8">
        <v>35</v>
      </c>
      <c r="O8">
        <v>35</v>
      </c>
      <c r="P8">
        <v>35</v>
      </c>
      <c r="Q8">
        <v>35</v>
      </c>
      <c r="R8">
        <v>35</v>
      </c>
      <c r="S8">
        <v>35</v>
      </c>
      <c r="T8">
        <v>35</v>
      </c>
      <c r="U8">
        <v>35</v>
      </c>
      <c r="V8">
        <v>35</v>
      </c>
      <c r="W8">
        <v>35</v>
      </c>
      <c r="X8">
        <v>35</v>
      </c>
      <c r="Y8">
        <v>35</v>
      </c>
      <c r="Z8">
        <v>35</v>
      </c>
      <c r="AA8">
        <v>35</v>
      </c>
      <c r="AB8">
        <v>35</v>
      </c>
      <c r="AC8">
        <v>35</v>
      </c>
      <c r="AD8">
        <v>35</v>
      </c>
      <c r="AE8">
        <v>35</v>
      </c>
      <c r="AF8">
        <v>35</v>
      </c>
      <c r="AG8">
        <v>35</v>
      </c>
      <c r="AH8">
        <v>35</v>
      </c>
      <c r="AI8">
        <v>35</v>
      </c>
      <c r="AJ8">
        <v>35</v>
      </c>
      <c r="AK8">
        <v>35</v>
      </c>
      <c r="AL8">
        <v>35</v>
      </c>
      <c r="AM8">
        <v>35</v>
      </c>
      <c r="AN8">
        <v>35</v>
      </c>
      <c r="AO8">
        <v>35</v>
      </c>
      <c r="AP8">
        <v>35</v>
      </c>
      <c r="AQ8">
        <v>35</v>
      </c>
      <c r="AR8">
        <v>35</v>
      </c>
      <c r="AS8">
        <v>35</v>
      </c>
      <c r="AT8">
        <v>20</v>
      </c>
      <c r="AU8" t="s">
        <v>173</v>
      </c>
    </row>
    <row r="9" spans="1:47">
      <c r="A9" t="s">
        <v>51</v>
      </c>
      <c r="B9" t="s">
        <v>52</v>
      </c>
      <c r="C9" t="s">
        <v>180</v>
      </c>
      <c r="D9" t="s">
        <v>173</v>
      </c>
      <c r="E9" t="s">
        <v>124</v>
      </c>
      <c r="F9" t="s">
        <v>174</v>
      </c>
      <c r="G9" t="s">
        <v>175</v>
      </c>
      <c r="H9" t="s">
        <v>173</v>
      </c>
      <c r="I9" t="s">
        <v>173</v>
      </c>
      <c r="J9" t="s">
        <v>173</v>
      </c>
      <c r="K9" t="s">
        <v>173</v>
      </c>
      <c r="L9">
        <v>35</v>
      </c>
      <c r="M9">
        <v>35</v>
      </c>
      <c r="N9">
        <v>35</v>
      </c>
      <c r="O9">
        <v>35</v>
      </c>
      <c r="P9">
        <v>35</v>
      </c>
      <c r="Q9">
        <v>35</v>
      </c>
      <c r="R9">
        <v>35</v>
      </c>
      <c r="S9">
        <v>35</v>
      </c>
      <c r="T9">
        <v>35</v>
      </c>
      <c r="U9">
        <v>35</v>
      </c>
      <c r="V9">
        <v>35</v>
      </c>
      <c r="W9">
        <v>35</v>
      </c>
      <c r="X9">
        <v>35</v>
      </c>
      <c r="Y9">
        <v>35</v>
      </c>
      <c r="Z9">
        <v>35</v>
      </c>
      <c r="AA9">
        <v>35</v>
      </c>
      <c r="AB9">
        <v>35</v>
      </c>
      <c r="AC9">
        <v>35</v>
      </c>
      <c r="AD9">
        <v>35</v>
      </c>
      <c r="AE9">
        <v>35</v>
      </c>
      <c r="AF9">
        <v>35</v>
      </c>
      <c r="AG9">
        <v>35</v>
      </c>
      <c r="AH9">
        <v>35</v>
      </c>
      <c r="AI9">
        <v>35</v>
      </c>
      <c r="AJ9">
        <v>35</v>
      </c>
      <c r="AK9">
        <v>35</v>
      </c>
      <c r="AL9">
        <v>35</v>
      </c>
      <c r="AM9">
        <v>35</v>
      </c>
      <c r="AN9">
        <v>35</v>
      </c>
      <c r="AO9">
        <v>35</v>
      </c>
      <c r="AP9">
        <v>35</v>
      </c>
      <c r="AQ9">
        <v>35</v>
      </c>
      <c r="AR9">
        <v>35</v>
      </c>
      <c r="AS9">
        <v>35</v>
      </c>
      <c r="AT9">
        <v>20</v>
      </c>
      <c r="AU9" t="s">
        <v>173</v>
      </c>
    </row>
    <row r="10" spans="1:47">
      <c r="A10" t="s">
        <v>51</v>
      </c>
      <c r="B10" t="s">
        <v>52</v>
      </c>
      <c r="C10" t="s">
        <v>181</v>
      </c>
      <c r="D10" t="s">
        <v>173</v>
      </c>
      <c r="E10" t="s">
        <v>124</v>
      </c>
      <c r="F10" t="s">
        <v>174</v>
      </c>
      <c r="G10" t="s">
        <v>175</v>
      </c>
      <c r="H10" t="s">
        <v>173</v>
      </c>
      <c r="I10" t="s">
        <v>173</v>
      </c>
      <c r="J10" t="s">
        <v>173</v>
      </c>
      <c r="K10" t="s">
        <v>173</v>
      </c>
      <c r="L10">
        <v>35</v>
      </c>
      <c r="M10">
        <v>35</v>
      </c>
      <c r="N10">
        <v>35</v>
      </c>
      <c r="O10">
        <v>35</v>
      </c>
      <c r="P10">
        <v>35</v>
      </c>
      <c r="Q10">
        <v>35</v>
      </c>
      <c r="R10">
        <v>35</v>
      </c>
      <c r="S10">
        <v>35</v>
      </c>
      <c r="T10">
        <v>35</v>
      </c>
      <c r="U10">
        <v>35</v>
      </c>
      <c r="V10">
        <v>35</v>
      </c>
      <c r="W10">
        <v>35</v>
      </c>
      <c r="X10">
        <v>35</v>
      </c>
      <c r="Y10">
        <v>35</v>
      </c>
      <c r="Z10">
        <v>35</v>
      </c>
      <c r="AA10">
        <v>35</v>
      </c>
      <c r="AB10">
        <v>35</v>
      </c>
      <c r="AC10">
        <v>35</v>
      </c>
      <c r="AD10">
        <v>35</v>
      </c>
      <c r="AE10">
        <v>35</v>
      </c>
      <c r="AF10">
        <v>35</v>
      </c>
      <c r="AG10">
        <v>35</v>
      </c>
      <c r="AH10">
        <v>35</v>
      </c>
      <c r="AI10">
        <v>35</v>
      </c>
      <c r="AJ10">
        <v>35</v>
      </c>
      <c r="AK10">
        <v>35</v>
      </c>
      <c r="AL10">
        <v>35</v>
      </c>
      <c r="AM10">
        <v>35</v>
      </c>
      <c r="AN10">
        <v>35</v>
      </c>
      <c r="AO10">
        <v>35</v>
      </c>
      <c r="AP10">
        <v>35</v>
      </c>
      <c r="AQ10">
        <v>35</v>
      </c>
      <c r="AR10">
        <v>35</v>
      </c>
      <c r="AS10">
        <v>35</v>
      </c>
      <c r="AT10">
        <v>20</v>
      </c>
      <c r="AU10" t="s">
        <v>173</v>
      </c>
    </row>
    <row r="11" spans="1:47">
      <c r="A11" t="s">
        <v>51</v>
      </c>
      <c r="B11" t="s">
        <v>52</v>
      </c>
      <c r="C11" t="s">
        <v>182</v>
      </c>
      <c r="D11" t="s">
        <v>173</v>
      </c>
      <c r="E11" t="s">
        <v>124</v>
      </c>
      <c r="F11" t="s">
        <v>174</v>
      </c>
      <c r="G11" t="s">
        <v>175</v>
      </c>
      <c r="H11" t="s">
        <v>173</v>
      </c>
      <c r="I11" t="s">
        <v>173</v>
      </c>
      <c r="J11" t="s">
        <v>173</v>
      </c>
      <c r="K11" t="s">
        <v>173</v>
      </c>
      <c r="L11">
        <v>35</v>
      </c>
      <c r="M11">
        <v>35</v>
      </c>
      <c r="N11">
        <v>35</v>
      </c>
      <c r="O11">
        <v>35</v>
      </c>
      <c r="P11">
        <v>35</v>
      </c>
      <c r="Q11">
        <v>35</v>
      </c>
      <c r="R11">
        <v>35</v>
      </c>
      <c r="S11">
        <v>35</v>
      </c>
      <c r="T11">
        <v>35</v>
      </c>
      <c r="U11">
        <v>35</v>
      </c>
      <c r="V11">
        <v>35</v>
      </c>
      <c r="W11">
        <v>35</v>
      </c>
      <c r="X11">
        <v>35</v>
      </c>
      <c r="Y11">
        <v>35</v>
      </c>
      <c r="Z11">
        <v>35</v>
      </c>
      <c r="AA11">
        <v>35</v>
      </c>
      <c r="AB11">
        <v>35</v>
      </c>
      <c r="AC11">
        <v>35</v>
      </c>
      <c r="AD11">
        <v>35</v>
      </c>
      <c r="AE11">
        <v>35</v>
      </c>
      <c r="AF11">
        <v>35</v>
      </c>
      <c r="AG11">
        <v>35</v>
      </c>
      <c r="AH11">
        <v>35</v>
      </c>
      <c r="AI11">
        <v>35</v>
      </c>
      <c r="AJ11">
        <v>35</v>
      </c>
      <c r="AK11">
        <v>35</v>
      </c>
      <c r="AL11">
        <v>35</v>
      </c>
      <c r="AM11">
        <v>35</v>
      </c>
      <c r="AN11">
        <v>35</v>
      </c>
      <c r="AO11">
        <v>35</v>
      </c>
      <c r="AP11">
        <v>35</v>
      </c>
      <c r="AQ11">
        <v>35</v>
      </c>
      <c r="AR11">
        <v>35</v>
      </c>
      <c r="AS11">
        <v>35</v>
      </c>
      <c r="AT11">
        <v>20</v>
      </c>
      <c r="AU11" t="s">
        <v>173</v>
      </c>
    </row>
    <row r="12" spans="1:47">
      <c r="A12" t="s">
        <v>51</v>
      </c>
      <c r="B12" t="s">
        <v>52</v>
      </c>
      <c r="C12" t="s">
        <v>183</v>
      </c>
      <c r="D12" t="s">
        <v>173</v>
      </c>
      <c r="E12" t="s">
        <v>124</v>
      </c>
      <c r="F12" t="s">
        <v>174</v>
      </c>
      <c r="G12" t="s">
        <v>175</v>
      </c>
      <c r="H12" t="s">
        <v>173</v>
      </c>
      <c r="I12" t="s">
        <v>173</v>
      </c>
      <c r="J12" t="s">
        <v>173</v>
      </c>
      <c r="K12" t="s">
        <v>173</v>
      </c>
      <c r="L12">
        <v>35</v>
      </c>
      <c r="M12">
        <v>35</v>
      </c>
      <c r="N12">
        <v>35</v>
      </c>
      <c r="O12">
        <v>35</v>
      </c>
      <c r="P12">
        <v>35</v>
      </c>
      <c r="Q12">
        <v>35</v>
      </c>
      <c r="R12">
        <v>35</v>
      </c>
      <c r="S12">
        <v>35</v>
      </c>
      <c r="T12">
        <v>35</v>
      </c>
      <c r="U12">
        <v>35</v>
      </c>
      <c r="V12">
        <v>35</v>
      </c>
      <c r="W12">
        <v>35</v>
      </c>
      <c r="X12">
        <v>35</v>
      </c>
      <c r="Y12">
        <v>35</v>
      </c>
      <c r="Z12">
        <v>35</v>
      </c>
      <c r="AA12">
        <v>35</v>
      </c>
      <c r="AB12">
        <v>35</v>
      </c>
      <c r="AC12">
        <v>35</v>
      </c>
      <c r="AD12">
        <v>35</v>
      </c>
      <c r="AE12">
        <v>35</v>
      </c>
      <c r="AF12">
        <v>35</v>
      </c>
      <c r="AG12">
        <v>35</v>
      </c>
      <c r="AH12">
        <v>35</v>
      </c>
      <c r="AI12">
        <v>35</v>
      </c>
      <c r="AJ12">
        <v>35</v>
      </c>
      <c r="AK12">
        <v>35</v>
      </c>
      <c r="AL12">
        <v>35</v>
      </c>
      <c r="AM12">
        <v>35</v>
      </c>
      <c r="AN12">
        <v>35</v>
      </c>
      <c r="AO12">
        <v>35</v>
      </c>
      <c r="AP12">
        <v>35</v>
      </c>
      <c r="AQ12">
        <v>35</v>
      </c>
      <c r="AR12">
        <v>35</v>
      </c>
      <c r="AS12">
        <v>35</v>
      </c>
      <c r="AT12">
        <v>20</v>
      </c>
      <c r="AU12" t="s">
        <v>173</v>
      </c>
    </row>
    <row r="13" spans="1:47">
      <c r="A13" t="s">
        <v>51</v>
      </c>
      <c r="B13" t="s">
        <v>52</v>
      </c>
      <c r="C13" t="s">
        <v>184</v>
      </c>
      <c r="D13" t="s">
        <v>173</v>
      </c>
      <c r="E13" t="s">
        <v>124</v>
      </c>
      <c r="F13" t="s">
        <v>174</v>
      </c>
      <c r="G13" t="s">
        <v>175</v>
      </c>
      <c r="H13" t="s">
        <v>173</v>
      </c>
      <c r="I13" t="s">
        <v>173</v>
      </c>
      <c r="J13" t="s">
        <v>173</v>
      </c>
      <c r="K13" t="s">
        <v>173</v>
      </c>
      <c r="L13">
        <v>12</v>
      </c>
      <c r="M13">
        <v>12</v>
      </c>
      <c r="N13">
        <v>12</v>
      </c>
      <c r="O13">
        <v>12</v>
      </c>
      <c r="P13">
        <v>12</v>
      </c>
      <c r="Q13">
        <v>12</v>
      </c>
      <c r="R13">
        <v>12</v>
      </c>
      <c r="S13">
        <v>8</v>
      </c>
      <c r="T13">
        <v>12</v>
      </c>
      <c r="U13">
        <v>12</v>
      </c>
      <c r="V13">
        <v>12</v>
      </c>
      <c r="W13">
        <v>12</v>
      </c>
      <c r="X13">
        <v>12</v>
      </c>
      <c r="Y13">
        <v>12</v>
      </c>
      <c r="Z13">
        <v>12</v>
      </c>
      <c r="AA13">
        <v>12</v>
      </c>
      <c r="AB13">
        <v>12</v>
      </c>
      <c r="AC13">
        <v>12</v>
      </c>
      <c r="AD13">
        <v>12</v>
      </c>
      <c r="AE13">
        <v>12</v>
      </c>
      <c r="AF13">
        <v>12</v>
      </c>
      <c r="AG13">
        <v>18</v>
      </c>
      <c r="AH13">
        <v>12</v>
      </c>
      <c r="AI13">
        <v>12</v>
      </c>
      <c r="AJ13">
        <v>12</v>
      </c>
      <c r="AK13">
        <v>12</v>
      </c>
      <c r="AL13">
        <v>12</v>
      </c>
      <c r="AM13">
        <v>12</v>
      </c>
      <c r="AN13">
        <v>12</v>
      </c>
      <c r="AO13">
        <v>12</v>
      </c>
      <c r="AP13">
        <v>12</v>
      </c>
      <c r="AQ13">
        <v>12</v>
      </c>
      <c r="AR13">
        <v>12</v>
      </c>
      <c r="AS13">
        <v>12</v>
      </c>
      <c r="AT13">
        <v>12</v>
      </c>
      <c r="AU13" t="s">
        <v>173</v>
      </c>
    </row>
    <row r="14" spans="1:47">
      <c r="A14" t="s">
        <v>51</v>
      </c>
      <c r="B14" t="s">
        <v>52</v>
      </c>
      <c r="C14" t="s">
        <v>185</v>
      </c>
      <c r="D14" t="s">
        <v>173</v>
      </c>
      <c r="E14" t="s">
        <v>124</v>
      </c>
      <c r="F14" t="s">
        <v>174</v>
      </c>
      <c r="G14" t="s">
        <v>175</v>
      </c>
      <c r="H14" t="s">
        <v>173</v>
      </c>
      <c r="I14" t="s">
        <v>173</v>
      </c>
      <c r="J14" t="s">
        <v>173</v>
      </c>
      <c r="K14" t="s">
        <v>173</v>
      </c>
      <c r="L14">
        <v>12</v>
      </c>
      <c r="M14">
        <v>12</v>
      </c>
      <c r="N14">
        <v>12</v>
      </c>
      <c r="O14">
        <v>12</v>
      </c>
      <c r="P14">
        <v>12</v>
      </c>
      <c r="Q14">
        <v>12</v>
      </c>
      <c r="R14">
        <v>12</v>
      </c>
      <c r="S14">
        <v>8</v>
      </c>
      <c r="T14">
        <v>12</v>
      </c>
      <c r="U14">
        <v>12</v>
      </c>
      <c r="V14">
        <v>12</v>
      </c>
      <c r="W14">
        <v>12</v>
      </c>
      <c r="X14">
        <v>12</v>
      </c>
      <c r="Y14">
        <v>12</v>
      </c>
      <c r="Z14">
        <v>12</v>
      </c>
      <c r="AA14">
        <v>12</v>
      </c>
      <c r="AB14">
        <v>12</v>
      </c>
      <c r="AC14">
        <v>12</v>
      </c>
      <c r="AD14">
        <v>12</v>
      </c>
      <c r="AE14">
        <v>12</v>
      </c>
      <c r="AF14">
        <v>12</v>
      </c>
      <c r="AG14">
        <v>18</v>
      </c>
      <c r="AH14">
        <v>12</v>
      </c>
      <c r="AI14">
        <v>12</v>
      </c>
      <c r="AJ14">
        <v>12</v>
      </c>
      <c r="AK14">
        <v>12</v>
      </c>
      <c r="AL14">
        <v>12</v>
      </c>
      <c r="AM14">
        <v>12</v>
      </c>
      <c r="AN14">
        <v>12</v>
      </c>
      <c r="AO14">
        <v>12</v>
      </c>
      <c r="AP14">
        <v>12</v>
      </c>
      <c r="AQ14">
        <v>12</v>
      </c>
      <c r="AR14">
        <v>12</v>
      </c>
      <c r="AS14">
        <v>12</v>
      </c>
      <c r="AT14">
        <v>12</v>
      </c>
      <c r="AU14" t="s">
        <v>173</v>
      </c>
    </row>
    <row r="15" spans="1:47">
      <c r="A15" t="s">
        <v>51</v>
      </c>
      <c r="B15" t="s">
        <v>52</v>
      </c>
      <c r="C15" t="s">
        <v>186</v>
      </c>
      <c r="D15" t="s">
        <v>173</v>
      </c>
      <c r="E15" t="s">
        <v>124</v>
      </c>
      <c r="F15" t="s">
        <v>174</v>
      </c>
      <c r="G15" t="s">
        <v>175</v>
      </c>
      <c r="H15" t="s">
        <v>173</v>
      </c>
      <c r="I15" t="s">
        <v>173</v>
      </c>
      <c r="J15" t="s">
        <v>173</v>
      </c>
      <c r="K15" t="s">
        <v>173</v>
      </c>
      <c r="L15">
        <v>12</v>
      </c>
      <c r="M15">
        <v>12</v>
      </c>
      <c r="N15">
        <v>12</v>
      </c>
      <c r="O15">
        <v>12</v>
      </c>
      <c r="P15">
        <v>12</v>
      </c>
      <c r="Q15">
        <v>12</v>
      </c>
      <c r="R15">
        <v>12</v>
      </c>
      <c r="S15">
        <v>8</v>
      </c>
      <c r="T15">
        <v>12</v>
      </c>
      <c r="U15">
        <v>12</v>
      </c>
      <c r="V15">
        <v>12</v>
      </c>
      <c r="W15">
        <v>12</v>
      </c>
      <c r="X15">
        <v>12</v>
      </c>
      <c r="Y15">
        <v>12</v>
      </c>
      <c r="Z15">
        <v>12</v>
      </c>
      <c r="AA15">
        <v>12</v>
      </c>
      <c r="AB15">
        <v>12</v>
      </c>
      <c r="AC15">
        <v>12</v>
      </c>
      <c r="AD15">
        <v>12</v>
      </c>
      <c r="AE15">
        <v>12</v>
      </c>
      <c r="AF15">
        <v>12</v>
      </c>
      <c r="AG15">
        <v>18</v>
      </c>
      <c r="AH15">
        <v>12</v>
      </c>
      <c r="AI15">
        <v>12</v>
      </c>
      <c r="AJ15">
        <v>12</v>
      </c>
      <c r="AK15">
        <v>12</v>
      </c>
      <c r="AL15">
        <v>12</v>
      </c>
      <c r="AM15">
        <v>12</v>
      </c>
      <c r="AN15">
        <v>12</v>
      </c>
      <c r="AO15">
        <v>12</v>
      </c>
      <c r="AP15">
        <v>12</v>
      </c>
      <c r="AQ15">
        <v>12</v>
      </c>
      <c r="AR15">
        <v>12</v>
      </c>
      <c r="AS15">
        <v>12</v>
      </c>
      <c r="AT15">
        <v>12</v>
      </c>
      <c r="AU15" t="s">
        <v>173</v>
      </c>
    </row>
    <row r="16" spans="1:47">
      <c r="A16" t="s">
        <v>51</v>
      </c>
      <c r="B16" t="s">
        <v>52</v>
      </c>
      <c r="C16" t="s">
        <v>187</v>
      </c>
      <c r="D16" t="s">
        <v>173</v>
      </c>
      <c r="E16" t="s">
        <v>124</v>
      </c>
      <c r="F16" t="s">
        <v>174</v>
      </c>
      <c r="G16" t="s">
        <v>175</v>
      </c>
      <c r="H16" t="s">
        <v>173</v>
      </c>
      <c r="I16" t="s">
        <v>173</v>
      </c>
      <c r="J16" t="s">
        <v>173</v>
      </c>
      <c r="K16" t="s">
        <v>173</v>
      </c>
      <c r="L16">
        <v>12</v>
      </c>
      <c r="M16">
        <v>12</v>
      </c>
      <c r="N16">
        <v>12</v>
      </c>
      <c r="O16">
        <v>12</v>
      </c>
      <c r="P16">
        <v>12</v>
      </c>
      <c r="Q16">
        <v>12</v>
      </c>
      <c r="R16">
        <v>12</v>
      </c>
      <c r="S16">
        <v>8</v>
      </c>
      <c r="T16">
        <v>12</v>
      </c>
      <c r="U16">
        <v>12</v>
      </c>
      <c r="V16">
        <v>12</v>
      </c>
      <c r="W16">
        <v>12</v>
      </c>
      <c r="X16">
        <v>12</v>
      </c>
      <c r="Y16">
        <v>12</v>
      </c>
      <c r="Z16">
        <v>12</v>
      </c>
      <c r="AA16">
        <v>12</v>
      </c>
      <c r="AB16">
        <v>12</v>
      </c>
      <c r="AC16">
        <v>12</v>
      </c>
      <c r="AD16">
        <v>12</v>
      </c>
      <c r="AE16">
        <v>12</v>
      </c>
      <c r="AF16">
        <v>12</v>
      </c>
      <c r="AG16">
        <v>18</v>
      </c>
      <c r="AH16">
        <v>12</v>
      </c>
      <c r="AI16">
        <v>12</v>
      </c>
      <c r="AJ16">
        <v>12</v>
      </c>
      <c r="AK16">
        <v>12</v>
      </c>
      <c r="AL16">
        <v>12</v>
      </c>
      <c r="AM16">
        <v>12</v>
      </c>
      <c r="AN16">
        <v>12</v>
      </c>
      <c r="AO16">
        <v>12</v>
      </c>
      <c r="AP16">
        <v>12</v>
      </c>
      <c r="AQ16">
        <v>12</v>
      </c>
      <c r="AR16">
        <v>12</v>
      </c>
      <c r="AS16">
        <v>12</v>
      </c>
      <c r="AT16">
        <v>12</v>
      </c>
      <c r="AU16" t="s">
        <v>173</v>
      </c>
    </row>
    <row r="17" spans="1:47">
      <c r="A17" t="s">
        <v>51</v>
      </c>
      <c r="B17" t="s">
        <v>52</v>
      </c>
      <c r="C17" t="s">
        <v>110</v>
      </c>
      <c r="D17" t="s">
        <v>173</v>
      </c>
      <c r="E17" t="s">
        <v>124</v>
      </c>
      <c r="F17" t="s">
        <v>174</v>
      </c>
      <c r="G17" t="s">
        <v>175</v>
      </c>
      <c r="H17" t="s">
        <v>173</v>
      </c>
      <c r="I17" t="s">
        <v>173</v>
      </c>
      <c r="J17" t="s">
        <v>173</v>
      </c>
      <c r="K17" t="s">
        <v>173</v>
      </c>
      <c r="L17">
        <v>12</v>
      </c>
      <c r="M17">
        <v>12</v>
      </c>
      <c r="N17">
        <v>12</v>
      </c>
      <c r="O17">
        <v>12</v>
      </c>
      <c r="P17">
        <v>12</v>
      </c>
      <c r="Q17">
        <v>12</v>
      </c>
      <c r="R17">
        <v>12</v>
      </c>
      <c r="S17">
        <v>8</v>
      </c>
      <c r="T17">
        <v>12</v>
      </c>
      <c r="U17">
        <v>12</v>
      </c>
      <c r="V17">
        <v>12</v>
      </c>
      <c r="W17">
        <v>12</v>
      </c>
      <c r="X17">
        <v>12</v>
      </c>
      <c r="Y17">
        <v>12</v>
      </c>
      <c r="Z17">
        <v>12</v>
      </c>
      <c r="AA17">
        <v>12</v>
      </c>
      <c r="AB17">
        <v>12</v>
      </c>
      <c r="AC17">
        <v>12</v>
      </c>
      <c r="AD17">
        <v>12</v>
      </c>
      <c r="AE17">
        <v>12</v>
      </c>
      <c r="AF17">
        <v>12</v>
      </c>
      <c r="AG17">
        <v>18</v>
      </c>
      <c r="AH17">
        <v>12</v>
      </c>
      <c r="AI17">
        <v>12</v>
      </c>
      <c r="AJ17">
        <v>12</v>
      </c>
      <c r="AK17">
        <v>12</v>
      </c>
      <c r="AL17">
        <v>12</v>
      </c>
      <c r="AM17">
        <v>12</v>
      </c>
      <c r="AN17">
        <v>12</v>
      </c>
      <c r="AO17">
        <v>12</v>
      </c>
      <c r="AP17">
        <v>12</v>
      </c>
      <c r="AQ17">
        <v>12</v>
      </c>
      <c r="AR17">
        <v>12</v>
      </c>
      <c r="AS17">
        <v>12</v>
      </c>
      <c r="AT17">
        <v>12</v>
      </c>
      <c r="AU17" t="s">
        <v>173</v>
      </c>
    </row>
    <row r="18" spans="1:47">
      <c r="A18" t="s">
        <v>51</v>
      </c>
      <c r="B18" t="s">
        <v>52</v>
      </c>
      <c r="C18" t="s">
        <v>188</v>
      </c>
      <c r="D18" t="s">
        <v>173</v>
      </c>
      <c r="E18" t="s">
        <v>124</v>
      </c>
      <c r="F18" t="s">
        <v>174</v>
      </c>
      <c r="G18" t="s">
        <v>175</v>
      </c>
      <c r="H18" t="s">
        <v>173</v>
      </c>
      <c r="I18" t="s">
        <v>173</v>
      </c>
      <c r="J18" t="s">
        <v>173</v>
      </c>
      <c r="K18" t="s">
        <v>173</v>
      </c>
      <c r="L18">
        <v>12</v>
      </c>
      <c r="M18">
        <v>12</v>
      </c>
      <c r="N18">
        <v>12</v>
      </c>
      <c r="O18">
        <v>12</v>
      </c>
      <c r="P18">
        <v>12</v>
      </c>
      <c r="Q18">
        <v>12</v>
      </c>
      <c r="R18">
        <v>12</v>
      </c>
      <c r="S18">
        <v>8</v>
      </c>
      <c r="T18">
        <v>12</v>
      </c>
      <c r="U18">
        <v>12</v>
      </c>
      <c r="V18">
        <v>12</v>
      </c>
      <c r="W18">
        <v>12</v>
      </c>
      <c r="X18">
        <v>12</v>
      </c>
      <c r="Y18">
        <v>12</v>
      </c>
      <c r="Z18">
        <v>12</v>
      </c>
      <c r="AA18">
        <v>12</v>
      </c>
      <c r="AB18">
        <v>12</v>
      </c>
      <c r="AC18">
        <v>12</v>
      </c>
      <c r="AD18">
        <v>12</v>
      </c>
      <c r="AE18">
        <v>12</v>
      </c>
      <c r="AF18">
        <v>12</v>
      </c>
      <c r="AG18">
        <v>18</v>
      </c>
      <c r="AH18">
        <v>12</v>
      </c>
      <c r="AI18">
        <v>12</v>
      </c>
      <c r="AJ18">
        <v>12</v>
      </c>
      <c r="AK18">
        <v>12</v>
      </c>
      <c r="AL18">
        <v>12</v>
      </c>
      <c r="AM18">
        <v>12</v>
      </c>
      <c r="AN18">
        <v>12</v>
      </c>
      <c r="AO18">
        <v>12</v>
      </c>
      <c r="AP18">
        <v>12</v>
      </c>
      <c r="AQ18">
        <v>12</v>
      </c>
      <c r="AR18">
        <v>12</v>
      </c>
      <c r="AS18">
        <v>12</v>
      </c>
      <c r="AT18">
        <v>12</v>
      </c>
      <c r="AU18" t="s">
        <v>173</v>
      </c>
    </row>
    <row r="19" spans="1:47">
      <c r="A19" t="s">
        <v>51</v>
      </c>
      <c r="B19" t="s">
        <v>52</v>
      </c>
      <c r="C19" t="s">
        <v>189</v>
      </c>
      <c r="D19" t="s">
        <v>173</v>
      </c>
      <c r="E19" t="s">
        <v>124</v>
      </c>
      <c r="F19" t="s">
        <v>174</v>
      </c>
      <c r="G19" t="s">
        <v>175</v>
      </c>
      <c r="H19" t="s">
        <v>173</v>
      </c>
      <c r="I19" t="s">
        <v>173</v>
      </c>
      <c r="J19" t="s">
        <v>173</v>
      </c>
      <c r="K19" t="s">
        <v>173</v>
      </c>
      <c r="L19">
        <v>12</v>
      </c>
      <c r="M19">
        <v>12</v>
      </c>
      <c r="N19">
        <v>12</v>
      </c>
      <c r="O19">
        <v>12</v>
      </c>
      <c r="P19">
        <v>12</v>
      </c>
      <c r="Q19">
        <v>12</v>
      </c>
      <c r="R19">
        <v>12</v>
      </c>
      <c r="S19">
        <v>8</v>
      </c>
      <c r="T19">
        <v>12</v>
      </c>
      <c r="U19">
        <v>12</v>
      </c>
      <c r="V19">
        <v>12</v>
      </c>
      <c r="W19">
        <v>12</v>
      </c>
      <c r="X19">
        <v>12</v>
      </c>
      <c r="Y19">
        <v>12</v>
      </c>
      <c r="Z19">
        <v>12</v>
      </c>
      <c r="AA19">
        <v>12</v>
      </c>
      <c r="AB19">
        <v>12</v>
      </c>
      <c r="AC19">
        <v>12</v>
      </c>
      <c r="AD19">
        <v>12</v>
      </c>
      <c r="AE19">
        <v>12</v>
      </c>
      <c r="AF19">
        <v>12</v>
      </c>
      <c r="AG19">
        <v>18</v>
      </c>
      <c r="AH19">
        <v>12</v>
      </c>
      <c r="AI19">
        <v>12</v>
      </c>
      <c r="AJ19">
        <v>12</v>
      </c>
      <c r="AK19">
        <v>12</v>
      </c>
      <c r="AL19">
        <v>12</v>
      </c>
      <c r="AM19">
        <v>12</v>
      </c>
      <c r="AN19">
        <v>12</v>
      </c>
      <c r="AO19">
        <v>12</v>
      </c>
      <c r="AP19">
        <v>12</v>
      </c>
      <c r="AQ19">
        <v>12</v>
      </c>
      <c r="AR19">
        <v>12</v>
      </c>
      <c r="AS19">
        <v>12</v>
      </c>
      <c r="AT19">
        <v>12</v>
      </c>
      <c r="AU19" t="s">
        <v>173</v>
      </c>
    </row>
    <row r="20" spans="1:47">
      <c r="A20" t="s">
        <v>51</v>
      </c>
      <c r="B20" t="s">
        <v>52</v>
      </c>
      <c r="C20" t="s">
        <v>190</v>
      </c>
      <c r="D20" t="s">
        <v>173</v>
      </c>
      <c r="E20" t="s">
        <v>124</v>
      </c>
      <c r="F20" t="s">
        <v>174</v>
      </c>
      <c r="G20" t="s">
        <v>175</v>
      </c>
      <c r="H20" t="s">
        <v>173</v>
      </c>
      <c r="I20" t="s">
        <v>173</v>
      </c>
      <c r="J20" t="s">
        <v>173</v>
      </c>
      <c r="K20" t="s">
        <v>173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  <c r="X20">
        <v>100</v>
      </c>
      <c r="Y20">
        <v>100</v>
      </c>
      <c r="Z20">
        <v>100</v>
      </c>
      <c r="AA20">
        <v>100</v>
      </c>
      <c r="AB20">
        <v>100</v>
      </c>
      <c r="AC20">
        <v>100</v>
      </c>
      <c r="AD20">
        <v>100</v>
      </c>
      <c r="AE20">
        <v>100</v>
      </c>
      <c r="AF20">
        <v>100</v>
      </c>
      <c r="AG20">
        <v>100</v>
      </c>
      <c r="AH20">
        <v>100</v>
      </c>
      <c r="AI20">
        <v>100</v>
      </c>
      <c r="AJ20">
        <v>100</v>
      </c>
      <c r="AK20">
        <v>100</v>
      </c>
      <c r="AL20">
        <v>100</v>
      </c>
      <c r="AM20">
        <v>100</v>
      </c>
      <c r="AN20">
        <v>35</v>
      </c>
      <c r="AO20">
        <v>100</v>
      </c>
      <c r="AP20">
        <v>100</v>
      </c>
      <c r="AQ20">
        <v>100</v>
      </c>
      <c r="AR20">
        <v>100</v>
      </c>
      <c r="AS20">
        <v>100</v>
      </c>
      <c r="AT20">
        <v>35</v>
      </c>
      <c r="AU20" t="s">
        <v>173</v>
      </c>
    </row>
    <row r="21" spans="1:47">
      <c r="A21" t="s">
        <v>51</v>
      </c>
      <c r="B21" t="s">
        <v>52</v>
      </c>
      <c r="C21" t="s">
        <v>111</v>
      </c>
      <c r="D21" t="s">
        <v>173</v>
      </c>
      <c r="E21" t="s">
        <v>124</v>
      </c>
      <c r="F21" t="s">
        <v>174</v>
      </c>
      <c r="G21" t="s">
        <v>175</v>
      </c>
      <c r="H21" t="s">
        <v>173</v>
      </c>
      <c r="I21" t="s">
        <v>173</v>
      </c>
      <c r="J21" t="s">
        <v>173</v>
      </c>
      <c r="K21" t="s">
        <v>173</v>
      </c>
      <c r="L21">
        <v>100</v>
      </c>
      <c r="M21">
        <v>100</v>
      </c>
      <c r="N21">
        <v>100</v>
      </c>
      <c r="O21">
        <v>100</v>
      </c>
      <c r="P21">
        <v>100</v>
      </c>
      <c r="Q21">
        <v>100</v>
      </c>
      <c r="R21">
        <v>100</v>
      </c>
      <c r="S21">
        <v>100</v>
      </c>
      <c r="T21">
        <v>100</v>
      </c>
      <c r="U21">
        <v>100</v>
      </c>
      <c r="V21">
        <v>100</v>
      </c>
      <c r="W21">
        <v>100</v>
      </c>
      <c r="X21">
        <v>100</v>
      </c>
      <c r="Y21">
        <v>100</v>
      </c>
      <c r="Z21">
        <v>100</v>
      </c>
      <c r="AA21">
        <v>100</v>
      </c>
      <c r="AB21">
        <v>100</v>
      </c>
      <c r="AC21">
        <v>100</v>
      </c>
      <c r="AD21">
        <v>100</v>
      </c>
      <c r="AE21">
        <v>100</v>
      </c>
      <c r="AF21">
        <v>100</v>
      </c>
      <c r="AG21">
        <v>100</v>
      </c>
      <c r="AH21">
        <v>100</v>
      </c>
      <c r="AI21">
        <v>100</v>
      </c>
      <c r="AJ21">
        <v>100</v>
      </c>
      <c r="AK21">
        <v>100</v>
      </c>
      <c r="AL21">
        <v>100</v>
      </c>
      <c r="AM21">
        <v>100</v>
      </c>
      <c r="AN21">
        <v>35</v>
      </c>
      <c r="AO21">
        <v>100</v>
      </c>
      <c r="AP21">
        <v>100</v>
      </c>
      <c r="AQ21">
        <v>100</v>
      </c>
      <c r="AR21">
        <v>100</v>
      </c>
      <c r="AS21">
        <v>100</v>
      </c>
      <c r="AT21">
        <v>35</v>
      </c>
      <c r="AU21" t="s">
        <v>173</v>
      </c>
    </row>
    <row r="22" spans="1:47">
      <c r="A22" t="s">
        <v>51</v>
      </c>
      <c r="B22" t="s">
        <v>52</v>
      </c>
      <c r="C22" t="s">
        <v>191</v>
      </c>
      <c r="D22" t="s">
        <v>173</v>
      </c>
      <c r="E22" t="s">
        <v>124</v>
      </c>
      <c r="F22" t="s">
        <v>174</v>
      </c>
      <c r="G22" t="s">
        <v>175</v>
      </c>
      <c r="H22" t="s">
        <v>173</v>
      </c>
      <c r="I22" t="s">
        <v>173</v>
      </c>
      <c r="J22" t="s">
        <v>173</v>
      </c>
      <c r="K22" t="s">
        <v>173</v>
      </c>
      <c r="L22">
        <v>100</v>
      </c>
      <c r="M22">
        <v>100</v>
      </c>
      <c r="N22">
        <v>100</v>
      </c>
      <c r="O22">
        <v>100</v>
      </c>
      <c r="P22">
        <v>100</v>
      </c>
      <c r="Q22">
        <v>100</v>
      </c>
      <c r="R22">
        <v>100</v>
      </c>
      <c r="S22">
        <v>100</v>
      </c>
      <c r="T22">
        <v>100</v>
      </c>
      <c r="U22">
        <v>100</v>
      </c>
      <c r="V22">
        <v>100</v>
      </c>
      <c r="W22">
        <v>100</v>
      </c>
      <c r="X22">
        <v>100</v>
      </c>
      <c r="Y22">
        <v>100</v>
      </c>
      <c r="Z22">
        <v>100</v>
      </c>
      <c r="AA22">
        <v>100</v>
      </c>
      <c r="AB22">
        <v>100</v>
      </c>
      <c r="AC22">
        <v>100</v>
      </c>
      <c r="AD22">
        <v>100</v>
      </c>
      <c r="AE22">
        <v>100</v>
      </c>
      <c r="AF22">
        <v>100</v>
      </c>
      <c r="AG22">
        <v>100</v>
      </c>
      <c r="AH22">
        <v>100</v>
      </c>
      <c r="AI22">
        <v>100</v>
      </c>
      <c r="AJ22">
        <v>100</v>
      </c>
      <c r="AK22">
        <v>100</v>
      </c>
      <c r="AL22">
        <v>100</v>
      </c>
      <c r="AM22">
        <v>100</v>
      </c>
      <c r="AN22">
        <v>35</v>
      </c>
      <c r="AO22">
        <v>100</v>
      </c>
      <c r="AP22">
        <v>100</v>
      </c>
      <c r="AQ22">
        <v>100</v>
      </c>
      <c r="AR22">
        <v>100</v>
      </c>
      <c r="AS22">
        <v>100</v>
      </c>
      <c r="AT22">
        <v>35</v>
      </c>
      <c r="AU22" t="s">
        <v>173</v>
      </c>
    </row>
    <row r="23" spans="1:47">
      <c r="A23" t="s">
        <v>51</v>
      </c>
      <c r="B23" t="s">
        <v>52</v>
      </c>
      <c r="C23" t="s">
        <v>192</v>
      </c>
      <c r="D23" t="s">
        <v>173</v>
      </c>
      <c r="E23" t="s">
        <v>124</v>
      </c>
      <c r="F23" t="s">
        <v>174</v>
      </c>
      <c r="G23" t="s">
        <v>175</v>
      </c>
      <c r="H23" t="s">
        <v>173</v>
      </c>
      <c r="I23" t="s">
        <v>173</v>
      </c>
      <c r="J23" t="s">
        <v>173</v>
      </c>
      <c r="K23" t="s">
        <v>173</v>
      </c>
      <c r="L23">
        <v>40</v>
      </c>
      <c r="M23">
        <v>40</v>
      </c>
      <c r="N23">
        <v>40</v>
      </c>
      <c r="O23">
        <v>40</v>
      </c>
      <c r="P23">
        <v>40</v>
      </c>
      <c r="Q23">
        <v>40</v>
      </c>
      <c r="R23">
        <v>40</v>
      </c>
      <c r="S23">
        <v>40</v>
      </c>
      <c r="T23">
        <v>40</v>
      </c>
      <c r="U23">
        <v>40</v>
      </c>
      <c r="V23">
        <v>40</v>
      </c>
      <c r="W23">
        <v>40</v>
      </c>
      <c r="X23">
        <v>40</v>
      </c>
      <c r="Y23">
        <v>40</v>
      </c>
      <c r="Z23">
        <v>40</v>
      </c>
      <c r="AA23">
        <v>40</v>
      </c>
      <c r="AB23">
        <v>40</v>
      </c>
      <c r="AC23">
        <v>40</v>
      </c>
      <c r="AD23">
        <v>40</v>
      </c>
      <c r="AE23">
        <v>40</v>
      </c>
      <c r="AF23">
        <v>40</v>
      </c>
      <c r="AG23">
        <v>40</v>
      </c>
      <c r="AH23">
        <v>40</v>
      </c>
      <c r="AI23">
        <v>40</v>
      </c>
      <c r="AJ23">
        <v>40</v>
      </c>
      <c r="AK23">
        <v>40</v>
      </c>
      <c r="AL23">
        <v>40</v>
      </c>
      <c r="AM23">
        <v>40</v>
      </c>
      <c r="AN23">
        <v>25</v>
      </c>
      <c r="AO23">
        <v>40</v>
      </c>
      <c r="AP23">
        <v>40</v>
      </c>
      <c r="AQ23">
        <v>40</v>
      </c>
      <c r="AR23">
        <v>40</v>
      </c>
      <c r="AS23">
        <v>40</v>
      </c>
      <c r="AT23">
        <v>15</v>
      </c>
      <c r="AU23" t="s">
        <v>173</v>
      </c>
    </row>
    <row r="24" spans="1:47">
      <c r="A24" t="s">
        <v>51</v>
      </c>
      <c r="B24" t="s">
        <v>52</v>
      </c>
      <c r="C24" t="s">
        <v>112</v>
      </c>
      <c r="D24" t="s">
        <v>173</v>
      </c>
      <c r="E24" t="s">
        <v>124</v>
      </c>
      <c r="F24" t="s">
        <v>174</v>
      </c>
      <c r="G24" t="s">
        <v>175</v>
      </c>
      <c r="H24" t="s">
        <v>173</v>
      </c>
      <c r="I24" t="s">
        <v>173</v>
      </c>
      <c r="J24" t="s">
        <v>173</v>
      </c>
      <c r="K24" t="s">
        <v>173</v>
      </c>
      <c r="L24">
        <v>40</v>
      </c>
      <c r="M24">
        <v>40</v>
      </c>
      <c r="N24">
        <v>40</v>
      </c>
      <c r="O24">
        <v>40</v>
      </c>
      <c r="P24">
        <v>40</v>
      </c>
      <c r="Q24">
        <v>40</v>
      </c>
      <c r="R24">
        <v>40</v>
      </c>
      <c r="S24">
        <v>40</v>
      </c>
      <c r="T24">
        <v>40</v>
      </c>
      <c r="U24">
        <v>40</v>
      </c>
      <c r="V24">
        <v>40</v>
      </c>
      <c r="W24">
        <v>40</v>
      </c>
      <c r="X24">
        <v>40</v>
      </c>
      <c r="Y24">
        <v>40</v>
      </c>
      <c r="Z24">
        <v>40</v>
      </c>
      <c r="AA24">
        <v>40</v>
      </c>
      <c r="AB24">
        <v>40</v>
      </c>
      <c r="AC24">
        <v>40</v>
      </c>
      <c r="AD24">
        <v>40</v>
      </c>
      <c r="AE24">
        <v>40</v>
      </c>
      <c r="AF24">
        <v>40</v>
      </c>
      <c r="AG24">
        <v>40</v>
      </c>
      <c r="AH24">
        <v>40</v>
      </c>
      <c r="AI24">
        <v>40</v>
      </c>
      <c r="AJ24">
        <v>40</v>
      </c>
      <c r="AK24">
        <v>40</v>
      </c>
      <c r="AL24">
        <v>40</v>
      </c>
      <c r="AM24">
        <v>40</v>
      </c>
      <c r="AN24">
        <v>25</v>
      </c>
      <c r="AO24">
        <v>40</v>
      </c>
      <c r="AP24">
        <v>40</v>
      </c>
      <c r="AQ24">
        <v>40</v>
      </c>
      <c r="AR24">
        <v>40</v>
      </c>
      <c r="AS24">
        <v>40</v>
      </c>
      <c r="AT24">
        <v>15</v>
      </c>
      <c r="AU24" t="s">
        <v>173</v>
      </c>
    </row>
    <row r="25" spans="1:47">
      <c r="A25" t="s">
        <v>51</v>
      </c>
      <c r="B25" t="s">
        <v>52</v>
      </c>
      <c r="C25" t="s">
        <v>193</v>
      </c>
      <c r="D25" t="s">
        <v>173</v>
      </c>
      <c r="E25" t="s">
        <v>124</v>
      </c>
      <c r="F25" t="s">
        <v>174</v>
      </c>
      <c r="G25" t="s">
        <v>175</v>
      </c>
      <c r="H25" t="s">
        <v>173</v>
      </c>
      <c r="I25" t="s">
        <v>173</v>
      </c>
      <c r="J25" t="s">
        <v>173</v>
      </c>
      <c r="K25" t="s">
        <v>173</v>
      </c>
      <c r="L25">
        <v>40</v>
      </c>
      <c r="M25">
        <v>40</v>
      </c>
      <c r="N25">
        <v>40</v>
      </c>
      <c r="O25">
        <v>40</v>
      </c>
      <c r="P25">
        <v>40</v>
      </c>
      <c r="Q25">
        <v>40</v>
      </c>
      <c r="R25">
        <v>40</v>
      </c>
      <c r="S25">
        <v>40</v>
      </c>
      <c r="T25">
        <v>40</v>
      </c>
      <c r="U25">
        <v>40</v>
      </c>
      <c r="V25">
        <v>40</v>
      </c>
      <c r="W25">
        <v>40</v>
      </c>
      <c r="X25">
        <v>40</v>
      </c>
      <c r="Y25">
        <v>40</v>
      </c>
      <c r="Z25">
        <v>40</v>
      </c>
      <c r="AA25">
        <v>40</v>
      </c>
      <c r="AB25">
        <v>40</v>
      </c>
      <c r="AC25">
        <v>40</v>
      </c>
      <c r="AD25">
        <v>40</v>
      </c>
      <c r="AE25">
        <v>40</v>
      </c>
      <c r="AF25">
        <v>40</v>
      </c>
      <c r="AG25">
        <v>40</v>
      </c>
      <c r="AH25">
        <v>40</v>
      </c>
      <c r="AI25">
        <v>40</v>
      </c>
      <c r="AJ25">
        <v>40</v>
      </c>
      <c r="AK25">
        <v>40</v>
      </c>
      <c r="AL25">
        <v>40</v>
      </c>
      <c r="AM25">
        <v>40</v>
      </c>
      <c r="AN25">
        <v>25</v>
      </c>
      <c r="AO25">
        <v>40</v>
      </c>
      <c r="AP25">
        <v>40</v>
      </c>
      <c r="AQ25">
        <v>40</v>
      </c>
      <c r="AR25">
        <v>40</v>
      </c>
      <c r="AS25">
        <v>40</v>
      </c>
      <c r="AT25">
        <v>15</v>
      </c>
      <c r="AU25" t="s">
        <v>173</v>
      </c>
    </row>
    <row r="26" spans="1:47">
      <c r="A26" t="s">
        <v>51</v>
      </c>
      <c r="B26" t="s">
        <v>52</v>
      </c>
      <c r="C26" t="s">
        <v>194</v>
      </c>
      <c r="D26" t="s">
        <v>173</v>
      </c>
      <c r="E26" t="s">
        <v>124</v>
      </c>
      <c r="F26" t="s">
        <v>174</v>
      </c>
      <c r="G26" t="s">
        <v>175</v>
      </c>
      <c r="H26" t="s">
        <v>173</v>
      </c>
      <c r="I26" t="s">
        <v>173</v>
      </c>
      <c r="J26" t="s">
        <v>173</v>
      </c>
      <c r="K26" t="s">
        <v>173</v>
      </c>
      <c r="L26">
        <v>40</v>
      </c>
      <c r="M26">
        <v>40</v>
      </c>
      <c r="N26">
        <v>40</v>
      </c>
      <c r="O26">
        <v>40</v>
      </c>
      <c r="P26">
        <v>40</v>
      </c>
      <c r="Q26">
        <v>40</v>
      </c>
      <c r="R26">
        <v>40</v>
      </c>
      <c r="S26">
        <v>40</v>
      </c>
      <c r="T26">
        <v>40</v>
      </c>
      <c r="U26">
        <v>40</v>
      </c>
      <c r="V26">
        <v>40</v>
      </c>
      <c r="W26">
        <v>40</v>
      </c>
      <c r="X26">
        <v>40</v>
      </c>
      <c r="Y26">
        <v>40</v>
      </c>
      <c r="Z26">
        <v>40</v>
      </c>
      <c r="AA26">
        <v>40</v>
      </c>
      <c r="AB26">
        <v>40</v>
      </c>
      <c r="AC26">
        <v>40</v>
      </c>
      <c r="AD26">
        <v>40</v>
      </c>
      <c r="AE26">
        <v>40</v>
      </c>
      <c r="AF26">
        <v>40</v>
      </c>
      <c r="AG26">
        <v>40</v>
      </c>
      <c r="AH26">
        <v>40</v>
      </c>
      <c r="AI26">
        <v>40</v>
      </c>
      <c r="AJ26">
        <v>40</v>
      </c>
      <c r="AK26">
        <v>40</v>
      </c>
      <c r="AL26">
        <v>40</v>
      </c>
      <c r="AM26">
        <v>40</v>
      </c>
      <c r="AN26">
        <v>25</v>
      </c>
      <c r="AO26">
        <v>40</v>
      </c>
      <c r="AP26">
        <v>40</v>
      </c>
      <c r="AQ26">
        <v>40</v>
      </c>
      <c r="AR26">
        <v>40</v>
      </c>
      <c r="AS26">
        <v>40</v>
      </c>
      <c r="AT26">
        <v>15</v>
      </c>
      <c r="AU26" t="s">
        <v>173</v>
      </c>
    </row>
    <row r="27" spans="1:47">
      <c r="A27" t="s">
        <v>51</v>
      </c>
      <c r="B27" t="s">
        <v>52</v>
      </c>
      <c r="C27" t="s">
        <v>195</v>
      </c>
      <c r="D27" t="s">
        <v>173</v>
      </c>
      <c r="E27" t="s">
        <v>124</v>
      </c>
      <c r="F27" t="s">
        <v>174</v>
      </c>
      <c r="G27" t="s">
        <v>175</v>
      </c>
      <c r="H27" t="s">
        <v>173</v>
      </c>
      <c r="I27" t="s">
        <v>173</v>
      </c>
      <c r="J27" t="s">
        <v>173</v>
      </c>
      <c r="K27" t="s">
        <v>173</v>
      </c>
      <c r="L27">
        <v>40</v>
      </c>
      <c r="M27">
        <v>40</v>
      </c>
      <c r="N27">
        <v>40</v>
      </c>
      <c r="O27">
        <v>40</v>
      </c>
      <c r="P27">
        <v>40</v>
      </c>
      <c r="Q27">
        <v>40</v>
      </c>
      <c r="R27">
        <v>40</v>
      </c>
      <c r="S27">
        <v>40</v>
      </c>
      <c r="T27">
        <v>40</v>
      </c>
      <c r="U27">
        <v>40</v>
      </c>
      <c r="V27">
        <v>40</v>
      </c>
      <c r="W27">
        <v>40</v>
      </c>
      <c r="X27">
        <v>40</v>
      </c>
      <c r="Y27">
        <v>40</v>
      </c>
      <c r="Z27">
        <v>40</v>
      </c>
      <c r="AA27">
        <v>40</v>
      </c>
      <c r="AB27">
        <v>40</v>
      </c>
      <c r="AC27">
        <v>40</v>
      </c>
      <c r="AD27">
        <v>40</v>
      </c>
      <c r="AE27">
        <v>40</v>
      </c>
      <c r="AF27">
        <v>40</v>
      </c>
      <c r="AG27">
        <v>40</v>
      </c>
      <c r="AH27">
        <v>40</v>
      </c>
      <c r="AI27">
        <v>40</v>
      </c>
      <c r="AJ27">
        <v>40</v>
      </c>
      <c r="AK27">
        <v>40</v>
      </c>
      <c r="AL27">
        <v>40</v>
      </c>
      <c r="AM27">
        <v>40</v>
      </c>
      <c r="AN27">
        <v>25</v>
      </c>
      <c r="AO27">
        <v>40</v>
      </c>
      <c r="AP27">
        <v>40</v>
      </c>
      <c r="AQ27">
        <v>40</v>
      </c>
      <c r="AR27">
        <v>40</v>
      </c>
      <c r="AS27">
        <v>40</v>
      </c>
      <c r="AT27">
        <v>15</v>
      </c>
      <c r="AU27" t="s">
        <v>173</v>
      </c>
    </row>
    <row r="28" spans="1:47">
      <c r="A28" t="s">
        <v>51</v>
      </c>
      <c r="B28" t="s">
        <v>52</v>
      </c>
      <c r="C28" t="s">
        <v>196</v>
      </c>
      <c r="D28" t="s">
        <v>173</v>
      </c>
      <c r="E28" t="s">
        <v>124</v>
      </c>
      <c r="F28" t="s">
        <v>174</v>
      </c>
      <c r="G28" t="s">
        <v>175</v>
      </c>
      <c r="H28" t="s">
        <v>173</v>
      </c>
      <c r="I28" t="s">
        <v>173</v>
      </c>
      <c r="J28" t="s">
        <v>173</v>
      </c>
      <c r="K28" t="s">
        <v>173</v>
      </c>
      <c r="L28">
        <v>40</v>
      </c>
      <c r="M28">
        <v>40</v>
      </c>
      <c r="N28">
        <v>40</v>
      </c>
      <c r="O28">
        <v>40</v>
      </c>
      <c r="P28">
        <v>40</v>
      </c>
      <c r="Q28">
        <v>40</v>
      </c>
      <c r="R28">
        <v>40</v>
      </c>
      <c r="S28">
        <v>40</v>
      </c>
      <c r="T28">
        <v>40</v>
      </c>
      <c r="U28">
        <v>40</v>
      </c>
      <c r="V28">
        <v>40</v>
      </c>
      <c r="W28">
        <v>40</v>
      </c>
      <c r="X28">
        <v>40</v>
      </c>
      <c r="Y28">
        <v>40</v>
      </c>
      <c r="Z28">
        <v>40</v>
      </c>
      <c r="AA28">
        <v>40</v>
      </c>
      <c r="AB28">
        <v>40</v>
      </c>
      <c r="AC28">
        <v>40</v>
      </c>
      <c r="AD28">
        <v>40</v>
      </c>
      <c r="AE28">
        <v>40</v>
      </c>
      <c r="AF28">
        <v>40</v>
      </c>
      <c r="AG28">
        <v>40</v>
      </c>
      <c r="AH28">
        <v>40</v>
      </c>
      <c r="AI28">
        <v>40</v>
      </c>
      <c r="AJ28">
        <v>40</v>
      </c>
      <c r="AK28">
        <v>40</v>
      </c>
      <c r="AL28">
        <v>40</v>
      </c>
      <c r="AM28">
        <v>40</v>
      </c>
      <c r="AN28">
        <v>25</v>
      </c>
      <c r="AO28">
        <v>40</v>
      </c>
      <c r="AP28">
        <v>40</v>
      </c>
      <c r="AQ28">
        <v>40</v>
      </c>
      <c r="AR28">
        <v>40</v>
      </c>
      <c r="AS28">
        <v>40</v>
      </c>
      <c r="AT28">
        <v>15</v>
      </c>
      <c r="AU28" t="s">
        <v>173</v>
      </c>
    </row>
    <row r="29" spans="1:47">
      <c r="A29" t="s">
        <v>51</v>
      </c>
      <c r="B29" t="s">
        <v>62</v>
      </c>
      <c r="C29" t="s">
        <v>107</v>
      </c>
      <c r="D29" t="s">
        <v>173</v>
      </c>
      <c r="E29" t="s">
        <v>173</v>
      </c>
      <c r="F29" t="s">
        <v>174</v>
      </c>
      <c r="G29" t="s">
        <v>175</v>
      </c>
      <c r="H29" t="s">
        <v>173</v>
      </c>
      <c r="I29" t="s">
        <v>173</v>
      </c>
      <c r="J29" t="s">
        <v>173</v>
      </c>
      <c r="K29" t="s">
        <v>173</v>
      </c>
      <c r="L29">
        <v>0.99</v>
      </c>
      <c r="M29">
        <v>0.99</v>
      </c>
      <c r="N29">
        <v>0.99</v>
      </c>
      <c r="O29">
        <v>0.99</v>
      </c>
      <c r="P29">
        <v>0.99</v>
      </c>
      <c r="Q29">
        <v>0.99</v>
      </c>
      <c r="R29">
        <v>0.99</v>
      </c>
      <c r="S29">
        <v>0.99</v>
      </c>
      <c r="T29">
        <v>0.99</v>
      </c>
      <c r="U29">
        <v>0.99</v>
      </c>
      <c r="V29">
        <v>0.99</v>
      </c>
      <c r="W29">
        <v>0.99</v>
      </c>
      <c r="X29">
        <v>0.99</v>
      </c>
      <c r="Y29">
        <v>0.99</v>
      </c>
      <c r="Z29">
        <v>0.99</v>
      </c>
      <c r="AA29">
        <v>0.99</v>
      </c>
      <c r="AB29">
        <v>0.99</v>
      </c>
      <c r="AC29">
        <v>0.99</v>
      </c>
      <c r="AD29">
        <v>0.99</v>
      </c>
      <c r="AE29">
        <v>0.99</v>
      </c>
      <c r="AF29">
        <v>0.99</v>
      </c>
      <c r="AG29">
        <v>0.99</v>
      </c>
      <c r="AH29">
        <v>0.99</v>
      </c>
      <c r="AI29">
        <v>0.99</v>
      </c>
      <c r="AJ29">
        <v>0.99</v>
      </c>
      <c r="AK29">
        <v>0.99</v>
      </c>
      <c r="AL29">
        <v>0.99</v>
      </c>
      <c r="AM29">
        <v>0.99</v>
      </c>
      <c r="AN29">
        <v>0.99</v>
      </c>
      <c r="AO29">
        <v>0.99</v>
      </c>
      <c r="AP29">
        <v>0.99</v>
      </c>
      <c r="AQ29">
        <v>0.99</v>
      </c>
      <c r="AR29">
        <v>0.99</v>
      </c>
      <c r="AS29">
        <v>0.99</v>
      </c>
      <c r="AT29">
        <v>0.99</v>
      </c>
      <c r="AU29" t="s">
        <v>173</v>
      </c>
    </row>
    <row r="30" spans="1:47">
      <c r="A30" t="s">
        <v>51</v>
      </c>
      <c r="B30" t="s">
        <v>62</v>
      </c>
      <c r="C30" t="s">
        <v>176</v>
      </c>
      <c r="D30" t="s">
        <v>173</v>
      </c>
      <c r="E30" t="s">
        <v>173</v>
      </c>
      <c r="F30" t="s">
        <v>174</v>
      </c>
      <c r="G30" t="s">
        <v>175</v>
      </c>
      <c r="H30" t="s">
        <v>173</v>
      </c>
      <c r="I30" t="s">
        <v>173</v>
      </c>
      <c r="J30" t="s">
        <v>173</v>
      </c>
      <c r="K30" t="s">
        <v>173</v>
      </c>
      <c r="L30">
        <v>0.58697</v>
      </c>
      <c r="M30">
        <v>0.58697</v>
      </c>
      <c r="N30">
        <v>0.58697</v>
      </c>
      <c r="O30">
        <v>0.58697</v>
      </c>
      <c r="P30">
        <v>0.58697</v>
      </c>
      <c r="Q30">
        <v>0.58697</v>
      </c>
      <c r="R30">
        <v>0.58697</v>
      </c>
      <c r="S30">
        <v>0.58697</v>
      </c>
      <c r="T30">
        <v>0.58697</v>
      </c>
      <c r="U30">
        <v>0.58697</v>
      </c>
      <c r="V30">
        <v>0.58697</v>
      </c>
      <c r="W30">
        <v>0.58697</v>
      </c>
      <c r="X30">
        <v>0.58697</v>
      </c>
      <c r="Y30">
        <v>0.58697</v>
      </c>
      <c r="Z30">
        <v>0.58697</v>
      </c>
      <c r="AA30">
        <v>0.58697</v>
      </c>
      <c r="AB30">
        <v>0.58697</v>
      </c>
      <c r="AC30">
        <v>0.58697</v>
      </c>
      <c r="AD30">
        <v>0.58697</v>
      </c>
      <c r="AE30">
        <v>0.58697</v>
      </c>
      <c r="AF30">
        <v>0.58697</v>
      </c>
      <c r="AG30">
        <v>0.58697</v>
      </c>
      <c r="AH30">
        <v>0.58697</v>
      </c>
      <c r="AI30">
        <v>0.58697</v>
      </c>
      <c r="AJ30">
        <v>0.58697</v>
      </c>
      <c r="AK30">
        <v>0.58697</v>
      </c>
      <c r="AL30">
        <v>0.58697</v>
      </c>
      <c r="AM30">
        <v>0.58697</v>
      </c>
      <c r="AN30">
        <v>0.58697</v>
      </c>
      <c r="AO30">
        <v>0.58697</v>
      </c>
      <c r="AP30">
        <v>0.58697</v>
      </c>
      <c r="AQ30">
        <v>0.58697</v>
      </c>
      <c r="AR30">
        <v>0.58697</v>
      </c>
      <c r="AS30">
        <v>0.58697</v>
      </c>
      <c r="AT30">
        <v>0.58697</v>
      </c>
      <c r="AU30" t="s">
        <v>173</v>
      </c>
    </row>
    <row r="31" spans="1:47">
      <c r="A31" t="s">
        <v>51</v>
      </c>
      <c r="B31" t="s">
        <v>62</v>
      </c>
      <c r="C31" t="s">
        <v>177</v>
      </c>
      <c r="D31" t="s">
        <v>173</v>
      </c>
      <c r="E31" t="s">
        <v>173</v>
      </c>
      <c r="F31" t="s">
        <v>174</v>
      </c>
      <c r="G31" t="s">
        <v>175</v>
      </c>
      <c r="H31" t="s">
        <v>173</v>
      </c>
      <c r="I31" t="s">
        <v>173</v>
      </c>
      <c r="J31" t="s">
        <v>173</v>
      </c>
      <c r="K31" t="s">
        <v>173</v>
      </c>
      <c r="L31">
        <v>0.58697</v>
      </c>
      <c r="M31">
        <v>0.58697</v>
      </c>
      <c r="N31">
        <v>0.58697</v>
      </c>
      <c r="O31">
        <v>0.58697</v>
      </c>
      <c r="P31">
        <v>0.58697</v>
      </c>
      <c r="Q31">
        <v>0.58697</v>
      </c>
      <c r="R31">
        <v>0.58697</v>
      </c>
      <c r="S31">
        <v>0.58697</v>
      </c>
      <c r="T31">
        <v>0.58697</v>
      </c>
      <c r="U31">
        <v>0.58697</v>
      </c>
      <c r="V31">
        <v>0.58697</v>
      </c>
      <c r="W31">
        <v>0.58697</v>
      </c>
      <c r="X31">
        <v>0.58697</v>
      </c>
      <c r="Y31">
        <v>0.58697</v>
      </c>
      <c r="Z31">
        <v>0.58697</v>
      </c>
      <c r="AA31">
        <v>0.58697</v>
      </c>
      <c r="AB31">
        <v>0.58697</v>
      </c>
      <c r="AC31">
        <v>0.58697</v>
      </c>
      <c r="AD31">
        <v>0.58697</v>
      </c>
      <c r="AE31">
        <v>0.58697</v>
      </c>
      <c r="AF31">
        <v>0.58697</v>
      </c>
      <c r="AG31">
        <v>0.58697</v>
      </c>
      <c r="AH31">
        <v>0.58697</v>
      </c>
      <c r="AI31">
        <v>0.58697</v>
      </c>
      <c r="AJ31">
        <v>0.58697</v>
      </c>
      <c r="AK31">
        <v>0.58697</v>
      </c>
      <c r="AL31">
        <v>0.58697</v>
      </c>
      <c r="AM31">
        <v>0.58697</v>
      </c>
      <c r="AN31">
        <v>0.58697</v>
      </c>
      <c r="AO31">
        <v>0.58697</v>
      </c>
      <c r="AP31">
        <v>0.58697</v>
      </c>
      <c r="AQ31">
        <v>0.58697</v>
      </c>
      <c r="AR31">
        <v>0.58697</v>
      </c>
      <c r="AS31">
        <v>0.58697</v>
      </c>
      <c r="AT31">
        <v>0.58697</v>
      </c>
      <c r="AU31" t="s">
        <v>173</v>
      </c>
    </row>
    <row r="32" spans="1:47">
      <c r="A32" t="s">
        <v>51</v>
      </c>
      <c r="B32" t="s">
        <v>62</v>
      </c>
      <c r="C32" t="s">
        <v>108</v>
      </c>
      <c r="D32" t="s">
        <v>173</v>
      </c>
      <c r="E32" t="s">
        <v>173</v>
      </c>
      <c r="F32" t="s">
        <v>174</v>
      </c>
      <c r="G32" t="s">
        <v>175</v>
      </c>
      <c r="H32" t="s">
        <v>173</v>
      </c>
      <c r="I32" t="s">
        <v>173</v>
      </c>
      <c r="J32" t="s">
        <v>173</v>
      </c>
      <c r="K32" t="s">
        <v>173</v>
      </c>
      <c r="L32">
        <v>0.58697</v>
      </c>
      <c r="M32">
        <v>0.58697</v>
      </c>
      <c r="N32">
        <v>0.58697</v>
      </c>
      <c r="O32">
        <v>0.58697</v>
      </c>
      <c r="P32">
        <v>0.58697</v>
      </c>
      <c r="Q32">
        <v>0.58697</v>
      </c>
      <c r="R32">
        <v>0.58697</v>
      </c>
      <c r="S32">
        <v>0.58697</v>
      </c>
      <c r="T32">
        <v>0.58697</v>
      </c>
      <c r="U32">
        <v>0.58697</v>
      </c>
      <c r="V32">
        <v>0.58697</v>
      </c>
      <c r="W32">
        <v>0.58697</v>
      </c>
      <c r="X32">
        <v>0.58697</v>
      </c>
      <c r="Y32">
        <v>0.58697</v>
      </c>
      <c r="Z32">
        <v>0.58697</v>
      </c>
      <c r="AA32">
        <v>0.58697</v>
      </c>
      <c r="AB32">
        <v>0.58697</v>
      </c>
      <c r="AC32">
        <v>0.58697</v>
      </c>
      <c r="AD32">
        <v>0.58697</v>
      </c>
      <c r="AE32">
        <v>0.58697</v>
      </c>
      <c r="AF32">
        <v>0.58697</v>
      </c>
      <c r="AG32">
        <v>0.58697</v>
      </c>
      <c r="AH32">
        <v>0.58697</v>
      </c>
      <c r="AI32">
        <v>0.58697</v>
      </c>
      <c r="AJ32">
        <v>0.58697</v>
      </c>
      <c r="AK32">
        <v>0.58697</v>
      </c>
      <c r="AL32">
        <v>0.58697</v>
      </c>
      <c r="AM32">
        <v>0.58697</v>
      </c>
      <c r="AN32">
        <v>0.58697</v>
      </c>
      <c r="AO32">
        <v>0.58697</v>
      </c>
      <c r="AP32">
        <v>0.58697</v>
      </c>
      <c r="AQ32">
        <v>0.58697</v>
      </c>
      <c r="AR32">
        <v>0.58697</v>
      </c>
      <c r="AS32">
        <v>0.58697</v>
      </c>
      <c r="AT32">
        <v>0.58697</v>
      </c>
      <c r="AU32" t="s">
        <v>173</v>
      </c>
    </row>
    <row r="33" spans="1:47">
      <c r="A33" t="s">
        <v>51</v>
      </c>
      <c r="B33" t="s">
        <v>62</v>
      </c>
      <c r="C33" t="s">
        <v>178</v>
      </c>
      <c r="D33" t="s">
        <v>173</v>
      </c>
      <c r="E33" t="s">
        <v>173</v>
      </c>
      <c r="F33" t="s">
        <v>174</v>
      </c>
      <c r="G33" t="s">
        <v>175</v>
      </c>
      <c r="H33" t="s">
        <v>173</v>
      </c>
      <c r="I33" t="s">
        <v>173</v>
      </c>
      <c r="J33" t="s">
        <v>173</v>
      </c>
      <c r="K33" t="s">
        <v>173</v>
      </c>
      <c r="L33">
        <v>0.07207</v>
      </c>
      <c r="M33">
        <v>0.07207</v>
      </c>
      <c r="N33">
        <v>0.07207</v>
      </c>
      <c r="O33">
        <v>0.07207</v>
      </c>
      <c r="P33">
        <v>0.07207</v>
      </c>
      <c r="Q33">
        <v>0.07207</v>
      </c>
      <c r="R33">
        <v>0.07207</v>
      </c>
      <c r="S33">
        <v>0.07207</v>
      </c>
      <c r="T33">
        <v>0.07207</v>
      </c>
      <c r="U33">
        <v>0.07207</v>
      </c>
      <c r="V33">
        <v>0.07207</v>
      </c>
      <c r="W33">
        <v>0.07207</v>
      </c>
      <c r="X33">
        <v>0.07207</v>
      </c>
      <c r="Y33">
        <v>0.07207</v>
      </c>
      <c r="Z33">
        <v>0.07207</v>
      </c>
      <c r="AA33">
        <v>0.07207</v>
      </c>
      <c r="AB33">
        <v>0.07207</v>
      </c>
      <c r="AC33">
        <v>0.07207</v>
      </c>
      <c r="AD33">
        <v>0.07207</v>
      </c>
      <c r="AE33">
        <v>0.07207</v>
      </c>
      <c r="AF33">
        <v>0.07207</v>
      </c>
      <c r="AG33">
        <v>0.07207</v>
      </c>
      <c r="AH33">
        <v>0.07207</v>
      </c>
      <c r="AI33">
        <v>0.07207</v>
      </c>
      <c r="AJ33">
        <v>0.07207</v>
      </c>
      <c r="AK33">
        <v>0.07207</v>
      </c>
      <c r="AL33">
        <v>0.07207</v>
      </c>
      <c r="AM33">
        <v>0.07207</v>
      </c>
      <c r="AN33">
        <v>0.07207</v>
      </c>
      <c r="AO33">
        <v>0.07207</v>
      </c>
      <c r="AP33">
        <v>0.07207</v>
      </c>
      <c r="AQ33">
        <v>0.07207</v>
      </c>
      <c r="AR33">
        <v>0.07207</v>
      </c>
      <c r="AS33">
        <v>0.07207</v>
      </c>
      <c r="AT33">
        <v>0.07207</v>
      </c>
      <c r="AU33" t="s">
        <v>173</v>
      </c>
    </row>
    <row r="34" spans="1:47">
      <c r="A34" t="s">
        <v>51</v>
      </c>
      <c r="B34" t="s">
        <v>62</v>
      </c>
      <c r="C34" t="s">
        <v>109</v>
      </c>
      <c r="D34" t="s">
        <v>173</v>
      </c>
      <c r="E34" t="s">
        <v>173</v>
      </c>
      <c r="F34" t="s">
        <v>174</v>
      </c>
      <c r="G34" t="s">
        <v>175</v>
      </c>
      <c r="H34" t="s">
        <v>173</v>
      </c>
      <c r="I34" t="s">
        <v>173</v>
      </c>
      <c r="J34" t="s">
        <v>173</v>
      </c>
      <c r="K34" t="s">
        <v>173</v>
      </c>
      <c r="L34">
        <v>0.07207</v>
      </c>
      <c r="M34">
        <v>0.07207</v>
      </c>
      <c r="N34">
        <v>0.07207</v>
      </c>
      <c r="O34">
        <v>0.07207</v>
      </c>
      <c r="P34">
        <v>0.07207</v>
      </c>
      <c r="Q34">
        <v>0.07207</v>
      </c>
      <c r="R34">
        <v>0.07207</v>
      </c>
      <c r="S34">
        <v>0.07207</v>
      </c>
      <c r="T34">
        <v>0.07207</v>
      </c>
      <c r="U34">
        <v>0.07207</v>
      </c>
      <c r="V34">
        <v>0.07207</v>
      </c>
      <c r="W34">
        <v>0.07207</v>
      </c>
      <c r="X34">
        <v>0.07207</v>
      </c>
      <c r="Y34">
        <v>0.07207</v>
      </c>
      <c r="Z34">
        <v>0.07207</v>
      </c>
      <c r="AA34">
        <v>0.07207</v>
      </c>
      <c r="AB34">
        <v>0.07207</v>
      </c>
      <c r="AC34">
        <v>0.07207</v>
      </c>
      <c r="AD34">
        <v>0.07207</v>
      </c>
      <c r="AE34">
        <v>0.07207</v>
      </c>
      <c r="AF34">
        <v>0.07207</v>
      </c>
      <c r="AG34">
        <v>0.07207</v>
      </c>
      <c r="AH34">
        <v>0.07207</v>
      </c>
      <c r="AI34">
        <v>0.07207</v>
      </c>
      <c r="AJ34">
        <v>0.07207</v>
      </c>
      <c r="AK34">
        <v>0.07207</v>
      </c>
      <c r="AL34">
        <v>0.07207</v>
      </c>
      <c r="AM34">
        <v>0.07207</v>
      </c>
      <c r="AN34">
        <v>0.07207</v>
      </c>
      <c r="AO34">
        <v>0.07207</v>
      </c>
      <c r="AP34">
        <v>0.07207</v>
      </c>
      <c r="AQ34">
        <v>0.07207</v>
      </c>
      <c r="AR34">
        <v>0.07207</v>
      </c>
      <c r="AS34">
        <v>0.07207</v>
      </c>
      <c r="AT34">
        <v>0.07207</v>
      </c>
      <c r="AU34" t="s">
        <v>173</v>
      </c>
    </row>
    <row r="35" spans="1:47">
      <c r="A35" t="s">
        <v>51</v>
      </c>
      <c r="B35" t="s">
        <v>62</v>
      </c>
      <c r="C35" t="s">
        <v>179</v>
      </c>
      <c r="D35" t="s">
        <v>173</v>
      </c>
      <c r="E35" t="s">
        <v>173</v>
      </c>
      <c r="F35" t="s">
        <v>174</v>
      </c>
      <c r="G35" t="s">
        <v>175</v>
      </c>
      <c r="H35" t="s">
        <v>173</v>
      </c>
      <c r="I35" t="s">
        <v>173</v>
      </c>
      <c r="J35" t="s">
        <v>173</v>
      </c>
      <c r="K35" t="s">
        <v>173</v>
      </c>
      <c r="L35">
        <v>0.313</v>
      </c>
      <c r="M35">
        <v>0.313</v>
      </c>
      <c r="N35">
        <v>0.313</v>
      </c>
      <c r="O35">
        <v>0.313</v>
      </c>
      <c r="P35">
        <v>0.313</v>
      </c>
      <c r="Q35">
        <v>0.313</v>
      </c>
      <c r="R35">
        <v>0.313</v>
      </c>
      <c r="S35">
        <v>0.313</v>
      </c>
      <c r="T35">
        <v>0.313</v>
      </c>
      <c r="U35">
        <v>0.313</v>
      </c>
      <c r="V35">
        <v>0.313</v>
      </c>
      <c r="W35">
        <v>0.313</v>
      </c>
      <c r="X35">
        <v>0.313</v>
      </c>
      <c r="Y35">
        <v>0.313</v>
      </c>
      <c r="Z35">
        <v>0.313</v>
      </c>
      <c r="AA35">
        <v>0.313</v>
      </c>
      <c r="AB35">
        <v>0.313</v>
      </c>
      <c r="AC35">
        <v>0.313</v>
      </c>
      <c r="AD35">
        <v>0.313</v>
      </c>
      <c r="AE35">
        <v>0.313</v>
      </c>
      <c r="AF35">
        <v>0.313</v>
      </c>
      <c r="AG35">
        <v>0.313</v>
      </c>
      <c r="AH35">
        <v>0.313</v>
      </c>
      <c r="AI35">
        <v>0.313</v>
      </c>
      <c r="AJ35">
        <v>0.313</v>
      </c>
      <c r="AK35">
        <v>0.313</v>
      </c>
      <c r="AL35">
        <v>0.313</v>
      </c>
      <c r="AM35">
        <v>0.313</v>
      </c>
      <c r="AN35">
        <v>0.313</v>
      </c>
      <c r="AO35">
        <v>0.313</v>
      </c>
      <c r="AP35">
        <v>0.313</v>
      </c>
      <c r="AQ35">
        <v>0.313</v>
      </c>
      <c r="AR35">
        <v>0.313</v>
      </c>
      <c r="AS35">
        <v>0.313</v>
      </c>
      <c r="AT35">
        <v>0.313</v>
      </c>
      <c r="AU35" t="s">
        <v>173</v>
      </c>
    </row>
    <row r="36" spans="1:47">
      <c r="A36" t="s">
        <v>51</v>
      </c>
      <c r="B36" t="s">
        <v>62</v>
      </c>
      <c r="C36" t="s">
        <v>180</v>
      </c>
      <c r="D36" t="s">
        <v>173</v>
      </c>
      <c r="E36" t="s">
        <v>173</v>
      </c>
      <c r="F36" t="s">
        <v>174</v>
      </c>
      <c r="G36" t="s">
        <v>175</v>
      </c>
      <c r="H36" t="s">
        <v>173</v>
      </c>
      <c r="I36" t="s">
        <v>173</v>
      </c>
      <c r="J36" t="s">
        <v>173</v>
      </c>
      <c r="K36" t="s">
        <v>173</v>
      </c>
      <c r="L36">
        <v>0.08</v>
      </c>
      <c r="M36">
        <v>0.08</v>
      </c>
      <c r="N36">
        <v>0.08</v>
      </c>
      <c r="O36">
        <v>0.08</v>
      </c>
      <c r="P36">
        <v>0.08</v>
      </c>
      <c r="Q36">
        <v>0.08</v>
      </c>
      <c r="R36">
        <v>0.08</v>
      </c>
      <c r="S36">
        <v>0.08</v>
      </c>
      <c r="T36">
        <v>0.08</v>
      </c>
      <c r="U36">
        <v>0.08</v>
      </c>
      <c r="V36">
        <v>0.08</v>
      </c>
      <c r="W36">
        <v>0.08</v>
      </c>
      <c r="X36">
        <v>0.08</v>
      </c>
      <c r="Y36">
        <v>0.08</v>
      </c>
      <c r="Z36">
        <v>0.08</v>
      </c>
      <c r="AA36">
        <v>0.08</v>
      </c>
      <c r="AB36">
        <v>0.08</v>
      </c>
      <c r="AC36">
        <v>0.08</v>
      </c>
      <c r="AD36">
        <v>0.08</v>
      </c>
      <c r="AE36">
        <v>0.08</v>
      </c>
      <c r="AF36">
        <v>0.08</v>
      </c>
      <c r="AG36">
        <v>0.08</v>
      </c>
      <c r="AH36">
        <v>0.08</v>
      </c>
      <c r="AI36">
        <v>0.08</v>
      </c>
      <c r="AJ36">
        <v>0.08</v>
      </c>
      <c r="AK36">
        <v>0.08</v>
      </c>
      <c r="AL36">
        <v>0.08</v>
      </c>
      <c r="AM36">
        <v>0.08</v>
      </c>
      <c r="AN36">
        <v>0.08</v>
      </c>
      <c r="AO36">
        <v>0.08</v>
      </c>
      <c r="AP36">
        <v>0.08</v>
      </c>
      <c r="AQ36">
        <v>0.08</v>
      </c>
      <c r="AR36">
        <v>0.08</v>
      </c>
      <c r="AS36">
        <v>0.08</v>
      </c>
      <c r="AT36">
        <v>0.08</v>
      </c>
      <c r="AU36" t="s">
        <v>173</v>
      </c>
    </row>
    <row r="37" spans="1:47">
      <c r="A37" t="s">
        <v>51</v>
      </c>
      <c r="B37" t="s">
        <v>62</v>
      </c>
      <c r="C37" t="s">
        <v>181</v>
      </c>
      <c r="D37" t="s">
        <v>173</v>
      </c>
      <c r="E37" t="s">
        <v>173</v>
      </c>
      <c r="F37" t="s">
        <v>174</v>
      </c>
      <c r="G37" t="s">
        <v>175</v>
      </c>
      <c r="H37" t="s">
        <v>173</v>
      </c>
      <c r="I37" t="s">
        <v>173</v>
      </c>
      <c r="J37" t="s">
        <v>173</v>
      </c>
      <c r="K37" t="s">
        <v>173</v>
      </c>
      <c r="L37">
        <v>0.08</v>
      </c>
      <c r="M37">
        <v>0.08</v>
      </c>
      <c r="N37">
        <v>0.08</v>
      </c>
      <c r="O37">
        <v>0.08</v>
      </c>
      <c r="P37">
        <v>0.08</v>
      </c>
      <c r="Q37">
        <v>0.08</v>
      </c>
      <c r="R37">
        <v>0.08</v>
      </c>
      <c r="S37">
        <v>0.08</v>
      </c>
      <c r="T37">
        <v>0.08</v>
      </c>
      <c r="U37">
        <v>0.08</v>
      </c>
      <c r="V37">
        <v>0.08</v>
      </c>
      <c r="W37">
        <v>0.08</v>
      </c>
      <c r="X37">
        <v>0.08</v>
      </c>
      <c r="Y37">
        <v>0.08</v>
      </c>
      <c r="Z37">
        <v>0.08</v>
      </c>
      <c r="AA37">
        <v>0.08</v>
      </c>
      <c r="AB37">
        <v>0.08</v>
      </c>
      <c r="AC37">
        <v>0.08</v>
      </c>
      <c r="AD37">
        <v>0.08</v>
      </c>
      <c r="AE37">
        <v>0.08</v>
      </c>
      <c r="AF37">
        <v>0.08</v>
      </c>
      <c r="AG37">
        <v>0.08</v>
      </c>
      <c r="AH37">
        <v>0.08</v>
      </c>
      <c r="AI37">
        <v>0.08</v>
      </c>
      <c r="AJ37">
        <v>0.08</v>
      </c>
      <c r="AK37">
        <v>0.08</v>
      </c>
      <c r="AL37">
        <v>0.08</v>
      </c>
      <c r="AM37">
        <v>0.08</v>
      </c>
      <c r="AN37">
        <v>0.08</v>
      </c>
      <c r="AO37">
        <v>0.08</v>
      </c>
      <c r="AP37">
        <v>0.08</v>
      </c>
      <c r="AQ37">
        <v>0.08</v>
      </c>
      <c r="AR37">
        <v>0.08</v>
      </c>
      <c r="AS37">
        <v>0.08</v>
      </c>
      <c r="AT37">
        <v>0.08</v>
      </c>
      <c r="AU37" t="s">
        <v>173</v>
      </c>
    </row>
    <row r="38" spans="1:47">
      <c r="A38" t="s">
        <v>51</v>
      </c>
      <c r="B38" t="s">
        <v>62</v>
      </c>
      <c r="C38" t="s">
        <v>182</v>
      </c>
      <c r="D38" t="s">
        <v>173</v>
      </c>
      <c r="E38" t="s">
        <v>173</v>
      </c>
      <c r="F38" t="s">
        <v>174</v>
      </c>
      <c r="G38" t="s">
        <v>175</v>
      </c>
      <c r="H38" t="s">
        <v>173</v>
      </c>
      <c r="I38" t="s">
        <v>173</v>
      </c>
      <c r="J38" t="s">
        <v>173</v>
      </c>
      <c r="K38" t="s">
        <v>173</v>
      </c>
      <c r="L38">
        <v>0.076</v>
      </c>
      <c r="M38">
        <v>0.076</v>
      </c>
      <c r="N38">
        <v>0.076</v>
      </c>
      <c r="O38">
        <v>0.076</v>
      </c>
      <c r="P38">
        <v>0.076</v>
      </c>
      <c r="Q38">
        <v>0.076</v>
      </c>
      <c r="R38">
        <v>0.076</v>
      </c>
      <c r="S38">
        <v>0.076</v>
      </c>
      <c r="T38">
        <v>0.076</v>
      </c>
      <c r="U38">
        <v>0.076</v>
      </c>
      <c r="V38">
        <v>0.076</v>
      </c>
      <c r="W38">
        <v>0.076</v>
      </c>
      <c r="X38">
        <v>0.076</v>
      </c>
      <c r="Y38">
        <v>0.076</v>
      </c>
      <c r="Z38">
        <v>0.076</v>
      </c>
      <c r="AA38">
        <v>0.076</v>
      </c>
      <c r="AB38">
        <v>0.076</v>
      </c>
      <c r="AC38">
        <v>0.076</v>
      </c>
      <c r="AD38">
        <v>0.076</v>
      </c>
      <c r="AE38">
        <v>0.076</v>
      </c>
      <c r="AF38">
        <v>0.076</v>
      </c>
      <c r="AG38">
        <v>0.076</v>
      </c>
      <c r="AH38">
        <v>0.076</v>
      </c>
      <c r="AI38">
        <v>0.076</v>
      </c>
      <c r="AJ38">
        <v>0.076</v>
      </c>
      <c r="AK38">
        <v>0.076</v>
      </c>
      <c r="AL38">
        <v>0.076</v>
      </c>
      <c r="AM38">
        <v>0.076</v>
      </c>
      <c r="AN38">
        <v>0.076</v>
      </c>
      <c r="AO38">
        <v>0.076</v>
      </c>
      <c r="AP38">
        <v>0.076</v>
      </c>
      <c r="AQ38">
        <v>0.076</v>
      </c>
      <c r="AR38">
        <v>0.076</v>
      </c>
      <c r="AS38">
        <v>0.076</v>
      </c>
      <c r="AT38">
        <v>0.076</v>
      </c>
      <c r="AU38" t="s">
        <v>173</v>
      </c>
    </row>
    <row r="39" spans="1:47">
      <c r="A39" t="s">
        <v>51</v>
      </c>
      <c r="B39" t="s">
        <v>62</v>
      </c>
      <c r="C39" t="s">
        <v>183</v>
      </c>
      <c r="D39" t="s">
        <v>173</v>
      </c>
      <c r="E39" t="s">
        <v>173</v>
      </c>
      <c r="F39" t="s">
        <v>174</v>
      </c>
      <c r="G39" t="s">
        <v>175</v>
      </c>
      <c r="H39" t="s">
        <v>173</v>
      </c>
      <c r="I39" t="s">
        <v>173</v>
      </c>
      <c r="J39" t="s">
        <v>173</v>
      </c>
      <c r="K39" t="s">
        <v>173</v>
      </c>
      <c r="L39">
        <v>0.0612</v>
      </c>
      <c r="M39">
        <v>0.0612</v>
      </c>
      <c r="N39">
        <v>0.0612</v>
      </c>
      <c r="O39">
        <v>0.0612</v>
      </c>
      <c r="P39">
        <v>0.0612</v>
      </c>
      <c r="Q39">
        <v>0.0612</v>
      </c>
      <c r="R39">
        <v>0.0612</v>
      </c>
      <c r="S39">
        <v>0.0612</v>
      </c>
      <c r="T39">
        <v>0.0612</v>
      </c>
      <c r="U39">
        <v>0.0612</v>
      </c>
      <c r="V39">
        <v>0.0612</v>
      </c>
      <c r="W39">
        <v>0.0612</v>
      </c>
      <c r="X39">
        <v>0.0612</v>
      </c>
      <c r="Y39">
        <v>0.0612</v>
      </c>
      <c r="Z39">
        <v>0.0612</v>
      </c>
      <c r="AA39">
        <v>0.0612</v>
      </c>
      <c r="AB39">
        <v>0.0612</v>
      </c>
      <c r="AC39">
        <v>0.0612</v>
      </c>
      <c r="AD39">
        <v>0.0612</v>
      </c>
      <c r="AE39">
        <v>0.0612</v>
      </c>
      <c r="AF39">
        <v>0.0612</v>
      </c>
      <c r="AG39">
        <v>0.0612</v>
      </c>
      <c r="AH39">
        <v>0.0612</v>
      </c>
      <c r="AI39">
        <v>0.0612</v>
      </c>
      <c r="AJ39">
        <v>0.0612</v>
      </c>
      <c r="AK39">
        <v>0.0612</v>
      </c>
      <c r="AL39">
        <v>0.0612</v>
      </c>
      <c r="AM39">
        <v>0.0612</v>
      </c>
      <c r="AN39">
        <v>0.0612</v>
      </c>
      <c r="AO39">
        <v>0.0612</v>
      </c>
      <c r="AP39">
        <v>0.0612</v>
      </c>
      <c r="AQ39">
        <v>0.0612</v>
      </c>
      <c r="AR39">
        <v>0.0612</v>
      </c>
      <c r="AS39">
        <v>0.0612</v>
      </c>
      <c r="AT39">
        <v>0.0612</v>
      </c>
      <c r="AU39" t="s">
        <v>173</v>
      </c>
    </row>
    <row r="40" spans="1:47">
      <c r="A40" t="s">
        <v>51</v>
      </c>
      <c r="B40" t="s">
        <v>62</v>
      </c>
      <c r="C40" t="s">
        <v>184</v>
      </c>
      <c r="D40" t="s">
        <v>173</v>
      </c>
      <c r="E40" t="s">
        <v>173</v>
      </c>
      <c r="F40" t="s">
        <v>174</v>
      </c>
      <c r="G40" t="s">
        <v>175</v>
      </c>
      <c r="H40" t="s">
        <v>173</v>
      </c>
      <c r="I40" t="s">
        <v>173</v>
      </c>
      <c r="J40" t="s">
        <v>173</v>
      </c>
      <c r="K40" t="s">
        <v>173</v>
      </c>
      <c r="L40">
        <v>0.527722806887128</v>
      </c>
      <c r="M40">
        <v>0.527722806887128</v>
      </c>
      <c r="N40">
        <v>0.527722806887128</v>
      </c>
      <c r="O40">
        <v>0.527722806887128</v>
      </c>
      <c r="P40">
        <v>0.527722806887128</v>
      </c>
      <c r="Q40">
        <v>0.527722806887128</v>
      </c>
      <c r="R40">
        <v>0.527722806887128</v>
      </c>
      <c r="S40">
        <v>0.527722806887128</v>
      </c>
      <c r="T40">
        <v>0.527722806887128</v>
      </c>
      <c r="U40">
        <v>0.527722806887128</v>
      </c>
      <c r="V40">
        <v>0.527722806887128</v>
      </c>
      <c r="W40">
        <v>0.527722806887128</v>
      </c>
      <c r="X40">
        <v>0.527722806887128</v>
      </c>
      <c r="Y40">
        <v>0.527722806887128</v>
      </c>
      <c r="Z40">
        <v>0.527722806887128</v>
      </c>
      <c r="AA40">
        <v>0.527722806887128</v>
      </c>
      <c r="AB40">
        <v>0.527722806887128</v>
      </c>
      <c r="AC40">
        <v>0.527722806887128</v>
      </c>
      <c r="AD40">
        <v>0.527722806887128</v>
      </c>
      <c r="AE40">
        <v>0.527722806887128</v>
      </c>
      <c r="AF40">
        <v>0.527722806887128</v>
      </c>
      <c r="AG40">
        <v>0.316633684132277</v>
      </c>
      <c r="AH40">
        <v>0.527722806887128</v>
      </c>
      <c r="AI40">
        <v>0.527722806887128</v>
      </c>
      <c r="AJ40">
        <v>0.527722806887128</v>
      </c>
      <c r="AK40">
        <v>0.527722806887128</v>
      </c>
      <c r="AL40">
        <v>0.527722806887128</v>
      </c>
      <c r="AM40">
        <v>0.527722806887128</v>
      </c>
      <c r="AN40">
        <v>0.527722806887128</v>
      </c>
      <c r="AO40">
        <v>0.527722806887128</v>
      </c>
      <c r="AP40">
        <v>0.527722806887128</v>
      </c>
      <c r="AQ40">
        <v>0.527722806887128</v>
      </c>
      <c r="AR40">
        <v>0.527722806887128</v>
      </c>
      <c r="AS40">
        <v>0.527722806887128</v>
      </c>
      <c r="AT40">
        <v>0.527722806887128</v>
      </c>
      <c r="AU40" t="s">
        <v>173</v>
      </c>
    </row>
    <row r="41" spans="1:47">
      <c r="A41" t="s">
        <v>51</v>
      </c>
      <c r="B41" t="s">
        <v>62</v>
      </c>
      <c r="C41" t="s">
        <v>185</v>
      </c>
      <c r="D41" t="s">
        <v>173</v>
      </c>
      <c r="E41" t="s">
        <v>173</v>
      </c>
      <c r="F41" t="s">
        <v>174</v>
      </c>
      <c r="G41" t="s">
        <v>175</v>
      </c>
      <c r="H41" t="s">
        <v>173</v>
      </c>
      <c r="I41" t="s">
        <v>173</v>
      </c>
      <c r="J41" t="s">
        <v>173</v>
      </c>
      <c r="K41" t="s">
        <v>173</v>
      </c>
      <c r="L41">
        <v>0.527722806887128</v>
      </c>
      <c r="M41">
        <v>0.527722806887128</v>
      </c>
      <c r="N41">
        <v>0.527722806887128</v>
      </c>
      <c r="O41">
        <v>0.527722806887128</v>
      </c>
      <c r="P41">
        <v>0.527722806887128</v>
      </c>
      <c r="Q41">
        <v>0.527722806887128</v>
      </c>
      <c r="R41">
        <v>0.527722806887128</v>
      </c>
      <c r="S41">
        <v>0.527722806887128</v>
      </c>
      <c r="T41">
        <v>0.527722806887128</v>
      </c>
      <c r="U41">
        <v>0.527722806887128</v>
      </c>
      <c r="V41">
        <v>0.527722806887128</v>
      </c>
      <c r="W41">
        <v>0.527722806887128</v>
      </c>
      <c r="X41">
        <v>0.527722806887128</v>
      </c>
      <c r="Y41">
        <v>0.527722806887128</v>
      </c>
      <c r="Z41">
        <v>0.527722806887128</v>
      </c>
      <c r="AA41">
        <v>0.527722806887128</v>
      </c>
      <c r="AB41">
        <v>0.527722806887128</v>
      </c>
      <c r="AC41">
        <v>0.527722806887128</v>
      </c>
      <c r="AD41">
        <v>0.527722806887128</v>
      </c>
      <c r="AE41">
        <v>0.527722806887128</v>
      </c>
      <c r="AF41">
        <v>0.527722806887128</v>
      </c>
      <c r="AG41">
        <v>0.316633684132277</v>
      </c>
      <c r="AH41">
        <v>0.527722806887128</v>
      </c>
      <c r="AI41">
        <v>0.527722806887128</v>
      </c>
      <c r="AJ41">
        <v>0.527722806887128</v>
      </c>
      <c r="AK41">
        <v>0.527722806887128</v>
      </c>
      <c r="AL41">
        <v>0.527722806887128</v>
      </c>
      <c r="AM41">
        <v>0.527722806887128</v>
      </c>
      <c r="AN41">
        <v>0.527722806887128</v>
      </c>
      <c r="AO41">
        <v>0.527722806887128</v>
      </c>
      <c r="AP41">
        <v>0.527722806887128</v>
      </c>
      <c r="AQ41">
        <v>0.527722806887128</v>
      </c>
      <c r="AR41">
        <v>0.527722806887128</v>
      </c>
      <c r="AS41">
        <v>0.527722806887128</v>
      </c>
      <c r="AT41">
        <v>0.527722806887128</v>
      </c>
      <c r="AU41" t="s">
        <v>173</v>
      </c>
    </row>
    <row r="42" spans="1:47">
      <c r="A42" t="s">
        <v>51</v>
      </c>
      <c r="B42" t="s">
        <v>62</v>
      </c>
      <c r="C42" t="s">
        <v>186</v>
      </c>
      <c r="D42" t="s">
        <v>173</v>
      </c>
      <c r="E42" t="s">
        <v>173</v>
      </c>
      <c r="F42" t="s">
        <v>174</v>
      </c>
      <c r="G42" t="s">
        <v>175</v>
      </c>
      <c r="H42" t="s">
        <v>173</v>
      </c>
      <c r="I42" t="s">
        <v>173</v>
      </c>
      <c r="J42" t="s">
        <v>173</v>
      </c>
      <c r="K42" t="s">
        <v>173</v>
      </c>
      <c r="L42">
        <v>0.932105736023111</v>
      </c>
      <c r="M42">
        <v>0.932105736023111</v>
      </c>
      <c r="N42">
        <v>0.932105736023111</v>
      </c>
      <c r="O42">
        <v>0.932105736023111</v>
      </c>
      <c r="P42">
        <v>0.932105736023111</v>
      </c>
      <c r="Q42">
        <v>0.932105736023111</v>
      </c>
      <c r="R42">
        <v>0.932105736023111</v>
      </c>
      <c r="S42">
        <v>0.932105736023111</v>
      </c>
      <c r="T42">
        <v>0.932105736023111</v>
      </c>
      <c r="U42">
        <v>0.932105736023111</v>
      </c>
      <c r="V42">
        <v>0.932105736023111</v>
      </c>
      <c r="W42">
        <v>0.932105736023111</v>
      </c>
      <c r="X42">
        <v>0.932105736023111</v>
      </c>
      <c r="Y42">
        <v>0.932105736023111</v>
      </c>
      <c r="Z42">
        <v>0.932105736023111</v>
      </c>
      <c r="AA42">
        <v>0.932105736023111</v>
      </c>
      <c r="AB42">
        <v>0.932105736023111</v>
      </c>
      <c r="AC42">
        <v>0.932105736023111</v>
      </c>
      <c r="AD42">
        <v>0.932105736023111</v>
      </c>
      <c r="AE42">
        <v>0.932105736023111</v>
      </c>
      <c r="AF42">
        <v>0.932105736023111</v>
      </c>
      <c r="AG42">
        <v>0.559263441613867</v>
      </c>
      <c r="AH42">
        <v>0.932105736023111</v>
      </c>
      <c r="AI42">
        <v>0.932105736023111</v>
      </c>
      <c r="AJ42">
        <v>0.932105736023111</v>
      </c>
      <c r="AK42">
        <v>0.932105736023111</v>
      </c>
      <c r="AL42">
        <v>0.932105736023111</v>
      </c>
      <c r="AM42">
        <v>0.932105736023111</v>
      </c>
      <c r="AN42">
        <v>0.932105736023111</v>
      </c>
      <c r="AO42">
        <v>0.932105736023111</v>
      </c>
      <c r="AP42">
        <v>0.932105736023111</v>
      </c>
      <c r="AQ42">
        <v>0.932105736023111</v>
      </c>
      <c r="AR42">
        <v>0.932105736023111</v>
      </c>
      <c r="AS42">
        <v>0.932105736023111</v>
      </c>
      <c r="AT42">
        <v>0.932105736023111</v>
      </c>
      <c r="AU42" t="s">
        <v>173</v>
      </c>
    </row>
    <row r="43" spans="1:47">
      <c r="A43" t="s">
        <v>51</v>
      </c>
      <c r="B43" t="s">
        <v>62</v>
      </c>
      <c r="C43" t="s">
        <v>187</v>
      </c>
      <c r="D43" t="s">
        <v>173</v>
      </c>
      <c r="E43" t="s">
        <v>173</v>
      </c>
      <c r="F43" t="s">
        <v>174</v>
      </c>
      <c r="G43" t="s">
        <v>175</v>
      </c>
      <c r="H43" t="s">
        <v>173</v>
      </c>
      <c r="I43" t="s">
        <v>173</v>
      </c>
      <c r="J43" t="s">
        <v>173</v>
      </c>
      <c r="K43" t="s">
        <v>173</v>
      </c>
      <c r="L43">
        <v>0.466052868011556</v>
      </c>
      <c r="M43">
        <v>0.466052868011556</v>
      </c>
      <c r="N43">
        <v>0.466052868011556</v>
      </c>
      <c r="O43">
        <v>0.466052868011556</v>
      </c>
      <c r="P43">
        <v>0.466052868011556</v>
      </c>
      <c r="Q43">
        <v>0.466052868011556</v>
      </c>
      <c r="R43">
        <v>0.466052868011556</v>
      </c>
      <c r="S43">
        <v>0.466052868011556</v>
      </c>
      <c r="T43">
        <v>0.466052868011556</v>
      </c>
      <c r="U43">
        <v>0.466052868011556</v>
      </c>
      <c r="V43">
        <v>0.466052868011556</v>
      </c>
      <c r="W43">
        <v>0.466052868011556</v>
      </c>
      <c r="X43">
        <v>0.466052868011556</v>
      </c>
      <c r="Y43">
        <v>0.466052868011556</v>
      </c>
      <c r="Z43">
        <v>0.466052868011556</v>
      </c>
      <c r="AA43">
        <v>0.466052868011556</v>
      </c>
      <c r="AB43">
        <v>0.466052868011556</v>
      </c>
      <c r="AC43">
        <v>0.466052868011556</v>
      </c>
      <c r="AD43">
        <v>0.466052868011556</v>
      </c>
      <c r="AE43">
        <v>0.466052868011556</v>
      </c>
      <c r="AF43">
        <v>0.466052868011556</v>
      </c>
      <c r="AG43">
        <v>0.279631720806933</v>
      </c>
      <c r="AH43">
        <v>0.466052868011556</v>
      </c>
      <c r="AI43">
        <v>0.466052868011556</v>
      </c>
      <c r="AJ43">
        <v>0.466052868011556</v>
      </c>
      <c r="AK43">
        <v>0.466052868011556</v>
      </c>
      <c r="AL43">
        <v>0.466052868011556</v>
      </c>
      <c r="AM43">
        <v>0.466052868011556</v>
      </c>
      <c r="AN43">
        <v>0.466052868011556</v>
      </c>
      <c r="AO43">
        <v>0.466052868011556</v>
      </c>
      <c r="AP43">
        <v>0.466052868011556</v>
      </c>
      <c r="AQ43">
        <v>0.466052868011556</v>
      </c>
      <c r="AR43">
        <v>0.466052868011556</v>
      </c>
      <c r="AS43">
        <v>0.466052868011556</v>
      </c>
      <c r="AT43">
        <v>0.466052868011556</v>
      </c>
      <c r="AU43" t="s">
        <v>173</v>
      </c>
    </row>
    <row r="44" spans="1:47">
      <c r="A44" t="s">
        <v>51</v>
      </c>
      <c r="B44" t="s">
        <v>62</v>
      </c>
      <c r="C44" t="s">
        <v>110</v>
      </c>
      <c r="D44" t="s">
        <v>173</v>
      </c>
      <c r="E44" t="s">
        <v>173</v>
      </c>
      <c r="F44" t="s">
        <v>174</v>
      </c>
      <c r="G44" t="s">
        <v>175</v>
      </c>
      <c r="H44" t="s">
        <v>173</v>
      </c>
      <c r="I44" t="s">
        <v>173</v>
      </c>
      <c r="J44" t="s">
        <v>173</v>
      </c>
      <c r="K44" t="s">
        <v>173</v>
      </c>
      <c r="L44">
        <v>0.466052868011556</v>
      </c>
      <c r="M44">
        <v>0.466052868011556</v>
      </c>
      <c r="N44">
        <v>0.466052868011556</v>
      </c>
      <c r="O44">
        <v>0.466052868011556</v>
      </c>
      <c r="P44">
        <v>0.466052868011556</v>
      </c>
      <c r="Q44">
        <v>0.466052868011556</v>
      </c>
      <c r="R44">
        <v>0.466052868011556</v>
      </c>
      <c r="S44">
        <v>0.466052868011556</v>
      </c>
      <c r="T44">
        <v>0.466052868011556</v>
      </c>
      <c r="U44">
        <v>0.466052868011556</v>
      </c>
      <c r="V44">
        <v>0.466052868011556</v>
      </c>
      <c r="W44">
        <v>0.466052868011556</v>
      </c>
      <c r="X44">
        <v>0.466052868011556</v>
      </c>
      <c r="Y44">
        <v>0.466052868011556</v>
      </c>
      <c r="Z44">
        <v>0.466052868011556</v>
      </c>
      <c r="AA44">
        <v>0.466052868011556</v>
      </c>
      <c r="AB44">
        <v>0.466052868011556</v>
      </c>
      <c r="AC44">
        <v>0.466052868011556</v>
      </c>
      <c r="AD44">
        <v>0.466052868011556</v>
      </c>
      <c r="AE44">
        <v>0.466052868011556</v>
      </c>
      <c r="AF44">
        <v>0.466052868011556</v>
      </c>
      <c r="AG44">
        <v>0.279631720806933</v>
      </c>
      <c r="AH44">
        <v>0.466052868011556</v>
      </c>
      <c r="AI44">
        <v>0.466052868011556</v>
      </c>
      <c r="AJ44">
        <v>0.466052868011556</v>
      </c>
      <c r="AK44">
        <v>0.466052868011556</v>
      </c>
      <c r="AL44">
        <v>0.466052868011556</v>
      </c>
      <c r="AM44">
        <v>0.466052868011556</v>
      </c>
      <c r="AN44">
        <v>0.466052868011556</v>
      </c>
      <c r="AO44">
        <v>0.466052868011556</v>
      </c>
      <c r="AP44">
        <v>0.466052868011556</v>
      </c>
      <c r="AQ44">
        <v>0.466052868011556</v>
      </c>
      <c r="AR44">
        <v>0.466052868011556</v>
      </c>
      <c r="AS44">
        <v>0.466052868011556</v>
      </c>
      <c r="AT44">
        <v>0.466052868011556</v>
      </c>
      <c r="AU44" t="s">
        <v>173</v>
      </c>
    </row>
    <row r="45" spans="1:47">
      <c r="A45" t="s">
        <v>51</v>
      </c>
      <c r="B45" t="s">
        <v>62</v>
      </c>
      <c r="C45" t="s">
        <v>188</v>
      </c>
      <c r="D45" t="s">
        <v>173</v>
      </c>
      <c r="E45" t="s">
        <v>173</v>
      </c>
      <c r="F45" t="s">
        <v>174</v>
      </c>
      <c r="G45" t="s">
        <v>175</v>
      </c>
      <c r="H45" t="s">
        <v>173</v>
      </c>
      <c r="I45" t="s">
        <v>173</v>
      </c>
      <c r="J45" t="s">
        <v>173</v>
      </c>
      <c r="K45" t="s">
        <v>173</v>
      </c>
      <c r="L45">
        <v>0.475531491178995</v>
      </c>
      <c r="M45">
        <v>0.475531491178995</v>
      </c>
      <c r="N45">
        <v>0.475531491178995</v>
      </c>
      <c r="O45">
        <v>0.475531491178995</v>
      </c>
      <c r="P45">
        <v>0.475531491178995</v>
      </c>
      <c r="Q45">
        <v>0.475531491178995</v>
      </c>
      <c r="R45">
        <v>0.475531491178995</v>
      </c>
      <c r="S45">
        <v>0.475531491178995</v>
      </c>
      <c r="T45">
        <v>0.475531491178995</v>
      </c>
      <c r="U45">
        <v>0.475531491178995</v>
      </c>
      <c r="V45">
        <v>0.475531491178995</v>
      </c>
      <c r="W45">
        <v>0.475531491178995</v>
      </c>
      <c r="X45">
        <v>0.475531491178995</v>
      </c>
      <c r="Y45">
        <v>0.475531491178995</v>
      </c>
      <c r="Z45">
        <v>0.475531491178995</v>
      </c>
      <c r="AA45">
        <v>0.475531491178995</v>
      </c>
      <c r="AB45">
        <v>0.475531491178995</v>
      </c>
      <c r="AC45">
        <v>0.475531491178995</v>
      </c>
      <c r="AD45">
        <v>0.475531491178995</v>
      </c>
      <c r="AE45">
        <v>0.475531491178995</v>
      </c>
      <c r="AF45">
        <v>0.475531491178995</v>
      </c>
      <c r="AG45">
        <v>0.285318894707397</v>
      </c>
      <c r="AH45">
        <v>0.475531491178995</v>
      </c>
      <c r="AI45">
        <v>0.475531491178995</v>
      </c>
      <c r="AJ45">
        <v>0.475531491178995</v>
      </c>
      <c r="AK45">
        <v>0.475531491178995</v>
      </c>
      <c r="AL45">
        <v>0.475531491178995</v>
      </c>
      <c r="AM45">
        <v>0.475531491178995</v>
      </c>
      <c r="AN45">
        <v>0.475531491178995</v>
      </c>
      <c r="AO45">
        <v>0.475531491178995</v>
      </c>
      <c r="AP45">
        <v>0.475531491178995</v>
      </c>
      <c r="AQ45">
        <v>0.475531491178995</v>
      </c>
      <c r="AR45">
        <v>0.475531491178995</v>
      </c>
      <c r="AS45">
        <v>0.475531491178995</v>
      </c>
      <c r="AT45">
        <v>0.475531491178995</v>
      </c>
      <c r="AU45" t="s">
        <v>173</v>
      </c>
    </row>
    <row r="46" spans="1:47">
      <c r="A46" t="s">
        <v>51</v>
      </c>
      <c r="B46" t="s">
        <v>62</v>
      </c>
      <c r="C46" t="s">
        <v>189</v>
      </c>
      <c r="D46" t="s">
        <v>173</v>
      </c>
      <c r="E46" t="s">
        <v>173</v>
      </c>
      <c r="F46" t="s">
        <v>174</v>
      </c>
      <c r="G46" t="s">
        <v>175</v>
      </c>
      <c r="H46" t="s">
        <v>173</v>
      </c>
      <c r="I46" t="s">
        <v>173</v>
      </c>
      <c r="J46" t="s">
        <v>173</v>
      </c>
      <c r="K46" t="s">
        <v>173</v>
      </c>
      <c r="L46">
        <v>0.429345439465179</v>
      </c>
      <c r="M46">
        <v>0.429345439465179</v>
      </c>
      <c r="N46">
        <v>0.429345439465179</v>
      </c>
      <c r="O46">
        <v>0.429345439465179</v>
      </c>
      <c r="P46">
        <v>0.429345439465179</v>
      </c>
      <c r="Q46">
        <v>0.429345439465179</v>
      </c>
      <c r="R46">
        <v>0.429345439465179</v>
      </c>
      <c r="S46">
        <v>0.429345439465179</v>
      </c>
      <c r="T46">
        <v>0.429345439465179</v>
      </c>
      <c r="U46">
        <v>0.429345439465179</v>
      </c>
      <c r="V46">
        <v>0.429345439465179</v>
      </c>
      <c r="W46">
        <v>0.429345439465179</v>
      </c>
      <c r="X46">
        <v>0.429345439465179</v>
      </c>
      <c r="Y46">
        <v>0.429345439465179</v>
      </c>
      <c r="Z46">
        <v>0.429345439465179</v>
      </c>
      <c r="AA46">
        <v>0.429345439465179</v>
      </c>
      <c r="AB46">
        <v>0.429345439465179</v>
      </c>
      <c r="AC46">
        <v>0.429345439465179</v>
      </c>
      <c r="AD46">
        <v>0.429345439465179</v>
      </c>
      <c r="AE46">
        <v>0.429345439465179</v>
      </c>
      <c r="AF46">
        <v>0.429345439465179</v>
      </c>
      <c r="AG46">
        <v>0.257607263679107</v>
      </c>
      <c r="AH46">
        <v>0.429345439465179</v>
      </c>
      <c r="AI46">
        <v>0.429345439465179</v>
      </c>
      <c r="AJ46">
        <v>0.429345439465179</v>
      </c>
      <c r="AK46">
        <v>0.429345439465179</v>
      </c>
      <c r="AL46">
        <v>0.429345439465179</v>
      </c>
      <c r="AM46">
        <v>0.429345439465179</v>
      </c>
      <c r="AN46">
        <v>0.429345439465179</v>
      </c>
      <c r="AO46">
        <v>0.429345439465179</v>
      </c>
      <c r="AP46">
        <v>0.429345439465179</v>
      </c>
      <c r="AQ46">
        <v>0.429345439465179</v>
      </c>
      <c r="AR46">
        <v>0.429345439465179</v>
      </c>
      <c r="AS46">
        <v>0.429345439465179</v>
      </c>
      <c r="AT46">
        <v>0.429345439465179</v>
      </c>
      <c r="AU46" t="s">
        <v>173</v>
      </c>
    </row>
    <row r="47" spans="1:47">
      <c r="A47" t="s">
        <v>51</v>
      </c>
      <c r="B47" t="s">
        <v>62</v>
      </c>
      <c r="C47" t="s">
        <v>190</v>
      </c>
      <c r="D47" t="s">
        <v>173</v>
      </c>
      <c r="E47" t="s">
        <v>173</v>
      </c>
      <c r="F47" t="s">
        <v>174</v>
      </c>
      <c r="G47" t="s">
        <v>175</v>
      </c>
      <c r="H47" t="s">
        <v>173</v>
      </c>
      <c r="I47" t="s">
        <v>173</v>
      </c>
      <c r="J47" t="s">
        <v>173</v>
      </c>
      <c r="K47" t="s">
        <v>173</v>
      </c>
      <c r="L47">
        <v>0.139365903767697</v>
      </c>
      <c r="M47">
        <v>0.139365903767697</v>
      </c>
      <c r="N47">
        <v>0.139365903767697</v>
      </c>
      <c r="O47">
        <v>0.139365903767697</v>
      </c>
      <c r="P47">
        <v>0.139365903767697</v>
      </c>
      <c r="Q47">
        <v>0.139365903767697</v>
      </c>
      <c r="R47">
        <v>0.139365903767697</v>
      </c>
      <c r="S47">
        <v>0.139365903767697</v>
      </c>
      <c r="T47">
        <v>0.139365903767697</v>
      </c>
      <c r="U47">
        <v>0.139365903767697</v>
      </c>
      <c r="V47">
        <v>0.139365903767697</v>
      </c>
      <c r="W47">
        <v>0.139365903767697</v>
      </c>
      <c r="X47">
        <v>0.139365903767697</v>
      </c>
      <c r="Y47">
        <v>0.139365903767697</v>
      </c>
      <c r="Z47">
        <v>0.139365903767697</v>
      </c>
      <c r="AA47">
        <v>0.139365903767697</v>
      </c>
      <c r="AB47">
        <v>0.139365903767697</v>
      </c>
      <c r="AC47">
        <v>0.139365903767697</v>
      </c>
      <c r="AD47">
        <v>0.139365903767697</v>
      </c>
      <c r="AE47">
        <v>0.139365903767697</v>
      </c>
      <c r="AF47">
        <v>0.139365903767697</v>
      </c>
      <c r="AG47">
        <v>0.139365903767697</v>
      </c>
      <c r="AH47">
        <v>0.139365903767697</v>
      </c>
      <c r="AI47">
        <v>0.139365903767697</v>
      </c>
      <c r="AJ47">
        <v>0.139365903767697</v>
      </c>
      <c r="AK47">
        <v>0.139365903767697</v>
      </c>
      <c r="AL47">
        <v>0.139365903767697</v>
      </c>
      <c r="AM47">
        <v>0.139365903767697</v>
      </c>
      <c r="AN47">
        <v>0.139365903767697</v>
      </c>
      <c r="AO47">
        <v>0.139365903767697</v>
      </c>
      <c r="AP47">
        <v>0.139365903767697</v>
      </c>
      <c r="AQ47">
        <v>0.139365903767697</v>
      </c>
      <c r="AR47">
        <v>0.139365903767697</v>
      </c>
      <c r="AS47">
        <v>0.139365903767697</v>
      </c>
      <c r="AT47">
        <v>0.139365903767697</v>
      </c>
      <c r="AU47" t="s">
        <v>173</v>
      </c>
    </row>
    <row r="48" spans="1:47">
      <c r="A48" t="s">
        <v>51</v>
      </c>
      <c r="B48" t="s">
        <v>62</v>
      </c>
      <c r="C48" t="s">
        <v>111</v>
      </c>
      <c r="D48" t="s">
        <v>173</v>
      </c>
      <c r="E48" t="s">
        <v>173</v>
      </c>
      <c r="F48" t="s">
        <v>174</v>
      </c>
      <c r="G48" t="s">
        <v>175</v>
      </c>
      <c r="H48" t="s">
        <v>173</v>
      </c>
      <c r="I48" t="s">
        <v>173</v>
      </c>
      <c r="J48" t="s">
        <v>173</v>
      </c>
      <c r="K48" t="s">
        <v>173</v>
      </c>
      <c r="L48">
        <v>0.139365903767697</v>
      </c>
      <c r="M48">
        <v>0.139365903767697</v>
      </c>
      <c r="N48">
        <v>0.139365903767697</v>
      </c>
      <c r="O48">
        <v>0.139365903767697</v>
      </c>
      <c r="P48">
        <v>0.139365903767697</v>
      </c>
      <c r="Q48">
        <v>0.139365903767697</v>
      </c>
      <c r="R48">
        <v>0.139365903767697</v>
      </c>
      <c r="S48">
        <v>0.139365903767697</v>
      </c>
      <c r="T48">
        <v>0.139365903767697</v>
      </c>
      <c r="U48">
        <v>0.139365903767697</v>
      </c>
      <c r="V48">
        <v>0.139365903767697</v>
      </c>
      <c r="W48">
        <v>0.139365903767697</v>
      </c>
      <c r="X48">
        <v>0.139365903767697</v>
      </c>
      <c r="Y48">
        <v>0.139365903767697</v>
      </c>
      <c r="Z48">
        <v>0.139365903767697</v>
      </c>
      <c r="AA48">
        <v>0.139365903767697</v>
      </c>
      <c r="AB48">
        <v>0.139365903767697</v>
      </c>
      <c r="AC48">
        <v>0.139365903767697</v>
      </c>
      <c r="AD48">
        <v>0.139365903767697</v>
      </c>
      <c r="AE48">
        <v>0.139365903767697</v>
      </c>
      <c r="AF48">
        <v>0.139365903767697</v>
      </c>
      <c r="AG48">
        <v>0.139365903767697</v>
      </c>
      <c r="AH48">
        <v>0.139365903767697</v>
      </c>
      <c r="AI48">
        <v>0.139365903767697</v>
      </c>
      <c r="AJ48">
        <v>0.139365903767697</v>
      </c>
      <c r="AK48">
        <v>0.139365903767697</v>
      </c>
      <c r="AL48">
        <v>0.139365903767697</v>
      </c>
      <c r="AM48">
        <v>0.139365903767697</v>
      </c>
      <c r="AN48">
        <v>0.139365903767697</v>
      </c>
      <c r="AO48">
        <v>0.139365903767697</v>
      </c>
      <c r="AP48">
        <v>0.139365903767697</v>
      </c>
      <c r="AQ48">
        <v>0.139365903767697</v>
      </c>
      <c r="AR48">
        <v>0.139365903767697</v>
      </c>
      <c r="AS48">
        <v>0.139365903767697</v>
      </c>
      <c r="AT48">
        <v>0.139365903767697</v>
      </c>
      <c r="AU48" t="s">
        <v>173</v>
      </c>
    </row>
    <row r="49" spans="1:47">
      <c r="A49" t="s">
        <v>51</v>
      </c>
      <c r="B49" t="s">
        <v>62</v>
      </c>
      <c r="C49" t="s">
        <v>191</v>
      </c>
      <c r="D49" t="s">
        <v>173</v>
      </c>
      <c r="E49" t="s">
        <v>173</v>
      </c>
      <c r="F49" t="s">
        <v>174</v>
      </c>
      <c r="G49" t="s">
        <v>175</v>
      </c>
      <c r="H49" t="s">
        <v>173</v>
      </c>
      <c r="I49" t="s">
        <v>173</v>
      </c>
      <c r="J49" t="s">
        <v>173</v>
      </c>
      <c r="K49" t="s">
        <v>173</v>
      </c>
      <c r="L49">
        <v>0.139365903767697</v>
      </c>
      <c r="M49">
        <v>0.139365903767697</v>
      </c>
      <c r="N49">
        <v>0.139365903767697</v>
      </c>
      <c r="O49">
        <v>0.139365903767697</v>
      </c>
      <c r="P49">
        <v>0.139365903767697</v>
      </c>
      <c r="Q49">
        <v>0.139365903767697</v>
      </c>
      <c r="R49">
        <v>0.139365903767697</v>
      </c>
      <c r="S49">
        <v>0.139365903767697</v>
      </c>
      <c r="T49">
        <v>0.139365903767697</v>
      </c>
      <c r="U49">
        <v>0.139365903767697</v>
      </c>
      <c r="V49">
        <v>0.139365903767697</v>
      </c>
      <c r="W49">
        <v>0.139365903767697</v>
      </c>
      <c r="X49">
        <v>0.139365903767697</v>
      </c>
      <c r="Y49">
        <v>0.139365903767697</v>
      </c>
      <c r="Z49">
        <v>0.139365903767697</v>
      </c>
      <c r="AA49">
        <v>0.139365903767697</v>
      </c>
      <c r="AB49">
        <v>0.139365903767697</v>
      </c>
      <c r="AC49">
        <v>0.139365903767697</v>
      </c>
      <c r="AD49">
        <v>0.139365903767697</v>
      </c>
      <c r="AE49">
        <v>0.139365903767697</v>
      </c>
      <c r="AF49">
        <v>0.139365903767697</v>
      </c>
      <c r="AG49">
        <v>0.139365903767697</v>
      </c>
      <c r="AH49">
        <v>0.139365903767697</v>
      </c>
      <c r="AI49">
        <v>0.139365903767697</v>
      </c>
      <c r="AJ49">
        <v>0.139365903767697</v>
      </c>
      <c r="AK49">
        <v>0.139365903767697</v>
      </c>
      <c r="AL49">
        <v>0.139365903767697</v>
      </c>
      <c r="AM49">
        <v>0.139365903767697</v>
      </c>
      <c r="AN49">
        <v>0.139365903767697</v>
      </c>
      <c r="AO49">
        <v>0.139365903767697</v>
      </c>
      <c r="AP49">
        <v>0.139365903767697</v>
      </c>
      <c r="AQ49">
        <v>0.139365903767697</v>
      </c>
      <c r="AR49">
        <v>0.139365903767697</v>
      </c>
      <c r="AS49">
        <v>0.139365903767697</v>
      </c>
      <c r="AT49">
        <v>0.139365903767697</v>
      </c>
      <c r="AU49" t="s">
        <v>173</v>
      </c>
    </row>
    <row r="50" spans="1:47">
      <c r="A50" t="s">
        <v>51</v>
      </c>
      <c r="B50" t="s">
        <v>62</v>
      </c>
      <c r="C50" t="s">
        <v>192</v>
      </c>
      <c r="D50" t="s">
        <v>173</v>
      </c>
      <c r="E50" t="s">
        <v>173</v>
      </c>
      <c r="F50" t="s">
        <v>174</v>
      </c>
      <c r="G50" t="s">
        <v>175</v>
      </c>
      <c r="H50" t="s">
        <v>173</v>
      </c>
      <c r="I50" t="s">
        <v>173</v>
      </c>
      <c r="J50" t="s">
        <v>173</v>
      </c>
      <c r="K50" t="s">
        <v>173</v>
      </c>
      <c r="L50">
        <v>0.379626024625345</v>
      </c>
      <c r="M50">
        <v>0.379626024625345</v>
      </c>
      <c r="N50">
        <v>0.379626024625345</v>
      </c>
      <c r="O50">
        <v>0.379626024625345</v>
      </c>
      <c r="P50">
        <v>0.379626024625345</v>
      </c>
      <c r="Q50">
        <v>0.379626024625345</v>
      </c>
      <c r="R50">
        <v>0.379626024625345</v>
      </c>
      <c r="S50">
        <v>0.379626024625345</v>
      </c>
      <c r="T50">
        <v>0.379626024625345</v>
      </c>
      <c r="U50">
        <v>0.379626024625345</v>
      </c>
      <c r="V50">
        <v>0.379626024625345</v>
      </c>
      <c r="W50">
        <v>0.379626024625345</v>
      </c>
      <c r="X50">
        <v>0.379626024625345</v>
      </c>
      <c r="Y50">
        <v>0.379626024625345</v>
      </c>
      <c r="Z50">
        <v>0.379626024625345</v>
      </c>
      <c r="AA50">
        <v>0.379626024625345</v>
      </c>
      <c r="AB50">
        <v>0.379626024625345</v>
      </c>
      <c r="AC50">
        <v>0.379626024625345</v>
      </c>
      <c r="AD50">
        <v>0.379626024625345</v>
      </c>
      <c r="AE50">
        <v>0.379626024625345</v>
      </c>
      <c r="AF50">
        <v>0.379626024625345</v>
      </c>
      <c r="AG50">
        <v>0.379626024625345</v>
      </c>
      <c r="AH50">
        <v>0.379626024625345</v>
      </c>
      <c r="AI50">
        <v>0.379626024625345</v>
      </c>
      <c r="AJ50">
        <v>0.379626024625345</v>
      </c>
      <c r="AK50">
        <v>0.379626024625345</v>
      </c>
      <c r="AL50">
        <v>0.379626024625345</v>
      </c>
      <c r="AM50">
        <v>0.379626024625345</v>
      </c>
      <c r="AN50">
        <v>0.379626024625345</v>
      </c>
      <c r="AO50">
        <v>0.379626024625345</v>
      </c>
      <c r="AP50">
        <v>0.379626024625345</v>
      </c>
      <c r="AQ50">
        <v>0.379626024625345</v>
      </c>
      <c r="AR50">
        <v>0.379626024625345</v>
      </c>
      <c r="AS50">
        <v>0.379626024625345</v>
      </c>
      <c r="AT50">
        <v>0.379626024625345</v>
      </c>
      <c r="AU50" t="s">
        <v>173</v>
      </c>
    </row>
    <row r="51" spans="1:47">
      <c r="A51" t="s">
        <v>51</v>
      </c>
      <c r="B51" t="s">
        <v>62</v>
      </c>
      <c r="C51" t="s">
        <v>112</v>
      </c>
      <c r="D51" t="s">
        <v>173</v>
      </c>
      <c r="E51" t="s">
        <v>173</v>
      </c>
      <c r="F51" t="s">
        <v>174</v>
      </c>
      <c r="G51" t="s">
        <v>175</v>
      </c>
      <c r="H51" t="s">
        <v>173</v>
      </c>
      <c r="I51" t="s">
        <v>173</v>
      </c>
      <c r="J51" t="s">
        <v>173</v>
      </c>
      <c r="K51" t="s">
        <v>173</v>
      </c>
      <c r="L51">
        <v>0.379626024625345</v>
      </c>
      <c r="M51">
        <v>0.379626024625345</v>
      </c>
      <c r="N51">
        <v>0.379626024625345</v>
      </c>
      <c r="O51">
        <v>0.379626024625345</v>
      </c>
      <c r="P51">
        <v>0.379626024625345</v>
      </c>
      <c r="Q51">
        <v>0.379626024625345</v>
      </c>
      <c r="R51">
        <v>0.379626024625345</v>
      </c>
      <c r="S51">
        <v>0.379626024625345</v>
      </c>
      <c r="T51">
        <v>0.379626024625345</v>
      </c>
      <c r="U51">
        <v>0.379626024625345</v>
      </c>
      <c r="V51">
        <v>0.379626024625345</v>
      </c>
      <c r="W51">
        <v>0.379626024625345</v>
      </c>
      <c r="X51">
        <v>0.379626024625345</v>
      </c>
      <c r="Y51">
        <v>0.379626024625345</v>
      </c>
      <c r="Z51">
        <v>0.379626024625345</v>
      </c>
      <c r="AA51">
        <v>0.379626024625345</v>
      </c>
      <c r="AB51">
        <v>0.379626024625345</v>
      </c>
      <c r="AC51">
        <v>0.379626024625345</v>
      </c>
      <c r="AD51">
        <v>0.379626024625345</v>
      </c>
      <c r="AE51">
        <v>0.379626024625345</v>
      </c>
      <c r="AF51">
        <v>0.379626024625345</v>
      </c>
      <c r="AG51">
        <v>0.379626024625345</v>
      </c>
      <c r="AH51">
        <v>0.379626024625345</v>
      </c>
      <c r="AI51">
        <v>0.379626024625345</v>
      </c>
      <c r="AJ51">
        <v>0.379626024625345</v>
      </c>
      <c r="AK51">
        <v>0.379626024625345</v>
      </c>
      <c r="AL51">
        <v>0.379626024625345</v>
      </c>
      <c r="AM51">
        <v>0.379626024625345</v>
      </c>
      <c r="AN51">
        <v>0.379626024625345</v>
      </c>
      <c r="AO51">
        <v>0.379626024625345</v>
      </c>
      <c r="AP51">
        <v>0.379626024625345</v>
      </c>
      <c r="AQ51">
        <v>0.379626024625345</v>
      </c>
      <c r="AR51">
        <v>0.379626024625345</v>
      </c>
      <c r="AS51">
        <v>0.379626024625345</v>
      </c>
      <c r="AT51">
        <v>0.379626024625345</v>
      </c>
      <c r="AU51" t="s">
        <v>173</v>
      </c>
    </row>
    <row r="52" spans="1:47">
      <c r="A52" t="s">
        <v>51</v>
      </c>
      <c r="B52" t="s">
        <v>62</v>
      </c>
      <c r="C52" t="s">
        <v>193</v>
      </c>
      <c r="D52" t="s">
        <v>173</v>
      </c>
      <c r="E52" t="s">
        <v>173</v>
      </c>
      <c r="F52" t="s">
        <v>174</v>
      </c>
      <c r="G52" t="s">
        <v>175</v>
      </c>
      <c r="H52" t="s">
        <v>173</v>
      </c>
      <c r="I52" t="s">
        <v>173</v>
      </c>
      <c r="J52" t="s">
        <v>173</v>
      </c>
      <c r="K52" t="s">
        <v>173</v>
      </c>
      <c r="L52">
        <v>0.745426473864409</v>
      </c>
      <c r="M52">
        <v>0.745426473864409</v>
      </c>
      <c r="N52">
        <v>0.745426473864409</v>
      </c>
      <c r="O52">
        <v>0.745426473864409</v>
      </c>
      <c r="P52">
        <v>0.745426473864409</v>
      </c>
      <c r="Q52">
        <v>0.745426473864409</v>
      </c>
      <c r="R52">
        <v>0.745426473864409</v>
      </c>
      <c r="S52">
        <v>0.745426473864409</v>
      </c>
      <c r="T52">
        <v>0.745426473864409</v>
      </c>
      <c r="U52">
        <v>0.745426473864409</v>
      </c>
      <c r="V52">
        <v>0.745426473864409</v>
      </c>
      <c r="W52">
        <v>0.745426473864409</v>
      </c>
      <c r="X52">
        <v>0.745426473864409</v>
      </c>
      <c r="Y52">
        <v>0.745426473864409</v>
      </c>
      <c r="Z52">
        <v>0.745426473864409</v>
      </c>
      <c r="AA52">
        <v>0.745426473864409</v>
      </c>
      <c r="AB52">
        <v>0.745426473864409</v>
      </c>
      <c r="AC52">
        <v>0.745426473864409</v>
      </c>
      <c r="AD52">
        <v>0.745426473864409</v>
      </c>
      <c r="AE52">
        <v>0.745426473864409</v>
      </c>
      <c r="AF52">
        <v>0.745426473864409</v>
      </c>
      <c r="AG52">
        <v>0.745426473864409</v>
      </c>
      <c r="AH52">
        <v>0.745426473864409</v>
      </c>
      <c r="AI52">
        <v>0.745426473864409</v>
      </c>
      <c r="AJ52">
        <v>0.745426473864409</v>
      </c>
      <c r="AK52">
        <v>0.745426473864409</v>
      </c>
      <c r="AL52">
        <v>0.745426473864409</v>
      </c>
      <c r="AM52">
        <v>0.745426473864409</v>
      </c>
      <c r="AN52">
        <v>0.745426473864409</v>
      </c>
      <c r="AO52">
        <v>0.745426473864409</v>
      </c>
      <c r="AP52">
        <v>0.745426473864409</v>
      </c>
      <c r="AQ52">
        <v>0.745426473864409</v>
      </c>
      <c r="AR52">
        <v>0.745426473864409</v>
      </c>
      <c r="AS52">
        <v>0.745426473864409</v>
      </c>
      <c r="AT52">
        <v>0.745426473864409</v>
      </c>
      <c r="AU52" t="s">
        <v>173</v>
      </c>
    </row>
    <row r="53" spans="1:47">
      <c r="A53" t="s">
        <v>51</v>
      </c>
      <c r="B53" t="s">
        <v>62</v>
      </c>
      <c r="C53" t="s">
        <v>194</v>
      </c>
      <c r="D53" t="s">
        <v>173</v>
      </c>
      <c r="E53" t="s">
        <v>173</v>
      </c>
      <c r="F53" t="s">
        <v>174</v>
      </c>
      <c r="G53" t="s">
        <v>175</v>
      </c>
      <c r="H53" t="s">
        <v>173</v>
      </c>
      <c r="I53" t="s">
        <v>173</v>
      </c>
      <c r="J53" t="s">
        <v>173</v>
      </c>
      <c r="K53" t="s">
        <v>173</v>
      </c>
      <c r="L53">
        <v>0.372713236932204</v>
      </c>
      <c r="M53">
        <v>0.372713236932204</v>
      </c>
      <c r="N53">
        <v>0.372713236932204</v>
      </c>
      <c r="O53">
        <v>0.372713236932204</v>
      </c>
      <c r="P53">
        <v>0.372713236932204</v>
      </c>
      <c r="Q53">
        <v>0.372713236932204</v>
      </c>
      <c r="R53">
        <v>0.372713236932204</v>
      </c>
      <c r="S53">
        <v>0.372713236932204</v>
      </c>
      <c r="T53">
        <v>0.372713236932204</v>
      </c>
      <c r="U53">
        <v>0.372713236932204</v>
      </c>
      <c r="V53">
        <v>0.372713236932204</v>
      </c>
      <c r="W53">
        <v>0.372713236932204</v>
      </c>
      <c r="X53">
        <v>0.372713236932204</v>
      </c>
      <c r="Y53">
        <v>0.372713236932204</v>
      </c>
      <c r="Z53">
        <v>0.372713236932204</v>
      </c>
      <c r="AA53">
        <v>0.372713236932204</v>
      </c>
      <c r="AB53">
        <v>0.372713236932204</v>
      </c>
      <c r="AC53">
        <v>0.372713236932204</v>
      </c>
      <c r="AD53">
        <v>0.372713236932204</v>
      </c>
      <c r="AE53">
        <v>0.372713236932204</v>
      </c>
      <c r="AF53">
        <v>0.372713236932204</v>
      </c>
      <c r="AG53">
        <v>0.372713236932204</v>
      </c>
      <c r="AH53">
        <v>0.372713236932204</v>
      </c>
      <c r="AI53">
        <v>0.372713236932204</v>
      </c>
      <c r="AJ53">
        <v>0.372713236932204</v>
      </c>
      <c r="AK53">
        <v>0.372713236932204</v>
      </c>
      <c r="AL53">
        <v>0.372713236932204</v>
      </c>
      <c r="AM53">
        <v>0.372713236932204</v>
      </c>
      <c r="AN53">
        <v>0.372713236932204</v>
      </c>
      <c r="AO53">
        <v>0.372713236932204</v>
      </c>
      <c r="AP53">
        <v>0.372713236932204</v>
      </c>
      <c r="AQ53">
        <v>0.372713236932204</v>
      </c>
      <c r="AR53">
        <v>0.372713236932204</v>
      </c>
      <c r="AS53">
        <v>0.372713236932204</v>
      </c>
      <c r="AT53">
        <v>0.372713236932204</v>
      </c>
      <c r="AU53" t="s">
        <v>173</v>
      </c>
    </row>
    <row r="54" spans="1:47">
      <c r="A54" t="s">
        <v>51</v>
      </c>
      <c r="B54" t="s">
        <v>62</v>
      </c>
      <c r="C54" t="s">
        <v>195</v>
      </c>
      <c r="D54" t="s">
        <v>173</v>
      </c>
      <c r="E54" t="s">
        <v>173</v>
      </c>
      <c r="F54" t="s">
        <v>174</v>
      </c>
      <c r="G54" t="s">
        <v>175</v>
      </c>
      <c r="H54" t="s">
        <v>173</v>
      </c>
      <c r="I54" t="s">
        <v>173</v>
      </c>
      <c r="J54" t="s">
        <v>173</v>
      </c>
      <c r="K54" t="s">
        <v>173</v>
      </c>
      <c r="L54">
        <v>0.440757335287194</v>
      </c>
      <c r="M54">
        <v>0.440757335287194</v>
      </c>
      <c r="N54">
        <v>0.440757335287194</v>
      </c>
      <c r="O54">
        <v>0.440757335287194</v>
      </c>
      <c r="P54">
        <v>0.440757335287194</v>
      </c>
      <c r="Q54">
        <v>0.440757335287194</v>
      </c>
      <c r="R54">
        <v>0.440757335287194</v>
      </c>
      <c r="S54">
        <v>0.440757335287194</v>
      </c>
      <c r="T54">
        <v>0.440757335287194</v>
      </c>
      <c r="U54">
        <v>0.440757335287194</v>
      </c>
      <c r="V54">
        <v>0.440757335287194</v>
      </c>
      <c r="W54">
        <v>0.440757335287194</v>
      </c>
      <c r="X54">
        <v>0.440757335287194</v>
      </c>
      <c r="Y54">
        <v>0.440757335287194</v>
      </c>
      <c r="Z54">
        <v>0.440757335287194</v>
      </c>
      <c r="AA54">
        <v>0.440757335287194</v>
      </c>
      <c r="AB54">
        <v>0.440757335287194</v>
      </c>
      <c r="AC54">
        <v>0.440757335287194</v>
      </c>
      <c r="AD54">
        <v>0.440757335287194</v>
      </c>
      <c r="AE54">
        <v>0.440757335287194</v>
      </c>
      <c r="AF54">
        <v>0.440757335287194</v>
      </c>
      <c r="AG54">
        <v>0.440757335287194</v>
      </c>
      <c r="AH54">
        <v>0.440757335287194</v>
      </c>
      <c r="AI54">
        <v>0.440757335287194</v>
      </c>
      <c r="AJ54">
        <v>0.440757335287194</v>
      </c>
      <c r="AK54">
        <v>0.440757335287194</v>
      </c>
      <c r="AL54">
        <v>0.440757335287194</v>
      </c>
      <c r="AM54">
        <v>0.440757335287194</v>
      </c>
      <c r="AN54">
        <v>0.440757335287194</v>
      </c>
      <c r="AO54">
        <v>0.440757335287194</v>
      </c>
      <c r="AP54">
        <v>0.440757335287194</v>
      </c>
      <c r="AQ54">
        <v>0.440757335287194</v>
      </c>
      <c r="AR54">
        <v>0.440757335287194</v>
      </c>
      <c r="AS54">
        <v>0.440757335287194</v>
      </c>
      <c r="AT54">
        <v>0.440757335287194</v>
      </c>
      <c r="AU54" t="s">
        <v>173</v>
      </c>
    </row>
    <row r="55" spans="1:47">
      <c r="A55" t="s">
        <v>51</v>
      </c>
      <c r="B55" t="s">
        <v>62</v>
      </c>
      <c r="C55" t="s">
        <v>196</v>
      </c>
      <c r="D55" t="s">
        <v>173</v>
      </c>
      <c r="E55" t="s">
        <v>173</v>
      </c>
      <c r="F55" t="s">
        <v>174</v>
      </c>
      <c r="G55" t="s">
        <v>175</v>
      </c>
      <c r="H55" t="s">
        <v>173</v>
      </c>
      <c r="I55" t="s">
        <v>173</v>
      </c>
      <c r="J55" t="s">
        <v>173</v>
      </c>
      <c r="K55" t="s">
        <v>173</v>
      </c>
      <c r="L55">
        <v>0.329484430322726</v>
      </c>
      <c r="M55">
        <v>0.329484430322726</v>
      </c>
      <c r="N55">
        <v>0.329484430322726</v>
      </c>
      <c r="O55">
        <v>0.329484430322726</v>
      </c>
      <c r="P55">
        <v>0.329484430322726</v>
      </c>
      <c r="Q55">
        <v>0.329484430322726</v>
      </c>
      <c r="R55">
        <v>0.329484430322726</v>
      </c>
      <c r="S55">
        <v>0.329484430322726</v>
      </c>
      <c r="T55">
        <v>0.329484430322726</v>
      </c>
      <c r="U55">
        <v>0.329484430322726</v>
      </c>
      <c r="V55">
        <v>0.329484430322726</v>
      </c>
      <c r="W55">
        <v>0.329484430322726</v>
      </c>
      <c r="X55">
        <v>0.329484430322726</v>
      </c>
      <c r="Y55">
        <v>0.329484430322726</v>
      </c>
      <c r="Z55">
        <v>0.329484430322726</v>
      </c>
      <c r="AA55">
        <v>0.329484430322726</v>
      </c>
      <c r="AB55">
        <v>0.329484430322726</v>
      </c>
      <c r="AC55">
        <v>0.329484430322726</v>
      </c>
      <c r="AD55">
        <v>0.329484430322726</v>
      </c>
      <c r="AE55">
        <v>0.329484430322726</v>
      </c>
      <c r="AF55">
        <v>0.329484430322726</v>
      </c>
      <c r="AG55">
        <v>0.329484430322726</v>
      </c>
      <c r="AH55">
        <v>0.329484430322726</v>
      </c>
      <c r="AI55">
        <v>0.329484430322726</v>
      </c>
      <c r="AJ55">
        <v>0.329484430322726</v>
      </c>
      <c r="AK55">
        <v>0.329484430322726</v>
      </c>
      <c r="AL55">
        <v>0.329484430322726</v>
      </c>
      <c r="AM55">
        <v>0.329484430322726</v>
      </c>
      <c r="AN55">
        <v>0.329484430322726</v>
      </c>
      <c r="AO55">
        <v>0.329484430322726</v>
      </c>
      <c r="AP55">
        <v>0.329484430322726</v>
      </c>
      <c r="AQ55">
        <v>0.329484430322726</v>
      </c>
      <c r="AR55">
        <v>0.329484430322726</v>
      </c>
      <c r="AS55">
        <v>0.329484430322726</v>
      </c>
      <c r="AT55">
        <v>0.329484430322726</v>
      </c>
      <c r="AU55" t="s">
        <v>173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Dell Computer Corporation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TechSelection</vt:lpstr>
      <vt:lpstr>Road transport</vt:lpstr>
      <vt:lpstr>RoadTra_BY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2001-09-28T18:48:00Z</dcterms:created>
  <cp:lastPrinted>2001-09-28T20:39:00Z</cp:lastPrinted>
  <dcterms:modified xsi:type="dcterms:W3CDTF">2025-09-16T05:21:05Z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{A44787D4-0540-4523-9961-78E4036D8C6D}">
    <vt:lpwstr>{EB3971F8-0E88-4138-9B5F-5661BAE86EB6}</vt:lpwstr>
  </property>
  <property fmtid="{D5CDD505-2E9C-101B-9397-08002B2CF9AE}" pid="3" name="SaveCode">
    <vt:r8>471264078594048</vt:r8>
  </property>
  <property fmtid="{D5CDD505-2E9C-101B-9397-08002B2CF9AE}" pid="4" name="ICV">
    <vt:lpwstr>45D5F3D94C4940779DA6D9ECCC51C81A_12</vt:lpwstr>
  </property>
  <property fmtid="{D5CDD505-2E9C-101B-9397-08002B2CF9AE}" pid="5" name="KSOProductBuildVer">
    <vt:lpwstr>1033-12.2.0.22549</vt:lpwstr>
  </property>
</Properties>
</file>