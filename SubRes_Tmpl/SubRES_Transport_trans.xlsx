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<sst xmlns="http://schemas.openxmlformats.org/spreadsheetml/2006/main" count="1271" uniqueCount="196">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</sst>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0" xfId="0" applyFill="1"/>
    <xf numFmtId="0" fontId="0" fillId="2" borderId="1" xfId="51" applyFill="1" applyBorder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2" customWidth="1"/>
    <col min="2" max="2" width="8.85454545454546" style="22" customWidth="1"/>
    <col min="3" max="3" width="4.70909090909091" style="22" customWidth="1"/>
    <col min="4" max="4" width="8.85454545454546" style="22" customWidth="1"/>
    <col min="5" max="5" width="4.42727272727273" style="22" customWidth="1"/>
    <col min="6" max="6" width="4.28181818181818" style="22" customWidth="1"/>
    <col min="7" max="7" width="4.42727272727273" style="22" customWidth="1"/>
    <col min="8" max="8" width="4.57272727272727" style="22" customWidth="1"/>
    <col min="9" max="9" width="4" style="22" customWidth="1"/>
    <col min="10" max="10" width="4.42727272727273" style="22" customWidth="1"/>
    <col min="11" max="11" width="4.57272727272727" style="22" customWidth="1"/>
    <col min="12" max="12" width="4.42727272727273" style="22" customWidth="1"/>
    <col min="13" max="13" width="4" style="22" customWidth="1"/>
    <col min="14" max="14" width="4.28181818181818" style="22" customWidth="1"/>
    <col min="15" max="16" width="4.42727272727273" style="22" customWidth="1"/>
    <col min="17" max="18" width="4.57272727272727" style="22" customWidth="1"/>
    <col min="19" max="19" width="4.42727272727273" style="22" customWidth="1"/>
    <col min="20" max="20" width="5" style="22" customWidth="1"/>
    <col min="21" max="21" width="11.7090909090909" style="22" customWidth="1"/>
    <col min="22" max="22" width="10.7090909090909" style="22" customWidth="1"/>
    <col min="23" max="23" width="13.1363636363636" style="22" customWidth="1"/>
    <col min="24" max="259" width="11.4272727272727" style="22" customWidth="1"/>
    <col min="260" max="16384" width="9.13636363636364" style="2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51" zoomScaleNormal="51" topLeftCell="A29" workbookViewId="0">
      <selection activeCell="D65" sqref="D65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26" width="17.9090909090909" customWidth="1"/>
    <col min="27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3" t="s">
        <v>92</v>
      </c>
      <c r="C18">
        <v>0.2</v>
      </c>
      <c r="D18">
        <v>3</v>
      </c>
      <c r="E18" s="23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4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3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11" t="s">
        <v>108</v>
      </c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2" t="s">
        <v>73</v>
      </c>
    </row>
    <row r="65" s="1" customFormat="1" spans="1:99">
      <c r="A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2"/>
      <c r="CP65" s="12"/>
      <c r="CR65" s="12"/>
      <c r="CS65" s="12"/>
      <c r="CT65" s="12"/>
      <c r="CU65" s="12"/>
    </row>
    <row r="66" s="2" customFormat="1" spans="1:99">
      <c r="A66" s="2" t="s">
        <v>130</v>
      </c>
      <c r="B66" s="2" t="s">
        <v>56</v>
      </c>
      <c r="C66" s="2" t="s">
        <v>60</v>
      </c>
      <c r="D66" s="11" t="s">
        <v>45</v>
      </c>
      <c r="E66" s="11" t="s">
        <v>58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131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1" t="s">
        <v>79</v>
      </c>
      <c r="CP66" s="21" t="s">
        <v>130</v>
      </c>
      <c r="CQ66" s="21" t="s">
        <v>56</v>
      </c>
      <c r="CR66" s="21" t="s">
        <v>60</v>
      </c>
      <c r="CS66" s="21" t="s">
        <v>44</v>
      </c>
      <c r="CT66" s="21" t="s">
        <v>45</v>
      </c>
      <c r="CU66" s="21" t="s">
        <v>59</v>
      </c>
    </row>
    <row r="67" s="2" customFormat="1" ht="14.5" spans="1:99">
      <c r="A67" s="2" t="s">
        <v>132</v>
      </c>
      <c r="B67" s="13" t="s">
        <v>133</v>
      </c>
      <c r="C67" s="2" t="s">
        <v>68</v>
      </c>
      <c r="D67" s="1" t="s">
        <v>134</v>
      </c>
      <c r="E67" s="1" t="s">
        <v>135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AY67" s="2">
        <v>2050</v>
      </c>
      <c r="AZ67" s="2" t="s">
        <v>132</v>
      </c>
      <c r="BA67" s="2" t="s">
        <v>133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134</v>
      </c>
      <c r="CM67" s="2" t="s">
        <v>135</v>
      </c>
      <c r="CO67" s="21">
        <v>0</v>
      </c>
      <c r="CP67" s="21" t="s">
        <v>132</v>
      </c>
      <c r="CQ67" s="21" t="s">
        <v>133</v>
      </c>
      <c r="CR67" s="21" t="s">
        <v>68</v>
      </c>
      <c r="CS67" s="21">
        <v>5</v>
      </c>
      <c r="CT67" s="21" t="s">
        <v>134</v>
      </c>
      <c r="CU67" s="21" t="s">
        <v>135</v>
      </c>
    </row>
    <row r="68" s="2" customFormat="1" ht="14.5" spans="1:99">
      <c r="A68" s="2" t="s">
        <v>132</v>
      </c>
      <c r="B68" s="13" t="s">
        <v>133</v>
      </c>
      <c r="C68" s="2" t="s">
        <v>68</v>
      </c>
      <c r="D68" s="1" t="s">
        <v>134</v>
      </c>
      <c r="E68" s="1" t="s">
        <v>136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Y68" s="2">
        <v>2050</v>
      </c>
      <c r="AZ68" s="2" t="s">
        <v>132</v>
      </c>
      <c r="BA68" s="2" t="s">
        <v>133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134</v>
      </c>
      <c r="CM68" s="2" t="s">
        <v>136</v>
      </c>
      <c r="CO68" s="21">
        <v>0</v>
      </c>
      <c r="CP68" s="21" t="s">
        <v>132</v>
      </c>
      <c r="CQ68" s="21" t="s">
        <v>133</v>
      </c>
      <c r="CR68" s="21" t="s">
        <v>68</v>
      </c>
      <c r="CS68" s="21">
        <v>5</v>
      </c>
      <c r="CT68" s="21" t="s">
        <v>134</v>
      </c>
      <c r="CU68" s="21" t="s">
        <v>136</v>
      </c>
    </row>
    <row r="69" s="2" customFormat="1" ht="14.5" spans="1:99">
      <c r="A69" s="2" t="s">
        <v>132</v>
      </c>
      <c r="B69" s="13" t="s">
        <v>133</v>
      </c>
      <c r="C69" s="2" t="s">
        <v>68</v>
      </c>
      <c r="D69" s="1" t="s">
        <v>134</v>
      </c>
      <c r="E69" s="1" t="s">
        <v>137</v>
      </c>
      <c r="F69" s="2">
        <f t="shared" ref="F69:M69" si="6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ref="N69:AM69" si="7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AY69" s="2">
        <v>2050</v>
      </c>
      <c r="AZ69" s="2" t="s">
        <v>132</v>
      </c>
      <c r="BA69" s="2" t="s">
        <v>133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134</v>
      </c>
      <c r="CM69" s="2" t="s">
        <v>137</v>
      </c>
      <c r="CO69" s="21">
        <v>0</v>
      </c>
      <c r="CP69" s="21" t="s">
        <v>132</v>
      </c>
      <c r="CQ69" s="21" t="s">
        <v>133</v>
      </c>
      <c r="CR69" s="21" t="s">
        <v>68</v>
      </c>
      <c r="CS69" s="21">
        <v>5</v>
      </c>
      <c r="CT69" s="21" t="s">
        <v>134</v>
      </c>
      <c r="CU69" s="21" t="s">
        <v>137</v>
      </c>
    </row>
    <row r="70" s="2" customFormat="1" ht="14.5" spans="1:99">
      <c r="A70" s="2" t="s">
        <v>132</v>
      </c>
      <c r="B70" s="13" t="s">
        <v>133</v>
      </c>
      <c r="C70" s="2" t="s">
        <v>68</v>
      </c>
      <c r="D70" s="1" t="s">
        <v>134</v>
      </c>
      <c r="E70" s="1" t="s">
        <v>138</v>
      </c>
      <c r="F70" s="2">
        <f t="shared" ref="F70:M70" si="8">D80/1000</f>
        <v>0</v>
      </c>
      <c r="G70" s="2">
        <f t="shared" si="8"/>
        <v>74000</v>
      </c>
      <c r="H70" s="2">
        <f t="shared" si="8"/>
        <v>270000</v>
      </c>
      <c r="I70" s="2">
        <f t="shared" si="8"/>
        <v>0</v>
      </c>
      <c r="J70" s="2">
        <f t="shared" si="8"/>
        <v>0</v>
      </c>
      <c r="K70" s="2">
        <f t="shared" si="8"/>
        <v>0</v>
      </c>
      <c r="L70" s="2">
        <f t="shared" si="8"/>
        <v>270000</v>
      </c>
      <c r="M70" s="2">
        <f t="shared" si="8"/>
        <v>280000</v>
      </c>
      <c r="N70" s="2">
        <f t="shared" ref="N70:AM70" si="9">L80/1000</f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0</v>
      </c>
      <c r="U70" s="2">
        <f t="shared" si="9"/>
        <v>34000</v>
      </c>
      <c r="V70" s="2">
        <f t="shared" si="9"/>
        <v>0</v>
      </c>
      <c r="W70" s="2">
        <f t="shared" si="9"/>
        <v>0</v>
      </c>
      <c r="X70" s="2">
        <f t="shared" si="9"/>
        <v>0</v>
      </c>
      <c r="Y70" s="2">
        <f t="shared" si="9"/>
        <v>275000</v>
      </c>
      <c r="Z70" s="2">
        <f t="shared" si="9"/>
        <v>0</v>
      </c>
      <c r="AA70" s="20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2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Y70" s="2">
        <v>2050</v>
      </c>
      <c r="AZ70" s="2" t="s">
        <v>132</v>
      </c>
      <c r="BA70" s="2" t="s">
        <v>133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134</v>
      </c>
      <c r="CM70" s="2" t="s">
        <v>138</v>
      </c>
      <c r="CO70" s="21">
        <v>0</v>
      </c>
      <c r="CP70" s="21" t="s">
        <v>132</v>
      </c>
      <c r="CQ70" s="21" t="s">
        <v>133</v>
      </c>
      <c r="CR70" s="21" t="s">
        <v>68</v>
      </c>
      <c r="CS70" s="21">
        <v>5</v>
      </c>
      <c r="CT70" s="21" t="s">
        <v>134</v>
      </c>
      <c r="CU70" s="21" t="s">
        <v>138</v>
      </c>
    </row>
    <row r="71" s="2" customFormat="1" ht="14.5" spans="1:99">
      <c r="A71" s="2" t="s">
        <v>132</v>
      </c>
      <c r="B71" s="13" t="s">
        <v>133</v>
      </c>
      <c r="C71" s="2" t="s">
        <v>68</v>
      </c>
      <c r="D71" s="1" t="s">
        <v>134</v>
      </c>
      <c r="E71" s="1" t="s">
        <v>139</v>
      </c>
      <c r="F71" s="2">
        <f t="shared" ref="F71:M71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0">
        <v>100</v>
      </c>
      <c r="N71" s="2">
        <f t="shared" ref="N71:AM71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0">
        <v>100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AY71" s="2">
        <v>2050</v>
      </c>
      <c r="AZ71" s="2" t="s">
        <v>132</v>
      </c>
      <c r="BA71" s="2" t="s">
        <v>133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134</v>
      </c>
      <c r="CM71" s="2" t="s">
        <v>139</v>
      </c>
      <c r="CO71" s="21">
        <v>0</v>
      </c>
      <c r="CP71" s="21" t="s">
        <v>132</v>
      </c>
      <c r="CQ71" s="21" t="s">
        <v>133</v>
      </c>
      <c r="CR71" s="21" t="s">
        <v>68</v>
      </c>
      <c r="CS71" s="21">
        <v>5</v>
      </c>
      <c r="CT71" s="21" t="s">
        <v>134</v>
      </c>
      <c r="CU71" s="21" t="s">
        <v>139</v>
      </c>
    </row>
    <row r="72" s="2" customFormat="1" ht="14.5" spans="1:99">
      <c r="A72" s="2" t="s">
        <v>132</v>
      </c>
      <c r="B72" s="13" t="s">
        <v>133</v>
      </c>
      <c r="C72" s="2" t="s">
        <v>68</v>
      </c>
      <c r="D72" s="1" t="s">
        <v>134</v>
      </c>
      <c r="E72" s="1" t="s">
        <v>140</v>
      </c>
      <c r="F72" s="2">
        <f t="shared" ref="F72:M72" si="1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ref="N72:AM72" si="13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AY72" s="2">
        <v>2050</v>
      </c>
      <c r="AZ72" s="2" t="s">
        <v>132</v>
      </c>
      <c r="BA72" s="2" t="s">
        <v>133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134</v>
      </c>
      <c r="CM72" s="2" t="s">
        <v>140</v>
      </c>
      <c r="CO72" s="21">
        <v>0</v>
      </c>
      <c r="CP72" s="21" t="s">
        <v>132</v>
      </c>
      <c r="CQ72" s="21" t="s">
        <v>133</v>
      </c>
      <c r="CR72" s="21" t="s">
        <v>68</v>
      </c>
      <c r="CS72" s="21">
        <v>5</v>
      </c>
      <c r="CT72" s="21" t="s">
        <v>134</v>
      </c>
      <c r="CU72" s="21" t="s">
        <v>140</v>
      </c>
    </row>
    <row r="73" s="1" customFormat="1" ht="14.5" spans="1:99">
      <c r="A73" s="2" t="s">
        <v>132</v>
      </c>
      <c r="B73" s="13" t="s">
        <v>133</v>
      </c>
      <c r="C73" s="2" t="s">
        <v>68</v>
      </c>
      <c r="D73" s="1" t="s">
        <v>134</v>
      </c>
      <c r="E73" s="1" t="s">
        <v>141</v>
      </c>
      <c r="F73" s="2">
        <f t="shared" ref="F73:M73" si="14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ref="N73:AM73" si="15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>
        <v>2050</v>
      </c>
      <c r="AZ73" s="1" t="s">
        <v>132</v>
      </c>
      <c r="BA73" s="1" t="s">
        <v>133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134</v>
      </c>
      <c r="CM73" s="1" t="s">
        <v>141</v>
      </c>
      <c r="CO73" s="21">
        <v>0</v>
      </c>
      <c r="CP73" s="12" t="s">
        <v>132</v>
      </c>
      <c r="CQ73" s="12" t="s">
        <v>133</v>
      </c>
      <c r="CR73" s="21" t="s">
        <v>68</v>
      </c>
      <c r="CS73" s="21">
        <v>5</v>
      </c>
      <c r="CT73" s="12" t="s">
        <v>134</v>
      </c>
      <c r="CU73" s="12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144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144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145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145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146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146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147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147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148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148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149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149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150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150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151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151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152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152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153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153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154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154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155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155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156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156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157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157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158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158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159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159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160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160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161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161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162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162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163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163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164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164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2025-03-31T16:16:21Z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