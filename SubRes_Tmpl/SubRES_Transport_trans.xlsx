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5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<sst xmlns="http://schemas.openxmlformats.org/spreadsheetml/2006/main" count="1131" uniqueCount="196">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</sst>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0" fillId="2" borderId="0" xfId="0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0" customWidth="1"/>
    <col min="2" max="2" width="8.85454545454546" style="20" customWidth="1"/>
    <col min="3" max="3" width="4.70909090909091" style="20" customWidth="1"/>
    <col min="4" max="4" width="8.85454545454546" style="20" customWidth="1"/>
    <col min="5" max="5" width="4.42727272727273" style="20" customWidth="1"/>
    <col min="6" max="6" width="4.28181818181818" style="20" customWidth="1"/>
    <col min="7" max="7" width="4.42727272727273" style="20" customWidth="1"/>
    <col min="8" max="8" width="4.57272727272727" style="20" customWidth="1"/>
    <col min="9" max="9" width="4" style="20" customWidth="1"/>
    <col min="10" max="10" width="4.42727272727273" style="20" customWidth="1"/>
    <col min="11" max="11" width="4.57272727272727" style="20" customWidth="1"/>
    <col min="12" max="12" width="4.42727272727273" style="20" customWidth="1"/>
    <col min="13" max="13" width="4" style="20" customWidth="1"/>
    <col min="14" max="14" width="4.28181818181818" style="20" customWidth="1"/>
    <col min="15" max="16" width="4.42727272727273" style="20" customWidth="1"/>
    <col min="17" max="18" width="4.57272727272727" style="20" customWidth="1"/>
    <col min="19" max="19" width="4.42727272727273" style="20" customWidth="1"/>
    <col min="20" max="20" width="5" style="20" customWidth="1"/>
    <col min="21" max="21" width="11.7090909090909" style="20" customWidth="1"/>
    <col min="22" max="22" width="10.7090909090909" style="20" customWidth="1"/>
    <col min="23" max="23" width="13.1363636363636" style="20" customWidth="1"/>
    <col min="24" max="259" width="11.4272727272727" style="20" customWidth="1"/>
    <col min="260" max="16384" width="9.13636363636364" style="2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A124"/>
  <sheetViews>
    <sheetView tabSelected="1" zoomScale="65" zoomScaleNormal="65" topLeftCell="A79" workbookViewId="0">
      <selection activeCell="T127" sqref="T127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7.13636363636364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1" t="s">
        <v>92</v>
      </c>
      <c r="C18">
        <v>0.2</v>
      </c>
      <c r="D18">
        <v>3</v>
      </c>
      <c r="E18" s="2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2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1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ht="28" spans="1:1">
      <c r="A64" s="11"/>
    </row>
    <row r="65" s="1" customFormat="1" spans="1:53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spans="1:40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</row>
    <row r="67" s="2" customFormat="1" ht="14.5" spans="1:40">
      <c r="A67" s="2" t="s">
        <v>132</v>
      </c>
      <c r="B67" s="13" t="s">
        <v>133</v>
      </c>
      <c r="C67" s="2" t="s">
        <v>83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</row>
    <row r="68" s="2" customFormat="1" ht="14.5" spans="1:40">
      <c r="A68" s="2" t="s">
        <v>132</v>
      </c>
      <c r="B68" s="13" t="s">
        <v>133</v>
      </c>
      <c r="C68" s="2" t="s">
        <v>83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</row>
    <row r="69" s="2" customFormat="1" ht="14.5" spans="1:40">
      <c r="A69" s="2" t="s">
        <v>132</v>
      </c>
      <c r="B69" s="13" t="s">
        <v>133</v>
      </c>
      <c r="C69" s="2" t="s">
        <v>83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</row>
    <row r="70" s="2" customFormat="1" ht="14.5" spans="1:40">
      <c r="A70" s="2" t="s">
        <v>132</v>
      </c>
      <c r="B70" s="13" t="s">
        <v>133</v>
      </c>
      <c r="C70" s="2" t="s">
        <v>83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</row>
    <row r="71" s="2" customFormat="1" ht="14.5" spans="1:40">
      <c r="A71" s="2" t="s">
        <v>132</v>
      </c>
      <c r="B71" s="13" t="s">
        <v>133</v>
      </c>
      <c r="C71" s="2" t="s">
        <v>83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</row>
    <row r="72" s="2" customFormat="1" ht="14.5" spans="1:40">
      <c r="A72" s="2" t="s">
        <v>132</v>
      </c>
      <c r="B72" s="13" t="s">
        <v>133</v>
      </c>
      <c r="C72" s="2" t="s">
        <v>83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</row>
    <row r="73" s="1" customFormat="1" ht="14.5" spans="1:40">
      <c r="A73" s="2" t="s">
        <v>132</v>
      </c>
      <c r="B73" s="13" t="s">
        <v>133</v>
      </c>
      <c r="C73" s="2" t="s">
        <v>83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0">
      <c r="C102" s="16"/>
      <c r="D102" t="s">
        <v>73</v>
      </c>
      <c r="K102" s="16"/>
      <c r="L102" t="s">
        <v>73</v>
      </c>
      <c r="S102" s="16"/>
      <c r="T102" t="s">
        <v>73</v>
      </c>
    </row>
    <row r="103" s="4" customFormat="1" spans="3:23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J103" s="4" t="s">
        <v>79</v>
      </c>
      <c r="K103" s="16" t="s">
        <v>56</v>
      </c>
      <c r="L103" s="17" t="s">
        <v>45</v>
      </c>
      <c r="M103" s="17" t="s">
        <v>44</v>
      </c>
      <c r="N103" s="17" t="s">
        <v>11</v>
      </c>
      <c r="O103" s="17" t="s">
        <v>25</v>
      </c>
      <c r="R103" s="4" t="s">
        <v>79</v>
      </c>
      <c r="S103" s="16" t="s">
        <v>56</v>
      </c>
      <c r="T103" s="17" t="s">
        <v>45</v>
      </c>
      <c r="U103" s="17" t="s">
        <v>44</v>
      </c>
      <c r="V103" s="17" t="s">
        <v>11</v>
      </c>
      <c r="W103" s="17" t="s">
        <v>25</v>
      </c>
    </row>
    <row r="104" s="4" customFormat="1" spans="3:23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J104" s="4">
        <v>2050</v>
      </c>
      <c r="K104" s="16" t="s">
        <v>118</v>
      </c>
      <c r="L104" s="17" t="s">
        <v>144</v>
      </c>
      <c r="M104" s="17">
        <f>E104*0.313</f>
        <v>2.22663316246622</v>
      </c>
      <c r="N104" s="17">
        <f>F104*0.313</f>
        <v>1.69076293868828</v>
      </c>
      <c r="O104" s="17">
        <f>G104*0.313</f>
        <v>2.77174252962417</v>
      </c>
      <c r="R104" s="4">
        <v>0</v>
      </c>
      <c r="S104" s="16" t="s">
        <v>118</v>
      </c>
      <c r="T104" s="17">
        <v>5</v>
      </c>
      <c r="U104" s="17">
        <v>5</v>
      </c>
      <c r="V104" s="17">
        <v>5</v>
      </c>
      <c r="W104" s="17">
        <v>5</v>
      </c>
    </row>
    <row r="105" s="4" customFormat="1" spans="3:23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J105" s="4">
        <v>2050</v>
      </c>
      <c r="K105" s="16" t="s">
        <v>118</v>
      </c>
      <c r="L105" s="17" t="s">
        <v>145</v>
      </c>
      <c r="M105" s="17">
        <f t="shared" ref="M105:M124" si="16">E105*0.313</f>
        <v>2.22663316246622</v>
      </c>
      <c r="N105" s="17">
        <f t="shared" ref="N105:N124" si="17">F105*0.313</f>
        <v>1.69076293868828</v>
      </c>
      <c r="O105" s="17">
        <f t="shared" ref="O105:O124" si="18">G105*0.313</f>
        <v>2.77174252962417</v>
      </c>
      <c r="R105" s="4">
        <v>0</v>
      </c>
      <c r="S105" s="16" t="s">
        <v>118</v>
      </c>
      <c r="T105" s="17">
        <v>5</v>
      </c>
      <c r="U105" s="17">
        <v>5</v>
      </c>
      <c r="V105" s="17">
        <v>5</v>
      </c>
      <c r="W105" s="17">
        <v>5</v>
      </c>
    </row>
    <row r="106" spans="3:23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J106" s="4">
        <v>2050</v>
      </c>
      <c r="K106" s="16" t="s">
        <v>118</v>
      </c>
      <c r="L106" s="17" t="s">
        <v>146</v>
      </c>
      <c r="M106" s="17">
        <f t="shared" si="16"/>
        <v>2.38811314546794</v>
      </c>
      <c r="N106" s="17">
        <f t="shared" si="17"/>
        <v>1.81338051569639</v>
      </c>
      <c r="O106" s="17">
        <f t="shared" si="18"/>
        <v>2.97275495851142</v>
      </c>
      <c r="R106" s="4">
        <v>0</v>
      </c>
      <c r="S106" s="16" t="s">
        <v>118</v>
      </c>
      <c r="T106" s="17">
        <v>5</v>
      </c>
      <c r="U106" s="17">
        <v>5</v>
      </c>
      <c r="V106" s="17">
        <v>5</v>
      </c>
      <c r="W106" s="17">
        <v>5</v>
      </c>
    </row>
    <row r="107" spans="3:23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J107" s="4">
        <v>2050</v>
      </c>
      <c r="K107" s="16" t="s">
        <v>118</v>
      </c>
      <c r="L107" s="17" t="s">
        <v>147</v>
      </c>
      <c r="M107" s="17">
        <f t="shared" si="16"/>
        <v>2.338413866028</v>
      </c>
      <c r="N107" s="17">
        <f t="shared" si="17"/>
        <v>1.77564205725866</v>
      </c>
      <c r="O107" s="17">
        <f t="shared" si="18"/>
        <v>2.91088862866618</v>
      </c>
      <c r="R107" s="4">
        <v>0</v>
      </c>
      <c r="S107" s="16" t="s">
        <v>118</v>
      </c>
      <c r="T107" s="17">
        <v>5</v>
      </c>
      <c r="U107" s="17">
        <v>5</v>
      </c>
      <c r="V107" s="17">
        <v>5</v>
      </c>
      <c r="W107" s="17">
        <v>5</v>
      </c>
    </row>
    <row r="108" spans="3:23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J108" s="4">
        <v>2050</v>
      </c>
      <c r="K108" s="16" t="s">
        <v>118</v>
      </c>
      <c r="L108" s="17" t="s">
        <v>148</v>
      </c>
      <c r="M108" s="17">
        <f t="shared" si="16"/>
        <v>2.35264421766151</v>
      </c>
      <c r="N108" s="17">
        <f t="shared" si="17"/>
        <v>1.78644768452469</v>
      </c>
      <c r="O108" s="17">
        <f t="shared" si="18"/>
        <v>2.92860276794399</v>
      </c>
      <c r="R108" s="4">
        <v>0</v>
      </c>
      <c r="S108" s="16" t="s">
        <v>118</v>
      </c>
      <c r="T108" s="17">
        <v>5</v>
      </c>
      <c r="U108" s="17">
        <v>5</v>
      </c>
      <c r="V108" s="17">
        <v>5</v>
      </c>
      <c r="W108" s="17">
        <v>5</v>
      </c>
    </row>
    <row r="109" spans="3:23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J109" s="4">
        <v>2050</v>
      </c>
      <c r="K109" s="16" t="s">
        <v>118</v>
      </c>
      <c r="L109" s="17" t="s">
        <v>149</v>
      </c>
      <c r="M109" s="17">
        <f t="shared" si="16"/>
        <v>2.36326350574797</v>
      </c>
      <c r="N109" s="17">
        <f t="shared" si="17"/>
        <v>1.79451129801032</v>
      </c>
      <c r="O109" s="17">
        <f t="shared" si="18"/>
        <v>2.9418217935888</v>
      </c>
      <c r="R109" s="4">
        <v>0</v>
      </c>
      <c r="S109" s="16" t="s">
        <v>118</v>
      </c>
      <c r="T109" s="17">
        <v>5</v>
      </c>
      <c r="U109" s="17">
        <v>5</v>
      </c>
      <c r="V109" s="17">
        <v>5</v>
      </c>
      <c r="W109" s="17">
        <v>5</v>
      </c>
    </row>
    <row r="110" spans="3:23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J110" s="4">
        <v>2050</v>
      </c>
      <c r="K110" s="16" t="s">
        <v>118</v>
      </c>
      <c r="L110" s="17" t="s">
        <v>150</v>
      </c>
      <c r="M110" s="17">
        <f t="shared" si="16"/>
        <v>2.38811314546794</v>
      </c>
      <c r="N110" s="17">
        <f t="shared" si="17"/>
        <v>1.81338051569639</v>
      </c>
      <c r="O110" s="17">
        <f t="shared" si="18"/>
        <v>2.97275495851142</v>
      </c>
      <c r="R110" s="4">
        <v>0</v>
      </c>
      <c r="S110" s="16" t="s">
        <v>118</v>
      </c>
      <c r="T110" s="17">
        <v>5</v>
      </c>
      <c r="U110" s="17">
        <v>5</v>
      </c>
      <c r="V110" s="17">
        <v>5</v>
      </c>
      <c r="W110" s="17">
        <v>5</v>
      </c>
    </row>
    <row r="111" spans="3:23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J111" s="4">
        <v>2050</v>
      </c>
      <c r="K111" s="16" t="s">
        <v>118</v>
      </c>
      <c r="L111" s="17" t="s">
        <v>151</v>
      </c>
      <c r="M111" s="17">
        <f t="shared" si="16"/>
        <v>1.3095438006141</v>
      </c>
      <c r="N111" s="17">
        <f t="shared" si="17"/>
        <v>0.994383885335299</v>
      </c>
      <c r="O111" s="17">
        <f t="shared" si="18"/>
        <v>1.63013751429624</v>
      </c>
      <c r="R111" s="4">
        <v>0</v>
      </c>
      <c r="S111" s="16" t="s">
        <v>118</v>
      </c>
      <c r="T111" s="17">
        <v>5</v>
      </c>
      <c r="U111" s="17">
        <v>5</v>
      </c>
      <c r="V111" s="17">
        <v>5</v>
      </c>
      <c r="W111" s="17">
        <v>5</v>
      </c>
    </row>
    <row r="112" spans="3:23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J112" s="4">
        <v>2050</v>
      </c>
      <c r="K112" s="16" t="s">
        <v>118</v>
      </c>
      <c r="L112" s="17" t="s">
        <v>152</v>
      </c>
      <c r="M112" s="17">
        <f t="shared" si="16"/>
        <v>1.3095438006141</v>
      </c>
      <c r="N112" s="17">
        <f t="shared" si="17"/>
        <v>0.994383885335299</v>
      </c>
      <c r="O112" s="17">
        <f t="shared" si="18"/>
        <v>1.63013751429624</v>
      </c>
      <c r="R112" s="4">
        <v>0</v>
      </c>
      <c r="S112" s="16" t="s">
        <v>118</v>
      </c>
      <c r="T112" s="17">
        <v>5</v>
      </c>
      <c r="U112" s="17">
        <v>5</v>
      </c>
      <c r="V112" s="17">
        <v>5</v>
      </c>
      <c r="W112" s="17">
        <v>5</v>
      </c>
    </row>
    <row r="113" spans="3:23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J113" s="4">
        <v>2050</v>
      </c>
      <c r="K113" s="16" t="s">
        <v>118</v>
      </c>
      <c r="L113" s="17" t="s">
        <v>153</v>
      </c>
      <c r="M113" s="17">
        <f t="shared" si="16"/>
        <v>1.3095438006141</v>
      </c>
      <c r="N113" s="17">
        <f t="shared" si="17"/>
        <v>0.994383885335299</v>
      </c>
      <c r="O113" s="17">
        <f t="shared" si="18"/>
        <v>1.63013751429624</v>
      </c>
      <c r="R113" s="4">
        <v>0</v>
      </c>
      <c r="S113" s="16" t="s">
        <v>118</v>
      </c>
      <c r="T113" s="17">
        <v>5</v>
      </c>
      <c r="U113" s="17">
        <v>5</v>
      </c>
      <c r="V113" s="17">
        <v>5</v>
      </c>
      <c r="W113" s="17">
        <v>5</v>
      </c>
    </row>
    <row r="114" spans="3:23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J114" s="4">
        <v>2050</v>
      </c>
      <c r="K114" s="16" t="s">
        <v>118</v>
      </c>
      <c r="L114" s="17" t="s">
        <v>154</v>
      </c>
      <c r="M114" s="17">
        <f t="shared" si="16"/>
        <v>1.3095438006141</v>
      </c>
      <c r="N114" s="17">
        <f t="shared" si="17"/>
        <v>0.994383885335299</v>
      </c>
      <c r="O114" s="17">
        <f t="shared" si="18"/>
        <v>1.63013751429624</v>
      </c>
      <c r="R114" s="4">
        <v>0</v>
      </c>
      <c r="S114" s="16" t="s">
        <v>118</v>
      </c>
      <c r="T114" s="17">
        <v>5</v>
      </c>
      <c r="U114" s="17">
        <v>5</v>
      </c>
      <c r="V114" s="17">
        <v>5</v>
      </c>
      <c r="W114" s="17">
        <v>5</v>
      </c>
    </row>
    <row r="115" spans="3:23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J115" s="4">
        <v>2050</v>
      </c>
      <c r="K115" s="16" t="s">
        <v>118</v>
      </c>
      <c r="L115" s="17" t="s">
        <v>155</v>
      </c>
      <c r="M115" s="17">
        <f t="shared" si="16"/>
        <v>1.3095438006141</v>
      </c>
      <c r="N115" s="17">
        <f t="shared" si="17"/>
        <v>0.994383885335299</v>
      </c>
      <c r="O115" s="17">
        <f t="shared" si="18"/>
        <v>1.63013751429624</v>
      </c>
      <c r="R115" s="4">
        <v>0</v>
      </c>
      <c r="S115" s="16" t="s">
        <v>118</v>
      </c>
      <c r="T115" s="17">
        <v>5</v>
      </c>
      <c r="U115" s="17">
        <v>5</v>
      </c>
      <c r="V115" s="17">
        <v>5</v>
      </c>
      <c r="W115" s="17">
        <v>5</v>
      </c>
    </row>
    <row r="116" spans="3:23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J116" s="4">
        <v>2050</v>
      </c>
      <c r="K116" s="16" t="s">
        <v>118</v>
      </c>
      <c r="L116" s="17" t="s">
        <v>156</v>
      </c>
      <c r="M116" s="17">
        <f t="shared" si="16"/>
        <v>1.3095438006141</v>
      </c>
      <c r="N116" s="17">
        <f t="shared" si="17"/>
        <v>0.994383885335299</v>
      </c>
      <c r="O116" s="17">
        <f t="shared" si="18"/>
        <v>1.63013751429624</v>
      </c>
      <c r="R116" s="4">
        <v>0</v>
      </c>
      <c r="S116" s="16" t="s">
        <v>118</v>
      </c>
      <c r="T116" s="17">
        <v>5</v>
      </c>
      <c r="U116" s="17">
        <v>5</v>
      </c>
      <c r="V116" s="17">
        <v>5</v>
      </c>
      <c r="W116" s="17">
        <v>5</v>
      </c>
    </row>
    <row r="117" spans="3:23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J117" s="4">
        <v>2050</v>
      </c>
      <c r="K117" s="16" t="s">
        <v>118</v>
      </c>
      <c r="L117" s="17" t="s">
        <v>157</v>
      </c>
      <c r="M117" s="17">
        <f t="shared" si="16"/>
        <v>1.3095438006141</v>
      </c>
      <c r="N117" s="17">
        <f t="shared" si="17"/>
        <v>0.994383885335299</v>
      </c>
      <c r="O117" s="17">
        <f t="shared" si="18"/>
        <v>1.63013751429624</v>
      </c>
      <c r="R117" s="4">
        <v>0</v>
      </c>
      <c r="S117" s="16" t="s">
        <v>118</v>
      </c>
      <c r="T117" s="17">
        <v>5</v>
      </c>
      <c r="U117" s="17">
        <v>5</v>
      </c>
      <c r="V117" s="17">
        <v>5</v>
      </c>
      <c r="W117" s="17">
        <v>5</v>
      </c>
    </row>
    <row r="118" spans="3:23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J118" s="4">
        <v>2050</v>
      </c>
      <c r="K118" s="16" t="s">
        <v>118</v>
      </c>
      <c r="L118" s="17" t="s">
        <v>158</v>
      </c>
      <c r="M118" s="17">
        <f t="shared" si="16"/>
        <v>1.1160211134365</v>
      </c>
      <c r="N118" s="17">
        <f t="shared" si="17"/>
        <v>0.847435113780397</v>
      </c>
      <c r="O118" s="17">
        <f t="shared" si="18"/>
        <v>1.38923790619012</v>
      </c>
      <c r="R118" s="4">
        <v>0</v>
      </c>
      <c r="S118" s="16" t="s">
        <v>118</v>
      </c>
      <c r="T118" s="17">
        <v>5</v>
      </c>
      <c r="U118" s="17">
        <v>5</v>
      </c>
      <c r="V118" s="17">
        <v>5</v>
      </c>
      <c r="W118" s="17">
        <v>5</v>
      </c>
    </row>
    <row r="119" spans="3:23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J119" s="4">
        <v>2050</v>
      </c>
      <c r="K119" s="16" t="s">
        <v>118</v>
      </c>
      <c r="L119" s="17" t="s">
        <v>159</v>
      </c>
      <c r="M119" s="17">
        <f t="shared" si="16"/>
        <v>1.1270745266028</v>
      </c>
      <c r="N119" s="17">
        <f t="shared" si="17"/>
        <v>0.855828380619012</v>
      </c>
      <c r="O119" s="17">
        <f t="shared" si="18"/>
        <v>1.40299733544584</v>
      </c>
      <c r="R119" s="4">
        <v>0</v>
      </c>
      <c r="S119" s="16" t="s">
        <v>118</v>
      </c>
      <c r="T119" s="17">
        <v>5</v>
      </c>
      <c r="U119" s="17">
        <v>5</v>
      </c>
      <c r="V119" s="17">
        <v>5</v>
      </c>
      <c r="W119" s="17">
        <v>5</v>
      </c>
    </row>
    <row r="120" spans="3:23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J120" s="4">
        <v>2050</v>
      </c>
      <c r="K120" s="16" t="s">
        <v>118</v>
      </c>
      <c r="L120" s="17" t="s">
        <v>160</v>
      </c>
      <c r="M120" s="17">
        <f t="shared" si="16"/>
        <v>1.1160211134365</v>
      </c>
      <c r="N120" s="17">
        <f t="shared" si="17"/>
        <v>0.847435113780397</v>
      </c>
      <c r="O120" s="17">
        <f t="shared" si="18"/>
        <v>1.38923790619012</v>
      </c>
      <c r="R120" s="4">
        <v>0</v>
      </c>
      <c r="S120" s="16" t="s">
        <v>118</v>
      </c>
      <c r="T120" s="17">
        <v>5</v>
      </c>
      <c r="U120" s="17">
        <v>5</v>
      </c>
      <c r="V120" s="17">
        <v>5</v>
      </c>
      <c r="W120" s="17">
        <v>5</v>
      </c>
    </row>
    <row r="121" spans="3:23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J121" s="4">
        <v>2050</v>
      </c>
      <c r="K121" s="16" t="s">
        <v>118</v>
      </c>
      <c r="L121" s="17" t="s">
        <v>161</v>
      </c>
      <c r="M121" s="17">
        <f t="shared" si="16"/>
        <v>1.11630000712356</v>
      </c>
      <c r="N121" s="17">
        <f t="shared" si="17"/>
        <v>0.847646901989683</v>
      </c>
      <c r="O121" s="17">
        <f t="shared" si="18"/>
        <v>1.38958506632277</v>
      </c>
      <c r="R121" s="4">
        <v>0</v>
      </c>
      <c r="S121" s="16" t="s">
        <v>118</v>
      </c>
      <c r="T121" s="17">
        <v>5</v>
      </c>
      <c r="U121" s="17">
        <v>5</v>
      </c>
      <c r="V121" s="17">
        <v>5</v>
      </c>
      <c r="W121" s="17">
        <v>5</v>
      </c>
    </row>
    <row r="122" spans="3:23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J122" s="4">
        <v>2050</v>
      </c>
      <c r="K122" s="16" t="s">
        <v>118</v>
      </c>
      <c r="L122" s="17" t="s">
        <v>162</v>
      </c>
      <c r="M122" s="17">
        <f t="shared" si="16"/>
        <v>1.11611406005895</v>
      </c>
      <c r="N122" s="17">
        <f t="shared" si="17"/>
        <v>0.847505694473101</v>
      </c>
      <c r="O122" s="17">
        <f t="shared" si="18"/>
        <v>1.38935360316875</v>
      </c>
      <c r="R122" s="4">
        <v>0</v>
      </c>
      <c r="S122" s="16" t="s">
        <v>118</v>
      </c>
      <c r="T122" s="17">
        <v>5</v>
      </c>
      <c r="U122" s="17">
        <v>5</v>
      </c>
      <c r="V122" s="17">
        <v>5</v>
      </c>
      <c r="W122" s="17">
        <v>5</v>
      </c>
    </row>
    <row r="123" spans="3:23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J123" s="4">
        <v>2050</v>
      </c>
      <c r="K123" s="16" t="s">
        <v>118</v>
      </c>
      <c r="L123" s="17" t="s">
        <v>163</v>
      </c>
      <c r="M123" s="17">
        <f t="shared" si="16"/>
        <v>1.1160211134365</v>
      </c>
      <c r="N123" s="17">
        <f t="shared" si="17"/>
        <v>0.847435113780397</v>
      </c>
      <c r="O123" s="17">
        <f t="shared" si="18"/>
        <v>1.38923790619012</v>
      </c>
      <c r="R123" s="4">
        <v>0</v>
      </c>
      <c r="S123" s="16" t="s">
        <v>118</v>
      </c>
      <c r="T123" s="17">
        <v>5</v>
      </c>
      <c r="U123" s="17">
        <v>5</v>
      </c>
      <c r="V123" s="17">
        <v>5</v>
      </c>
      <c r="W123" s="17">
        <v>5</v>
      </c>
    </row>
    <row r="124" spans="3:23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J124" s="4">
        <v>2050</v>
      </c>
      <c r="K124" s="16" t="s">
        <v>118</v>
      </c>
      <c r="L124" s="19" t="s">
        <v>164</v>
      </c>
      <c r="M124" s="17">
        <f t="shared" si="16"/>
        <v>1.11583526632277</v>
      </c>
      <c r="N124" s="17">
        <f t="shared" si="17"/>
        <v>0.847293998526159</v>
      </c>
      <c r="O124" s="17">
        <f t="shared" si="18"/>
        <v>1.38900655836404</v>
      </c>
      <c r="R124" s="4">
        <v>0</v>
      </c>
      <c r="S124" s="16" t="s">
        <v>118</v>
      </c>
      <c r="T124" s="17">
        <v>5</v>
      </c>
      <c r="U124" s="17">
        <v>5</v>
      </c>
      <c r="V124" s="17">
        <v>5</v>
      </c>
      <c r="W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2025-03-30T21:49:35Z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