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<sst xmlns="http://schemas.openxmlformats.org/spreadsheetml/2006/main" count="7861" uniqueCount="502">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</sst>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ahoma"/>
      <charset val="1"/>
    </font>
    <font>
      <sz val="9"/>
      <name val="Times New Roman"/>
      <charset val="0"/>
    </font>
    <font>
      <sz val="9"/>
      <name val="Times New Roman"/>
      <charset val="134"/>
    </font>
    <font>
      <b/>
      <sz val="9"/>
      <name val="Times New Roman"/>
      <charset val="134"/>
    </font>
    <font>
      <b/>
      <sz val="9"/>
      <name val="Times New Roman"/>
      <charset val="0"/>
    </font>
    <font>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AX136" workbookViewId="0">
      <selection activeCell="BH162" sqref="BH162"/>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3"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2" t="s">
        <v>99</v>
      </c>
      <c r="C32" s="52"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2">
        <v>121.57</v>
      </c>
      <c r="C33" s="52">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71" zoomScaleNormal="71" topLeftCell="A116" workbookViewId="0">
      <selection activeCell="D132" sqref="D13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6"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80"/>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1"/>
      <c r="CP65" s="81"/>
      <c r="CR65" s="81"/>
      <c r="CS65" s="81"/>
      <c r="CT65" s="81"/>
      <c r="CU65" s="81"/>
      <c r="CW65" s="71"/>
      <c r="CX65" s="82"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3"/>
      <c r="CR66" s="83"/>
      <c r="CT66" s="83"/>
      <c r="CU66" s="83"/>
      <c r="CW66" t="s">
        <v>132</v>
      </c>
      <c r="CX66" t="s">
        <v>136</v>
      </c>
      <c r="CY66" t="s">
        <v>65</v>
      </c>
      <c r="CZ66" t="s">
        <v>111</v>
      </c>
      <c r="DA66" s="84" t="s">
        <v>41</v>
      </c>
      <c r="DB66" s="84" t="s">
        <v>66</v>
      </c>
    </row>
    <row r="67" s="68" customFormat="1" ht="14.5" spans="1:106">
      <c r="A67" s="68">
        <v>2020</v>
      </c>
      <c r="B67" s="85" t="s">
        <v>184</v>
      </c>
      <c r="C67" s="72" t="s">
        <v>185</v>
      </c>
      <c r="D67" s="86" t="s">
        <v>186</v>
      </c>
      <c r="E67" s="80"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3"/>
      <c r="CR67" s="83"/>
      <c r="CT67" s="83"/>
      <c r="CU67" s="83"/>
      <c r="CW67" s="87" t="s">
        <v>184</v>
      </c>
      <c r="CX67" t="s">
        <v>185</v>
      </c>
      <c r="CY67" s="71" t="str">
        <f>D67</f>
        <v>MINBatMaterials_LI</v>
      </c>
      <c r="CZ67" s="71" t="s">
        <v>187</v>
      </c>
      <c r="DA67" s="84">
        <v>0</v>
      </c>
      <c r="DB67" s="84">
        <v>-1</v>
      </c>
    </row>
    <row r="68" s="68" customFormat="1" ht="16" spans="1:106">
      <c r="A68" s="68">
        <v>2020</v>
      </c>
      <c r="B68" s="85" t="s">
        <v>184</v>
      </c>
      <c r="C68" s="72" t="s">
        <v>185</v>
      </c>
      <c r="D68" s="88" t="s">
        <v>188</v>
      </c>
      <c r="E68" s="80"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3"/>
      <c r="CR68" s="83"/>
      <c r="CT68" s="83"/>
      <c r="CU68" s="83"/>
      <c r="CW68" s="87" t="s">
        <v>184</v>
      </c>
      <c r="CX68" t="s">
        <v>185</v>
      </c>
      <c r="CY68" s="71" t="str">
        <f t="shared" ref="CY68:CY73" si="7">D68</f>
        <v>MINBatMaterials_NI</v>
      </c>
      <c r="CZ68" s="71" t="s">
        <v>189</v>
      </c>
      <c r="DA68" s="84">
        <v>0</v>
      </c>
      <c r="DB68" s="84">
        <v>-1</v>
      </c>
    </row>
    <row r="69" s="69" customFormat="1" ht="16" spans="1:106">
      <c r="A69" s="68">
        <v>2020</v>
      </c>
      <c r="B69" s="89" t="s">
        <v>184</v>
      </c>
      <c r="C69" s="69"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8" t="str">
        <f t="shared" si="6"/>
        <v>m_cobalt</v>
      </c>
      <c r="CQ69" s="92"/>
      <c r="CR69" s="92"/>
      <c r="CT69" s="92"/>
      <c r="CU69" s="92"/>
      <c r="CW69" s="89" t="s">
        <v>184</v>
      </c>
      <c r="CX69" s="69" t="s">
        <v>185</v>
      </c>
      <c r="CY69" s="71" t="str">
        <f t="shared" si="7"/>
        <v>MINBatMaterials_COB</v>
      </c>
      <c r="CZ69" s="90" t="s">
        <v>191</v>
      </c>
      <c r="DA69" s="92">
        <v>0</v>
      </c>
      <c r="DB69" s="84">
        <v>-1</v>
      </c>
    </row>
    <row r="70" s="68" customFormat="1" ht="16" spans="1:106">
      <c r="A70" s="68">
        <v>2020</v>
      </c>
      <c r="B70" s="85" t="s">
        <v>184</v>
      </c>
      <c r="C70" s="72"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3"/>
      <c r="CR70" s="83"/>
      <c r="CT70" s="83"/>
      <c r="CU70" s="83"/>
      <c r="CW70" s="87" t="s">
        <v>184</v>
      </c>
      <c r="CX70" t="s">
        <v>185</v>
      </c>
      <c r="CY70" s="71" t="str">
        <f t="shared" si="7"/>
        <v>MINBatMaterials_MN</v>
      </c>
      <c r="CZ70" s="96" t="s">
        <v>193</v>
      </c>
      <c r="DA70" s="84">
        <v>0</v>
      </c>
      <c r="DB70" s="84">
        <v>-1</v>
      </c>
    </row>
    <row r="71" s="70" customFormat="1" ht="16" spans="1:106">
      <c r="A71" s="70">
        <v>2020</v>
      </c>
      <c r="B71" s="97" t="s">
        <v>184</v>
      </c>
      <c r="C71" s="70" t="s">
        <v>185</v>
      </c>
      <c r="D71" s="98" t="s">
        <v>194</v>
      </c>
      <c r="E71" s="99" t="s">
        <v>195</v>
      </c>
      <c r="F71" s="70">
        <f t="shared" ref="F71:L73" si="11">D81/1000</f>
        <v>0</v>
      </c>
      <c r="G71" s="70">
        <f t="shared" si="11"/>
        <v>0</v>
      </c>
      <c r="H71" s="70">
        <f t="shared" si="11"/>
        <v>0</v>
      </c>
      <c r="I71" s="70">
        <f t="shared" si="11"/>
        <v>0</v>
      </c>
      <c r="J71" s="70">
        <f t="shared" si="11"/>
        <v>0</v>
      </c>
      <c r="K71" s="70">
        <f t="shared" si="11"/>
        <v>0</v>
      </c>
      <c r="L71" s="70">
        <f t="shared" si="11"/>
        <v>0</v>
      </c>
      <c r="M71" s="100">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100">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1"/>
      <c r="CR71" s="101"/>
      <c r="CT71" s="101"/>
      <c r="CU71" s="101"/>
      <c r="CW71" s="97" t="s">
        <v>184</v>
      </c>
      <c r="CX71" s="70" t="s">
        <v>185</v>
      </c>
      <c r="CY71" s="99" t="str">
        <f t="shared" si="7"/>
        <v>MINBatMaterials_AL</v>
      </c>
      <c r="CZ71" s="99" t="s">
        <v>195</v>
      </c>
      <c r="DA71" s="101">
        <v>0</v>
      </c>
      <c r="DB71" s="84">
        <v>-1</v>
      </c>
    </row>
    <row r="72" s="68" customFormat="1" ht="16" spans="1:106">
      <c r="A72" s="68">
        <v>2020</v>
      </c>
      <c r="B72" s="85" t="s">
        <v>184</v>
      </c>
      <c r="C72" s="72" t="s">
        <v>185</v>
      </c>
      <c r="D72" s="88" t="s">
        <v>196</v>
      </c>
      <c r="E72" s="80"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3"/>
      <c r="CR72" s="83"/>
      <c r="CT72" s="83"/>
      <c r="CU72" s="83"/>
      <c r="CW72" s="87" t="s">
        <v>184</v>
      </c>
      <c r="CX72" t="s">
        <v>185</v>
      </c>
      <c r="CY72" s="71" t="str">
        <f t="shared" si="7"/>
        <v>MINBatMaterials_COP</v>
      </c>
      <c r="CZ72" s="71" t="s">
        <v>197</v>
      </c>
      <c r="DA72" s="84">
        <v>0</v>
      </c>
      <c r="DB72" s="84">
        <v>-1</v>
      </c>
    </row>
    <row r="73" s="67" customFormat="1" ht="16" spans="1:106">
      <c r="A73" s="68">
        <v>2020</v>
      </c>
      <c r="B73" s="85" t="s">
        <v>184</v>
      </c>
      <c r="C73" s="72" t="s">
        <v>185</v>
      </c>
      <c r="D73" s="88" t="s">
        <v>198</v>
      </c>
      <c r="E73" s="80"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1"/>
      <c r="CR73" s="83"/>
      <c r="CT73" s="81"/>
      <c r="CU73" s="81"/>
      <c r="CW73" s="87" t="s">
        <v>184</v>
      </c>
      <c r="CX73" t="s">
        <v>185</v>
      </c>
      <c r="CY73" s="71" t="str">
        <f t="shared" si="7"/>
        <v>MINBatMaterials_GR</v>
      </c>
      <c r="CZ73" s="71" t="s">
        <v>199</v>
      </c>
      <c r="DA73" s="84">
        <v>0</v>
      </c>
      <c r="DB73" s="84">
        <v>-1</v>
      </c>
    </row>
    <row r="74" s="71" customFormat="1"/>
    <row r="75" s="71" customFormat="1" spans="1:106">
      <c r="E75" s="71" t="s">
        <v>200</v>
      </c>
    </row>
    <row r="76" s="71" customFormat="1"/>
    <row r="77" s="71"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1"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1"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1"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1"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1"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1"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1"/>
      <c r="D95" s="71"/>
      <c r="F95" s="71"/>
      <c r="H95" s="71"/>
      <c r="I95" s="71"/>
      <c r="J95" s="71"/>
      <c r="K95" s="71"/>
      <c r="L95" s="71"/>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1"/>
      <c r="D96" s="71"/>
      <c r="H96" s="71"/>
      <c r="I96" s="71"/>
      <c r="J96" s="71"/>
      <c r="K96" s="71"/>
      <c r="L96" s="71"/>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1"/>
      <c r="D97" s="71"/>
      <c r="F97" s="71"/>
      <c r="H97" s="71"/>
      <c r="I97" s="71"/>
      <c r="J97" s="71"/>
      <c r="K97" s="71"/>
      <c r="L97" s="71"/>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1"/>
      <c r="D98" s="71"/>
      <c r="H98" s="71"/>
      <c r="I98" s="71"/>
      <c r="J98" s="71"/>
      <c r="K98" s="71"/>
      <c r="L98" s="71"/>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1"/>
      <c r="F99" s="71"/>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1"/>
      <c r="D100" s="71"/>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1"/>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1"/>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1"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1"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1"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1"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1"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1"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1"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1"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1"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1"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1"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1"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1"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1"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1"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1"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1"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1"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1"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1"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1"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1"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1"/>
      <c r="Y132" s="71"/>
      <c r="Z132" t="s">
        <v>130</v>
      </c>
      <c r="AE132" s="71"/>
      <c r="AF132" t="s">
        <v>130</v>
      </c>
    </row>
    <row r="133" spans="3:35">
      <c r="C133" s="126" t="s">
        <v>132</v>
      </c>
      <c r="D133" s="127" t="s">
        <v>65</v>
      </c>
      <c r="E133" s="127" t="s">
        <v>66</v>
      </c>
      <c r="F133" s="127"/>
      <c r="G133" s="127"/>
      <c r="M133" s="71"/>
      <c r="N133" s="71"/>
      <c r="O133" s="71"/>
      <c r="P133" s="71"/>
      <c r="Q133" s="71"/>
      <c r="X133" t="s">
        <v>41</v>
      </c>
      <c r="Y133" s="71" t="s">
        <v>132</v>
      </c>
      <c r="Z133" s="117" t="s">
        <v>65</v>
      </c>
      <c r="AA133" s="128" t="s">
        <v>66</v>
      </c>
      <c r="AB133" s="71"/>
      <c r="AC133" s="71"/>
      <c r="AD133" t="s">
        <v>41</v>
      </c>
      <c r="AE133" s="71" t="s">
        <v>132</v>
      </c>
      <c r="AF133" s="117" t="s">
        <v>65</v>
      </c>
      <c r="AG133" s="117" t="s">
        <v>66</v>
      </c>
      <c r="AH133" s="117" t="s">
        <v>11</v>
      </c>
      <c r="AI133" s="117" t="s">
        <v>25</v>
      </c>
    </row>
    <row r="134" spans="3:35">
      <c r="C134" s="126" t="s">
        <v>275</v>
      </c>
      <c r="D134" s="127" t="s">
        <v>237</v>
      </c>
      <c r="E134" s="127">
        <v>0.1</v>
      </c>
      <c r="F134" s="129"/>
      <c r="G134" s="129"/>
      <c r="M134" s="71"/>
      <c r="N134" s="71"/>
      <c r="O134" s="71"/>
      <c r="P134" s="71"/>
      <c r="Q134" s="71"/>
      <c r="X134">
        <v>0</v>
      </c>
      <c r="Y134" s="71" t="s">
        <v>236</v>
      </c>
      <c r="Z134" s="117" t="s">
        <v>237</v>
      </c>
      <c r="AA134" s="128">
        <v>5</v>
      </c>
      <c r="AB134" s="71"/>
      <c r="AC134" s="71"/>
      <c r="AD134">
        <v>2050</v>
      </c>
      <c r="AE134" s="71"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1"/>
      <c r="N135" s="71"/>
      <c r="O135" s="71"/>
      <c r="P135" s="71"/>
      <c r="Q135" s="71"/>
      <c r="X135">
        <v>0</v>
      </c>
      <c r="Y135" s="71" t="s">
        <v>236</v>
      </c>
      <c r="Z135" s="117" t="s">
        <v>239</v>
      </c>
      <c r="AA135" s="128">
        <v>5</v>
      </c>
      <c r="AB135" s="71"/>
      <c r="AC135" s="71"/>
      <c r="AD135">
        <v>2050</v>
      </c>
      <c r="AE135" s="71"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1"/>
      <c r="N136" s="71"/>
      <c r="O136" s="71"/>
      <c r="P136" s="71"/>
      <c r="Q136" s="71"/>
      <c r="X136">
        <v>0</v>
      </c>
      <c r="Y136" s="71" t="s">
        <v>236</v>
      </c>
      <c r="Z136" s="117" t="s">
        <v>241</v>
      </c>
      <c r="AA136" s="128">
        <v>5</v>
      </c>
      <c r="AB136" s="71"/>
      <c r="AC136" s="71"/>
      <c r="AD136">
        <v>2050</v>
      </c>
      <c r="AE136" s="71"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1"/>
      <c r="N137" s="71"/>
      <c r="O137" s="71"/>
      <c r="P137" s="71"/>
      <c r="Q137" s="71"/>
      <c r="X137">
        <v>0</v>
      </c>
      <c r="Y137" s="71" t="s">
        <v>236</v>
      </c>
      <c r="Z137" s="117" t="s">
        <v>243</v>
      </c>
      <c r="AA137" s="128">
        <v>5</v>
      </c>
      <c r="AB137" s="71"/>
      <c r="AC137" s="71"/>
      <c r="AD137">
        <v>2050</v>
      </c>
      <c r="AE137" s="71"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1"/>
      <c r="N138" s="71"/>
      <c r="O138" s="71"/>
      <c r="P138" s="71"/>
      <c r="Q138" s="71"/>
      <c r="X138">
        <v>0</v>
      </c>
      <c r="Y138" s="71" t="s">
        <v>236</v>
      </c>
      <c r="Z138" s="117" t="s">
        <v>245</v>
      </c>
      <c r="AA138" s="128">
        <v>5</v>
      </c>
      <c r="AB138" s="71"/>
      <c r="AC138" s="71"/>
      <c r="AD138">
        <v>2050</v>
      </c>
      <c r="AE138" s="71"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1"/>
      <c r="N139" s="71"/>
      <c r="O139" s="71"/>
      <c r="P139" s="71"/>
      <c r="Q139" s="71"/>
      <c r="X139">
        <v>0</v>
      </c>
      <c r="Y139" s="71" t="s">
        <v>236</v>
      </c>
      <c r="Z139" s="117" t="s">
        <v>247</v>
      </c>
      <c r="AA139" s="128">
        <v>5</v>
      </c>
      <c r="AB139" s="71"/>
      <c r="AC139" s="71"/>
      <c r="AD139">
        <v>2050</v>
      </c>
      <c r="AE139" s="71"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1"/>
      <c r="N140" s="71"/>
      <c r="O140" s="71"/>
      <c r="P140" s="71"/>
      <c r="Q140" s="71"/>
      <c r="X140">
        <v>0</v>
      </c>
      <c r="Y140" s="71" t="s">
        <v>236</v>
      </c>
      <c r="Z140" s="117" t="s">
        <v>249</v>
      </c>
      <c r="AA140" s="128">
        <v>5</v>
      </c>
      <c r="AB140" s="71"/>
      <c r="AC140" s="71"/>
      <c r="AD140">
        <v>2050</v>
      </c>
      <c r="AE140" s="71"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1"/>
      <c r="N141" s="71"/>
      <c r="O141" s="71"/>
      <c r="P141" s="71"/>
      <c r="Q141" s="71"/>
      <c r="X141">
        <v>0</v>
      </c>
      <c r="Y141" s="71" t="s">
        <v>236</v>
      </c>
      <c r="Z141" s="117" t="s">
        <v>251</v>
      </c>
      <c r="AA141" s="128">
        <v>5</v>
      </c>
      <c r="AB141" s="71"/>
      <c r="AC141" s="71"/>
      <c r="AD141">
        <v>2050</v>
      </c>
      <c r="AE141" s="71"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1"/>
      <c r="N142" s="71"/>
      <c r="O142" s="71"/>
      <c r="P142" s="71"/>
      <c r="Q142" s="71"/>
      <c r="X142">
        <v>0</v>
      </c>
      <c r="Y142" s="71" t="s">
        <v>236</v>
      </c>
      <c r="Z142" s="117" t="s">
        <v>253</v>
      </c>
      <c r="AA142" s="128">
        <v>5</v>
      </c>
      <c r="AB142" s="71"/>
      <c r="AC142" s="71"/>
      <c r="AD142">
        <v>2050</v>
      </c>
      <c r="AE142" s="71"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1"/>
      <c r="N143" s="71"/>
      <c r="O143" s="71"/>
      <c r="P143" s="71"/>
      <c r="Q143" s="71"/>
      <c r="X143">
        <v>0</v>
      </c>
      <c r="Y143" s="71" t="s">
        <v>236</v>
      </c>
      <c r="Z143" s="117" t="s">
        <v>254</v>
      </c>
      <c r="AA143" s="128">
        <v>5</v>
      </c>
      <c r="AB143" s="71"/>
      <c r="AC143" s="71"/>
      <c r="AD143">
        <v>2050</v>
      </c>
      <c r="AE143" s="71"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1"/>
      <c r="N144" s="71"/>
      <c r="O144" s="71"/>
      <c r="P144" s="71"/>
      <c r="Q144" s="71"/>
      <c r="X144">
        <v>0</v>
      </c>
      <c r="Y144" s="71" t="s">
        <v>236</v>
      </c>
      <c r="Z144" s="117" t="s">
        <v>256</v>
      </c>
      <c r="AA144" s="128">
        <v>5</v>
      </c>
      <c r="AB144" s="71"/>
      <c r="AC144" s="71"/>
      <c r="AD144">
        <v>2050</v>
      </c>
      <c r="AE144" s="71"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1"/>
      <c r="N145" s="71"/>
      <c r="O145" s="71"/>
      <c r="P145" s="71"/>
      <c r="Q145" s="71"/>
      <c r="X145">
        <v>0</v>
      </c>
      <c r="Y145" s="71" t="s">
        <v>236</v>
      </c>
      <c r="Z145" s="117" t="s">
        <v>258</v>
      </c>
      <c r="AA145" s="128">
        <v>5</v>
      </c>
      <c r="AB145" s="71"/>
      <c r="AC145" s="71"/>
      <c r="AD145">
        <v>2050</v>
      </c>
      <c r="AE145" s="71"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1"/>
      <c r="N146" s="71"/>
      <c r="O146" s="71"/>
      <c r="P146" s="71"/>
      <c r="Q146" s="71"/>
      <c r="X146">
        <v>0</v>
      </c>
      <c r="Y146" s="71" t="s">
        <v>236</v>
      </c>
      <c r="Z146" s="117" t="s">
        <v>260</v>
      </c>
      <c r="AA146" s="128">
        <v>5</v>
      </c>
      <c r="AB146" s="71"/>
      <c r="AC146" s="71"/>
      <c r="AD146">
        <v>2050</v>
      </c>
      <c r="AE146" s="71"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1"/>
      <c r="N147" s="71"/>
      <c r="O147" s="71"/>
      <c r="P147" s="71"/>
      <c r="Q147" s="71"/>
      <c r="X147">
        <v>0</v>
      </c>
      <c r="Y147" s="71" t="s">
        <v>236</v>
      </c>
      <c r="Z147" s="117" t="s">
        <v>262</v>
      </c>
      <c r="AA147" s="128">
        <v>5</v>
      </c>
      <c r="AB147" s="71"/>
      <c r="AC147" s="71"/>
      <c r="AD147">
        <v>2050</v>
      </c>
      <c r="AE147" s="71"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1"/>
      <c r="N148" s="71"/>
      <c r="O148" s="71"/>
      <c r="P148" s="71"/>
      <c r="Q148" s="71"/>
      <c r="X148">
        <v>0</v>
      </c>
      <c r="Y148" s="71" t="s">
        <v>236</v>
      </c>
      <c r="Z148" s="117" t="s">
        <v>264</v>
      </c>
      <c r="AA148" s="128">
        <v>5</v>
      </c>
      <c r="AB148" s="71"/>
      <c r="AC148" s="71"/>
      <c r="AD148">
        <v>2050</v>
      </c>
      <c r="AE148" s="71"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1"/>
      <c r="N149" s="71"/>
      <c r="O149" s="71"/>
      <c r="P149" s="71"/>
      <c r="Q149" s="71"/>
      <c r="X149">
        <v>0</v>
      </c>
      <c r="Y149" s="71" t="s">
        <v>236</v>
      </c>
      <c r="Z149" s="117" t="s">
        <v>266</v>
      </c>
      <c r="AA149" s="128">
        <v>5</v>
      </c>
      <c r="AB149" s="71"/>
      <c r="AC149" s="71"/>
      <c r="AD149">
        <v>2050</v>
      </c>
      <c r="AE149" s="71"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1"/>
      <c r="N150" s="71"/>
      <c r="O150" s="71"/>
      <c r="P150" s="71"/>
      <c r="Q150" s="71"/>
      <c r="X150">
        <v>0</v>
      </c>
      <c r="Y150" s="71" t="s">
        <v>236</v>
      </c>
      <c r="Z150" s="117" t="s">
        <v>268</v>
      </c>
      <c r="AA150" s="128">
        <v>5</v>
      </c>
      <c r="AB150" s="71"/>
      <c r="AC150" s="71"/>
      <c r="AD150">
        <v>2050</v>
      </c>
      <c r="AE150" s="71"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1"/>
      <c r="N151" s="71"/>
      <c r="O151" s="71"/>
      <c r="P151" s="71"/>
      <c r="Q151" s="71"/>
      <c r="X151">
        <v>0</v>
      </c>
      <c r="Y151" s="71" t="s">
        <v>236</v>
      </c>
      <c r="Z151" s="117" t="s">
        <v>269</v>
      </c>
      <c r="AA151" s="128">
        <v>5</v>
      </c>
      <c r="AB151" s="71"/>
      <c r="AC151" s="71"/>
      <c r="AD151">
        <v>2050</v>
      </c>
      <c r="AE151" s="71"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1"/>
      <c r="N152" s="71"/>
      <c r="O152" s="71"/>
      <c r="P152" s="71"/>
      <c r="Q152" s="71"/>
      <c r="X152">
        <v>0</v>
      </c>
      <c r="Y152" s="71" t="s">
        <v>236</v>
      </c>
      <c r="Z152" s="117" t="s">
        <v>271</v>
      </c>
      <c r="AA152" s="128">
        <v>5</v>
      </c>
      <c r="AB152" s="71"/>
      <c r="AC152" s="71"/>
      <c r="AD152">
        <v>2050</v>
      </c>
      <c r="AE152" s="71"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1"/>
      <c r="N153" s="71"/>
      <c r="O153" s="71"/>
      <c r="P153" s="71"/>
      <c r="Q153" s="71"/>
      <c r="X153">
        <v>0</v>
      </c>
      <c r="Y153" s="71" t="s">
        <v>236</v>
      </c>
      <c r="Z153" s="117" t="s">
        <v>273</v>
      </c>
      <c r="AA153" s="128">
        <v>5</v>
      </c>
      <c r="AB153" s="71"/>
      <c r="AC153" s="71"/>
      <c r="AD153">
        <v>2050</v>
      </c>
      <c r="AE153" s="71"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1"/>
      <c r="N154" s="71"/>
      <c r="O154" s="71"/>
      <c r="P154" s="71"/>
      <c r="Q154" s="71"/>
      <c r="X154">
        <v>0</v>
      </c>
      <c r="Y154" s="71" t="s">
        <v>236</v>
      </c>
      <c r="Z154" s="117" t="s">
        <v>274</v>
      </c>
      <c r="AA154" s="128">
        <v>5</v>
      </c>
      <c r="AB154" s="71"/>
      <c r="AC154" s="71"/>
      <c r="AD154">
        <v>2050</v>
      </c>
      <c r="AE154" s="71" t="s">
        <v>236</v>
      </c>
      <c r="AF154" s="125" t="s">
        <v>274</v>
      </c>
      <c r="AG154" s="117">
        <f t="shared" si="21"/>
        <v>1.11583526632277</v>
      </c>
      <c r="AH154" s="117">
        <f t="shared" si="22"/>
        <v>0.847293998526159</v>
      </c>
      <c r="AI154" s="117">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31"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2"/>
      <c r="C284" s="72"/>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2020</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2020</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2020</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2020</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2020</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2020</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2020</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2020</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39" workbookViewId="0">
      <selection activeCell="AE143" sqref="AE14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zoomScale="117" zoomScaleNormal="117" topLeftCell="D246"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2026-08-06T01:16:12Z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