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4" activeTab="6"/>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<sst xmlns="http://schemas.openxmlformats.org/spreadsheetml/2006/main" count="5464" uniqueCount="289">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</sst>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i/>
      <u/>
      <sz val="11"/>
      <color theme="1"/>
      <name val="Calibri"/>
      <charset val="134"/>
      <scheme val="minor"/>
    </font>
    <font>
      <sz val="11"/>
      <color theme="5"/>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134"/>
    </font>
    <font>
      <sz val="9"/>
      <name val="Times New Roman"/>
      <charset val="134"/>
    </font>
    <font>
      <b/>
      <sz val="9"/>
      <name val="Times New Roman"/>
      <charset val="0"/>
    </font>
    <font>
      <sz val="9"/>
      <name val="Times New Roman"/>
      <charset val="0"/>
    </font>
    <font>
      <b/>
      <sz val="9"/>
      <name val="Tahoma"/>
      <charset val="1"/>
    </font>
    <font>
      <sz val="9"/>
      <name val="Tahoma"/>
      <charset val="1"/>
    </font>
  </fonts>
  <fills count="50">
    <fill>
      <patternFill patternType="none"/>
    </fill>
    <fill>
      <patternFill patternType="gray125"/>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theme="0" tint="-0.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4"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5" borderId="6" applyNumberFormat="0" applyAlignment="0" applyProtection="0">
      <alignment vertical="center"/>
    </xf>
    <xf numFmtId="0" fontId="30" fillId="26" borderId="7" applyNumberFormat="0" applyAlignment="0" applyProtection="0">
      <alignment vertical="center"/>
    </xf>
    <xf numFmtId="0" fontId="31" fillId="26" borderId="6" applyNumberFormat="0" applyAlignment="0" applyProtection="0">
      <alignment vertical="center"/>
    </xf>
    <xf numFmtId="0" fontId="32" fillId="27"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9" fillId="34" borderId="0" applyNumberFormat="0" applyBorder="0" applyAlignment="0" applyProtection="0">
      <alignment vertical="center"/>
    </xf>
    <xf numFmtId="0" fontId="39"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9" fillId="38" borderId="0" applyNumberFormat="0" applyBorder="0" applyAlignment="0" applyProtection="0">
      <alignment vertical="center"/>
    </xf>
    <xf numFmtId="0" fontId="39" fillId="39" borderId="0" applyNumberFormat="0" applyBorder="0" applyAlignment="0" applyProtection="0">
      <alignment vertical="center"/>
    </xf>
    <xf numFmtId="0" fontId="38" fillId="40" borderId="0" applyNumberFormat="0" applyBorder="0" applyAlignment="0" applyProtection="0">
      <alignment vertical="center"/>
    </xf>
    <xf numFmtId="0" fontId="38" fillId="41" borderId="0" applyNumberFormat="0" applyBorder="0" applyAlignment="0" applyProtection="0">
      <alignment vertical="center"/>
    </xf>
    <xf numFmtId="0" fontId="39" fillId="42" borderId="0" applyNumberFormat="0" applyBorder="0" applyAlignment="0" applyProtection="0">
      <alignment vertical="center"/>
    </xf>
    <xf numFmtId="0" fontId="39" fillId="43" borderId="0" applyNumberFormat="0" applyBorder="0" applyAlignment="0" applyProtection="0">
      <alignment vertical="center"/>
    </xf>
    <xf numFmtId="0" fontId="38" fillId="44" borderId="0" applyNumberFormat="0" applyBorder="0" applyAlignment="0" applyProtection="0">
      <alignment vertical="center"/>
    </xf>
    <xf numFmtId="0" fontId="38" fillId="45" borderId="0" applyNumberFormat="0" applyBorder="0" applyAlignment="0" applyProtection="0">
      <alignment vertical="center"/>
    </xf>
    <xf numFmtId="0" fontId="39" fillId="9" borderId="0" applyNumberFormat="0" applyBorder="0" applyAlignment="0" applyProtection="0">
      <alignment vertical="center"/>
    </xf>
    <xf numFmtId="0" fontId="39" fillId="46" borderId="0" applyNumberFormat="0" applyBorder="0" applyAlignment="0" applyProtection="0">
      <alignment vertical="center"/>
    </xf>
    <xf numFmtId="0" fontId="38" fillId="47" borderId="0" applyNumberFormat="0" applyBorder="0" applyAlignment="0" applyProtection="0">
      <alignment vertical="center"/>
    </xf>
    <xf numFmtId="0" fontId="38" fillId="20" borderId="0" applyNumberFormat="0" applyBorder="0" applyAlignment="0" applyProtection="0">
      <alignment vertical="center"/>
    </xf>
    <xf numFmtId="0" fontId="39" fillId="7" borderId="0" applyNumberFormat="0" applyBorder="0" applyAlignment="0" applyProtection="0">
      <alignment vertical="center"/>
    </xf>
    <xf numFmtId="0" fontId="39" fillId="48" borderId="0" applyNumberFormat="0" applyBorder="0" applyAlignment="0" applyProtection="0">
      <alignment vertical="center"/>
    </xf>
    <xf numFmtId="0" fontId="38" fillId="49" borderId="0" applyNumberFormat="0" applyBorder="0" applyAlignment="0" applyProtection="0">
      <alignment vertical="center"/>
    </xf>
    <xf numFmtId="0" fontId="0" fillId="0" borderId="0"/>
    <xf numFmtId="0" fontId="0" fillId="0" borderId="0"/>
    <xf numFmtId="0" fontId="0" fillId="0" borderId="0"/>
  </cellStyleXfs>
  <cellXfs count="99">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2" borderId="0" xfId="0" applyFont="1" applyFill="1" applyAlignment="1">
      <alignment horizontal="center" wrapText="1"/>
    </xf>
    <xf numFmtId="0" fontId="3" fillId="0" borderId="0" xfId="0" applyFont="1" applyFill="1" applyAlignment="1"/>
    <xf numFmtId="0" fontId="2" fillId="3" borderId="0" xfId="0" applyFont="1" applyFill="1" applyAlignment="1"/>
    <xf numFmtId="0" fontId="2" fillId="4" borderId="0" xfId="0" applyFont="1" applyFill="1" applyAlignment="1"/>
    <xf numFmtId="0" fontId="2" fillId="5" borderId="0" xfId="0" applyFont="1" applyFill="1" applyAlignment="1"/>
    <xf numFmtId="0" fontId="2" fillId="2" borderId="0" xfId="0" applyFont="1" applyFill="1" applyAlignment="1"/>
    <xf numFmtId="0" fontId="2" fillId="0" borderId="0" xfId="0" applyFont="1" applyFill="1" applyAlignment="1" applyProtection="1">
      <protection locked="0"/>
    </xf>
    <xf numFmtId="178" fontId="2" fillId="3" borderId="0" xfId="0" applyNumberFormat="1" applyFont="1" applyFill="1" applyAlignment="1"/>
    <xf numFmtId="0" fontId="4" fillId="6" borderId="0" xfId="0" applyFont="1" applyFill="1" applyAlignment="1">
      <alignment horizontal="center"/>
    </xf>
    <xf numFmtId="178" fontId="2" fillId="0" borderId="0" xfId="0" applyNumberFormat="1" applyFont="1" applyFill="1" applyAlignment="1"/>
    <xf numFmtId="178" fontId="2" fillId="7" borderId="0" xfId="0" applyNumberFormat="1" applyFont="1" applyFill="1" applyAlignment="1"/>
    <xf numFmtId="178" fontId="2" fillId="2"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179" fontId="1" fillId="8"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0" fillId="15" borderId="0" xfId="0" applyFill="1"/>
    <xf numFmtId="0" fontId="11" fillId="0" borderId="0" xfId="0" applyFont="1"/>
    <xf numFmtId="0" fontId="0" fillId="16" borderId="0" xfId="0" applyFill="1"/>
    <xf numFmtId="178" fontId="0" fillId="0" borderId="0" xfId="0" applyNumberFormat="1"/>
    <xf numFmtId="3" fontId="0" fillId="0" borderId="0" xfId="0" applyNumberFormat="1"/>
    <xf numFmtId="0" fontId="0" fillId="17" borderId="0" xfId="0" applyFill="1"/>
    <xf numFmtId="0" fontId="0" fillId="17" borderId="0" xfId="49" applyFill="1"/>
    <xf numFmtId="0" fontId="0" fillId="13" borderId="1" xfId="49" applyFill="1" applyBorder="1"/>
    <xf numFmtId="0" fontId="0" fillId="0" borderId="1" xfId="49" applyBorder="1"/>
    <xf numFmtId="0" fontId="0" fillId="13"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0" fillId="14" borderId="1" xfId="0" applyFill="1" applyBorder="1"/>
    <xf numFmtId="0" fontId="15" fillId="17" borderId="0" xfId="49" applyFont="1" applyFill="1"/>
    <xf numFmtId="0" fontId="15" fillId="13" borderId="0" xfId="0" applyFont="1" applyFill="1"/>
    <xf numFmtId="0" fontId="14" fillId="13" borderId="0" xfId="0" applyFont="1" applyFill="1"/>
    <xf numFmtId="0" fontId="15" fillId="0" borderId="0" xfId="49" applyFont="1"/>
    <xf numFmtId="0" fontId="16" fillId="13" borderId="0" xfId="0" applyFont="1" applyFill="1"/>
    <xf numFmtId="0" fontId="0" fillId="18" borderId="0" xfId="0" applyFill="1"/>
    <xf numFmtId="0" fontId="0" fillId="19" borderId="1" xfId="49" applyFill="1" applyBorder="1"/>
    <xf numFmtId="181" fontId="0" fillId="19" borderId="1" xfId="49" applyNumberFormat="1" applyFill="1" applyBorder="1"/>
    <xf numFmtId="0" fontId="0" fillId="19" borderId="2" xfId="49" applyFill="1" applyBorder="1"/>
    <xf numFmtId="0" fontId="17" fillId="20" borderId="0" xfId="0" applyFont="1" applyFill="1" applyAlignment="1"/>
    <xf numFmtId="0" fontId="1" fillId="0" borderId="0" xfId="0" applyFont="1" applyFill="1" applyAlignment="1">
      <alignment vertical="center"/>
    </xf>
    <xf numFmtId="0" fontId="18" fillId="0" borderId="0" xfId="0" applyFont="1" applyFill="1" applyAlignment="1">
      <alignment vertical="center"/>
    </xf>
    <xf numFmtId="0" fontId="19" fillId="0" borderId="0" xfId="0" applyFont="1" applyFill="1" applyAlignment="1"/>
    <xf numFmtId="0" fontId="1" fillId="21" borderId="0" xfId="0" applyFont="1" applyFill="1" applyAlignment="1">
      <alignment vertical="center"/>
    </xf>
    <xf numFmtId="0" fontId="1" fillId="21" borderId="0" xfId="0" applyNumberFormat="1" applyFont="1" applyFill="1" applyAlignment="1">
      <alignment vertical="center"/>
    </xf>
    <xf numFmtId="0" fontId="18" fillId="0" borderId="0" xfId="0" applyNumberFormat="1" applyFont="1" applyFill="1" applyAlignment="1">
      <alignment vertical="center"/>
    </xf>
    <xf numFmtId="0" fontId="0" fillId="0" borderId="0" xfId="49" applyAlignment="1">
      <alignment horizontal="center"/>
    </xf>
    <xf numFmtId="0" fontId="0" fillId="22" borderId="1" xfId="49" applyFill="1" applyBorder="1"/>
    <xf numFmtId="0" fontId="0" fillId="22" borderId="0" xfId="49" applyFill="1"/>
    <xf numFmtId="0" fontId="0" fillId="0" borderId="1" xfId="49" applyFill="1" applyBorder="1"/>
    <xf numFmtId="0" fontId="1" fillId="0" borderId="0" xfId="0" applyFont="1" applyFill="1" applyAlignment="1">
      <alignment wrapText="1"/>
    </xf>
    <xf numFmtId="0" fontId="16" fillId="20" borderId="0" xfId="49" applyFont="1" applyFill="1" applyAlignment="1">
      <alignment horizontal="center"/>
    </xf>
    <xf numFmtId="0" fontId="1" fillId="0" borderId="0" xfId="49" applyFont="1" applyAlignment="1">
      <alignment horizontal="center" vertical="center"/>
    </xf>
    <xf numFmtId="0" fontId="0" fillId="23" borderId="0" xfId="49" applyFill="1" applyAlignment="1">
      <alignment horizontal="center"/>
    </xf>
    <xf numFmtId="0" fontId="20" fillId="0" borderId="0" xfId="49" applyFont="1" applyAlignment="1">
      <alignment horizont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98" customWidth="1"/>
    <col min="2" max="2" width="8.81818181818182" style="98" customWidth="1"/>
    <col min="3" max="3" width="4.72727272727273" style="98" customWidth="1"/>
    <col min="4" max="4" width="8.81818181818182" style="98" customWidth="1"/>
    <col min="5" max="5" width="4.36363636363636" style="98" customWidth="1"/>
    <col min="6" max="6" width="4.27272727272727" style="98" customWidth="1"/>
    <col min="7" max="7" width="4.36363636363636" style="98" customWidth="1"/>
    <col min="8" max="8" width="4.63636363636364" style="98" customWidth="1"/>
    <col min="9" max="9" width="4" style="98" customWidth="1"/>
    <col min="10" max="10" width="4.36363636363636" style="98" customWidth="1"/>
    <col min="11" max="11" width="4.63636363636364" style="98" customWidth="1"/>
    <col min="12" max="12" width="4.36363636363636" style="98" customWidth="1"/>
    <col min="13" max="13" width="4" style="98" customWidth="1"/>
    <col min="14" max="14" width="4.27272727272727" style="98" customWidth="1"/>
    <col min="15" max="16" width="4.36363636363636" style="98" customWidth="1"/>
    <col min="17" max="18" width="4.63636363636364" style="98" customWidth="1"/>
    <col min="19" max="19" width="4.36363636363636" style="98" customWidth="1"/>
    <col min="20" max="20" width="5" style="98" customWidth="1"/>
    <col min="21" max="21" width="11.7272727272727" style="98" customWidth="1"/>
    <col min="22" max="22" width="10.7272727272727" style="98" customWidth="1"/>
    <col min="23" max="23" width="13.0909090909091" style="98" customWidth="1"/>
    <col min="24" max="259" width="11.3636363636364" style="98" customWidth="1"/>
    <col min="260" max="16384" width="9.09090909090909" style="9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8"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8"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8"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8"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8" t="s">
        <v>38</v>
      </c>
      <c r="B39" t="s">
        <v>4</v>
      </c>
      <c r="H39" s="53"/>
      <c r="I39" s="53"/>
      <c r="J39" s="53"/>
      <c r="K39" s="53"/>
      <c r="L39" s="53"/>
      <c r="M39" s="53"/>
      <c r="N39" s="53"/>
      <c r="O39" s="53"/>
      <c r="P39" s="53"/>
      <c r="Q39" s="53"/>
      <c r="R39" s="53"/>
      <c r="S39" s="53"/>
      <c r="T39" s="53"/>
      <c r="U39" s="53"/>
      <c r="V39" s="53"/>
      <c r="W39" s="53"/>
      <c r="X39" s="53"/>
      <c r="Y39" s="53"/>
      <c r="Z39" s="53"/>
      <c r="AA39" s="53"/>
    </row>
    <row r="40" spans="1:27">
      <c r="H40" s="53"/>
      <c r="I40" s="53"/>
      <c r="J40" s="53"/>
      <c r="K40" s="53"/>
      <c r="L40" s="53"/>
      <c r="M40" s="53"/>
      <c r="N40" s="53"/>
      <c r="O40" s="53"/>
      <c r="P40" s="53"/>
      <c r="Q40" s="53"/>
      <c r="R40" s="53"/>
      <c r="S40" s="53"/>
      <c r="T40" s="53"/>
      <c r="U40" s="53"/>
      <c r="V40" s="53"/>
      <c r="W40" s="53"/>
      <c r="X40" s="53"/>
      <c r="Y40" s="53"/>
      <c r="Z40" s="53"/>
      <c r="AA40" s="53"/>
    </row>
    <row r="41" spans="1:27">
      <c r="H41" s="53"/>
      <c r="I41" s="53"/>
      <c r="J41" s="53"/>
      <c r="K41" s="53"/>
      <c r="L41" s="53"/>
      <c r="M41" s="53"/>
      <c r="N41" s="53"/>
      <c r="O41" s="53"/>
      <c r="P41" s="53"/>
      <c r="Q41" s="53"/>
      <c r="R41" s="53"/>
      <c r="S41" s="53"/>
      <c r="T41" s="53"/>
      <c r="U41" s="53"/>
      <c r="V41" s="53"/>
      <c r="W41" s="53"/>
      <c r="X41" s="53"/>
      <c r="Y41" s="53"/>
      <c r="Z41" s="53"/>
      <c r="AA41" s="53"/>
    </row>
    <row r="42" spans="1:27">
      <c r="H42" s="53"/>
      <c r="I42" s="53"/>
      <c r="J42" s="53"/>
      <c r="K42" s="53"/>
      <c r="L42" s="53"/>
      <c r="M42" s="53"/>
      <c r="N42" s="53"/>
      <c r="O42" s="53"/>
      <c r="P42" s="53"/>
      <c r="Q42" s="53"/>
      <c r="R42" s="53"/>
      <c r="S42" s="53"/>
      <c r="T42" s="53"/>
      <c r="U42" s="53"/>
      <c r="V42" s="53"/>
      <c r="W42" s="53"/>
      <c r="X42" s="53"/>
      <c r="Y42" s="53"/>
      <c r="Z42" s="53"/>
      <c r="AA42" s="53"/>
    </row>
    <row r="43" spans="1:27">
      <c r="H43" s="53"/>
      <c r="I43" s="53"/>
      <c r="J43" s="53"/>
      <c r="K43" s="53"/>
      <c r="L43" s="53"/>
      <c r="M43" s="53"/>
      <c r="N43" s="53"/>
      <c r="O43" s="53"/>
      <c r="P43" s="53"/>
      <c r="Q43" s="53"/>
      <c r="R43" s="53"/>
      <c r="S43" s="53"/>
      <c r="T43" s="53"/>
      <c r="U43" s="53"/>
      <c r="V43" s="53"/>
      <c r="W43" s="53"/>
      <c r="X43" s="53"/>
      <c r="Y43" s="53"/>
      <c r="Z43" s="53"/>
      <c r="AA43" s="53"/>
    </row>
    <row r="44" spans="1:27">
      <c r="H44" s="53"/>
      <c r="I44" s="53"/>
      <c r="J44" s="53"/>
      <c r="K44" s="53"/>
      <c r="L44" s="53"/>
      <c r="M44" s="53"/>
      <c r="N44" s="53"/>
      <c r="O44" s="53"/>
      <c r="P44" s="53"/>
      <c r="Q44" s="53"/>
      <c r="R44" s="53"/>
      <c r="S44" s="53"/>
      <c r="T44" s="53"/>
      <c r="U44" s="53"/>
      <c r="V44" s="53"/>
      <c r="W44" s="53"/>
      <c r="X44" s="53"/>
      <c r="Y44" s="53"/>
      <c r="Z44" s="53"/>
      <c r="AA44" s="53"/>
    </row>
    <row r="45" spans="1:27">
      <c r="H45" s="53"/>
      <c r="I45" s="53"/>
      <c r="J45" s="53"/>
      <c r="K45" s="53"/>
      <c r="L45" s="53"/>
      <c r="M45" s="53"/>
      <c r="N45" s="53"/>
      <c r="O45" s="53"/>
      <c r="P45" s="53"/>
      <c r="Q45" s="53"/>
      <c r="R45" s="53"/>
      <c r="S45" s="53"/>
      <c r="T45" s="53"/>
      <c r="U45" s="53"/>
      <c r="V45" s="53"/>
      <c r="W45" s="53"/>
      <c r="X45" s="53"/>
      <c r="Y45" s="53"/>
      <c r="Z45" s="53"/>
      <c r="AA45" s="53"/>
    </row>
    <row r="46" spans="1:27">
      <c r="H46" s="53"/>
      <c r="I46" s="53"/>
      <c r="J46" s="53"/>
      <c r="K46" s="53"/>
      <c r="L46" s="53"/>
      <c r="M46" s="53"/>
      <c r="N46" s="53"/>
      <c r="O46" s="53"/>
      <c r="P46" s="53"/>
      <c r="Q46" s="53"/>
      <c r="R46" s="53"/>
      <c r="S46" s="53"/>
      <c r="T46" s="53"/>
      <c r="U46" s="53"/>
      <c r="V46" s="53"/>
      <c r="W46" s="53"/>
      <c r="X46" s="53"/>
      <c r="Y46" s="53"/>
      <c r="Z46" s="53"/>
      <c r="AA46" s="53"/>
    </row>
    <row r="47" spans="1:27">
      <c r="H47" s="53"/>
      <c r="I47" s="53"/>
      <c r="J47" s="53"/>
      <c r="K47" s="53"/>
      <c r="L47" s="53"/>
      <c r="M47" s="53"/>
      <c r="N47" s="53"/>
      <c r="O47" s="53"/>
      <c r="P47" s="53"/>
      <c r="Q47" s="53"/>
      <c r="R47" s="53"/>
      <c r="S47" s="53"/>
      <c r="T47" s="53"/>
      <c r="U47" s="53"/>
      <c r="V47" s="53"/>
      <c r="W47" s="53"/>
      <c r="X47" s="53"/>
      <c r="Y47" s="53"/>
      <c r="Z47" s="53"/>
      <c r="AA47" s="53"/>
    </row>
    <row r="48" spans="1: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55">
      <c r="B1" s="1" t="s">
        <v>39</v>
      </c>
      <c r="R1" s="1" t="s">
        <v>40</v>
      </c>
      <c r="S1" s="83" t="s">
        <v>41</v>
      </c>
      <c r="T1" s="83" t="s">
        <v>42</v>
      </c>
      <c r="U1" s="83" t="s">
        <v>43</v>
      </c>
      <c r="V1" s="83" t="s">
        <v>44</v>
      </c>
      <c r="W1" s="83" t="s">
        <v>45</v>
      </c>
      <c r="X1" s="83" t="s">
        <v>46</v>
      </c>
      <c r="Y1" s="83" t="s">
        <v>47</v>
      </c>
      <c r="Z1" s="83" t="s">
        <v>48</v>
      </c>
      <c r="AA1" s="83" t="s">
        <v>49</v>
      </c>
      <c r="AB1" s="83" t="s">
        <v>50</v>
      </c>
      <c r="AC1" s="83" t="s">
        <v>51</v>
      </c>
      <c r="AI1" s="84">
        <v>2023</v>
      </c>
      <c r="AJ1" s="84">
        <v>2025</v>
      </c>
      <c r="AK1" s="84">
        <v>2030</v>
      </c>
      <c r="AL1" s="84">
        <v>2035</v>
      </c>
      <c r="AM1" s="84">
        <v>2040</v>
      </c>
      <c r="AN1" s="84">
        <v>2045</v>
      </c>
      <c r="AO1" s="84">
        <v>2050</v>
      </c>
    </row>
    <row r="2" s="1" customFormat="1" spans="2:55">
      <c r="B2" s="85" t="s">
        <v>52</v>
      </c>
      <c r="S2" s="86">
        <v>2023</v>
      </c>
      <c r="T2" s="86" t="s">
        <v>53</v>
      </c>
      <c r="U2" s="86" t="s">
        <v>54</v>
      </c>
      <c r="V2" s="86" t="s">
        <v>55</v>
      </c>
      <c r="W2" s="86" t="s">
        <v>56</v>
      </c>
      <c r="X2" s="86" t="s">
        <v>57</v>
      </c>
      <c r="Y2" s="86" t="s">
        <v>58</v>
      </c>
      <c r="Z2" s="86"/>
      <c r="AA2" s="86" t="s">
        <v>59</v>
      </c>
      <c r="AB2" s="87">
        <v>132.92732205738</v>
      </c>
      <c r="AC2" s="86" t="s">
        <v>60</v>
      </c>
      <c r="AH2" s="1" t="s">
        <v>61</v>
      </c>
      <c r="AI2" s="88">
        <v>132.92732205738</v>
      </c>
      <c r="AJ2" s="88">
        <v>120.58407072348</v>
      </c>
      <c r="AK2" s="88">
        <v>104.442895902227</v>
      </c>
      <c r="AL2" s="88">
        <v>94.9480871838431</v>
      </c>
      <c r="AM2" s="88">
        <v>92.1084750593323</v>
      </c>
      <c r="AN2" s="88">
        <v>88.9611647549709</v>
      </c>
      <c r="AO2" s="88">
        <v>85.4532784654588</v>
      </c>
      <c r="AX2" t="s">
        <v>62</v>
      </c>
      <c r="AY2"/>
      <c r="AZ2" s="89"/>
    </row>
    <row r="3" s="1" customFormat="1" spans="2:55">
      <c r="F3" s="90" t="s">
        <v>63</v>
      </c>
      <c r="G3" s="91"/>
      <c r="H3" s="91"/>
      <c r="I3" s="91"/>
      <c r="S3" s="86">
        <v>2025</v>
      </c>
      <c r="T3" s="86" t="s">
        <v>53</v>
      </c>
      <c r="U3" s="86" t="s">
        <v>54</v>
      </c>
      <c r="V3" s="86" t="s">
        <v>55</v>
      </c>
      <c r="W3" s="86" t="s">
        <v>56</v>
      </c>
      <c r="X3" s="86" t="s">
        <v>57</v>
      </c>
      <c r="Y3" s="86" t="s">
        <v>58</v>
      </c>
      <c r="Z3" s="86"/>
      <c r="AA3" s="86" t="s">
        <v>59</v>
      </c>
      <c r="AB3" s="87">
        <v>120.58407072348</v>
      </c>
      <c r="AC3" s="86"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9" t="s">
        <v>64</v>
      </c>
      <c r="AY3" s="89" t="s">
        <v>41</v>
      </c>
      <c r="AZ3" s="92" t="s">
        <v>65</v>
      </c>
      <c r="BA3" s="92" t="s">
        <v>11</v>
      </c>
      <c r="BB3" s="92" t="s">
        <v>25</v>
      </c>
    </row>
    <row r="4" s="1" customFormat="1" spans="2:55">
      <c r="F4" s="90" t="s">
        <v>64</v>
      </c>
      <c r="G4" s="90" t="s">
        <v>65</v>
      </c>
      <c r="H4" s="90" t="s">
        <v>11</v>
      </c>
      <c r="I4" s="90" t="s">
        <v>25</v>
      </c>
      <c r="S4" s="86">
        <v>2030</v>
      </c>
      <c r="T4" s="86" t="s">
        <v>53</v>
      </c>
      <c r="U4" s="86" t="s">
        <v>54</v>
      </c>
      <c r="V4" s="86" t="s">
        <v>55</v>
      </c>
      <c r="W4" s="86" t="s">
        <v>56</v>
      </c>
      <c r="X4" s="86" t="s">
        <v>57</v>
      </c>
      <c r="Y4" s="86" t="s">
        <v>58</v>
      </c>
      <c r="Z4" s="86"/>
      <c r="AA4" s="86" t="s">
        <v>59</v>
      </c>
      <c r="AB4" s="87">
        <v>104.442895902227</v>
      </c>
      <c r="AC4" s="86"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9" t="s">
        <v>66</v>
      </c>
      <c r="AY4" s="89">
        <v>2023</v>
      </c>
      <c r="AZ4" s="89">
        <f>G5</f>
        <v>80.3831766666667</v>
      </c>
      <c r="BA4" s="89">
        <f>H5</f>
        <v>55.48673</v>
      </c>
      <c r="BB4" s="89">
        <f>I5</f>
        <v>106.82505</v>
      </c>
    </row>
    <row r="5" s="1" customFormat="1" ht="28" customHeight="1" spans="2:55">
      <c r="B5" s="93" t="s">
        <v>67</v>
      </c>
      <c r="F5" s="90" t="s">
        <v>68</v>
      </c>
      <c r="G5" s="91">
        <f>[3]R_strategies_n_GridBattery!$D$131</f>
        <v>80.3831766666667</v>
      </c>
      <c r="H5" s="91">
        <f>[3]R_strategies_n_GridBattery!$E$131</f>
        <v>55.48673</v>
      </c>
      <c r="I5" s="91">
        <f>[3]R_strategies_n_GridBattery!$F$131</f>
        <v>106.82505</v>
      </c>
      <c r="S5" s="86">
        <v>2035</v>
      </c>
      <c r="T5" s="86" t="s">
        <v>53</v>
      </c>
      <c r="U5" s="86" t="s">
        <v>54</v>
      </c>
      <c r="V5" s="86" t="s">
        <v>55</v>
      </c>
      <c r="W5" s="86" t="s">
        <v>56</v>
      </c>
      <c r="X5" s="86" t="s">
        <v>57</v>
      </c>
      <c r="Y5" s="86" t="s">
        <v>58</v>
      </c>
      <c r="Z5" s="86"/>
      <c r="AA5" s="86" t="s">
        <v>59</v>
      </c>
      <c r="AB5" s="87">
        <v>94.9480871838431</v>
      </c>
      <c r="AC5" s="86"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9" t="s">
        <v>69</v>
      </c>
      <c r="AY5" s="89">
        <f>AY4</f>
        <v>2023</v>
      </c>
      <c r="AZ5" s="89">
        <f t="shared" ref="AZ5:AZ10" si="8">G6</f>
        <v>95.4086</v>
      </c>
      <c r="BA5" s="89">
        <f t="shared" ref="BA5:BA10" si="9">H6</f>
        <v>66.32565</v>
      </c>
      <c r="BB5" s="89">
        <f t="shared" ref="BB5:BB10" si="10">I6</f>
        <v>126.26355</v>
      </c>
    </row>
    <row r="6" s="1" customFormat="1" spans="2:55">
      <c r="F6" s="90" t="s">
        <v>70</v>
      </c>
      <c r="G6" s="91">
        <f>[3]R_strategies_n_GridBattery!$D$132</f>
        <v>95.4086</v>
      </c>
      <c r="H6" s="91">
        <f>[3]R_strategies_n_GridBattery!$E$132</f>
        <v>66.32565</v>
      </c>
      <c r="I6" s="91">
        <f>[3]R_strategies_n_GridBattery!$F$132</f>
        <v>126.26355</v>
      </c>
      <c r="S6" s="86">
        <v>2040</v>
      </c>
      <c r="T6" s="86" t="s">
        <v>53</v>
      </c>
      <c r="U6" s="86" t="s">
        <v>54</v>
      </c>
      <c r="V6" s="86" t="s">
        <v>55</v>
      </c>
      <c r="W6" s="86" t="s">
        <v>56</v>
      </c>
      <c r="X6" s="86" t="s">
        <v>57</v>
      </c>
      <c r="Y6" s="86" t="s">
        <v>58</v>
      </c>
      <c r="Z6" s="86"/>
      <c r="AA6" s="86" t="s">
        <v>59</v>
      </c>
      <c r="AB6" s="87">
        <v>92.1084750593323</v>
      </c>
      <c r="AC6" s="86"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9" t="s">
        <v>71</v>
      </c>
      <c r="AY6" s="89">
        <f t="shared" ref="AY6:AY11" si="11">AY5</f>
        <v>2023</v>
      </c>
      <c r="AZ6" s="89">
        <f t="shared" si="8"/>
        <v>85.3476966666666</v>
      </c>
      <c r="BA6" s="89">
        <f t="shared" si="9"/>
        <v>56.10147</v>
      </c>
      <c r="BB6" s="89">
        <f t="shared" si="10"/>
        <v>116.32796</v>
      </c>
    </row>
    <row r="7" s="1" customFormat="1" spans="2:55">
      <c r="F7" s="90" t="s">
        <v>72</v>
      </c>
      <c r="G7" s="91">
        <f>[3]R_strategies_n_GridBattery!$D$133</f>
        <v>85.3476966666666</v>
      </c>
      <c r="H7" s="91">
        <f>[3]R_strategies_n_GridBattery!$E$133</f>
        <v>56.10147</v>
      </c>
      <c r="I7" s="91">
        <f>[3]R_strategies_n_GridBattery!$F$133</f>
        <v>116.32796</v>
      </c>
      <c r="S7" s="86">
        <v>2045</v>
      </c>
      <c r="T7" s="86" t="s">
        <v>53</v>
      </c>
      <c r="U7" s="86" t="s">
        <v>54</v>
      </c>
      <c r="V7" s="86" t="s">
        <v>55</v>
      </c>
      <c r="W7" s="86" t="s">
        <v>56</v>
      </c>
      <c r="X7" s="86" t="s">
        <v>57</v>
      </c>
      <c r="Y7" s="86" t="s">
        <v>58</v>
      </c>
      <c r="Z7" s="86"/>
      <c r="AA7" s="86" t="s">
        <v>59</v>
      </c>
      <c r="AB7" s="87">
        <v>88.9611647549709</v>
      </c>
      <c r="AC7" s="86"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9" t="s">
        <v>73</v>
      </c>
      <c r="AY7" s="89">
        <f t="shared" si="11"/>
        <v>2023</v>
      </c>
      <c r="AZ7" s="89">
        <f t="shared" si="8"/>
        <v>85.52157</v>
      </c>
      <c r="BA7" s="89">
        <f t="shared" si="9"/>
        <v>55.55951</v>
      </c>
      <c r="BB7" s="89">
        <f t="shared" si="10"/>
        <v>117.30431</v>
      </c>
    </row>
    <row r="8" s="1" customFormat="1" ht="29" spans="2:55">
      <c r="B8" s="93" t="s">
        <v>74</v>
      </c>
      <c r="F8" s="90" t="s">
        <v>75</v>
      </c>
      <c r="G8" s="91">
        <f>[3]R_strategies_n_GridBattery!$D$134</f>
        <v>85.52157</v>
      </c>
      <c r="H8" s="91">
        <f>[3]R_strategies_n_GridBattery!$E$134</f>
        <v>55.55951</v>
      </c>
      <c r="I8" s="91">
        <f>[3]R_strategies_n_GridBattery!$F$134</f>
        <v>117.30431</v>
      </c>
      <c r="S8" s="86">
        <v>2050</v>
      </c>
      <c r="T8" s="86" t="s">
        <v>53</v>
      </c>
      <c r="U8" s="86" t="s">
        <v>54</v>
      </c>
      <c r="V8" s="86" t="s">
        <v>55</v>
      </c>
      <c r="W8" s="86" t="s">
        <v>56</v>
      </c>
      <c r="X8" s="86" t="s">
        <v>57</v>
      </c>
      <c r="Y8" s="86" t="s">
        <v>58</v>
      </c>
      <c r="Z8" s="86"/>
      <c r="AA8" s="86" t="s">
        <v>59</v>
      </c>
      <c r="AB8" s="87">
        <v>85.4532784654588</v>
      </c>
      <c r="AC8" s="86"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9" t="s">
        <v>76</v>
      </c>
      <c r="AY8" s="89">
        <f t="shared" si="11"/>
        <v>2023</v>
      </c>
      <c r="AZ8" s="89">
        <f t="shared" si="8"/>
        <v>90.0929166666666</v>
      </c>
      <c r="BA8" s="89">
        <f t="shared" si="9"/>
        <v>59.3677</v>
      </c>
      <c r="BB8" s="89">
        <f t="shared" si="10"/>
        <v>122.66905</v>
      </c>
    </row>
    <row r="9" s="1" customFormat="1" spans="2:55">
      <c r="F9" s="90" t="s">
        <v>77</v>
      </c>
      <c r="G9" s="91">
        <f>[3]R_strategies_n_GridBattery!$D$135</f>
        <v>90.0929166666666</v>
      </c>
      <c r="H9" s="91">
        <f>[3]R_strategies_n_GridBattery!$E$135</f>
        <v>59.3677</v>
      </c>
      <c r="I9" s="91">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9" t="s">
        <v>78</v>
      </c>
      <c r="AY9" s="89">
        <f t="shared" si="11"/>
        <v>2023</v>
      </c>
      <c r="AZ9" s="89">
        <f t="shared" si="8"/>
        <v>86.9222166666667</v>
      </c>
      <c r="BA9" s="89">
        <f t="shared" si="9"/>
        <v>57.33755</v>
      </c>
      <c r="BB9" s="89">
        <f t="shared" si="10"/>
        <v>118.2723</v>
      </c>
    </row>
    <row r="10" s="1" customFormat="1" spans="2:55">
      <c r="F10" s="90" t="s">
        <v>79</v>
      </c>
      <c r="G10" s="91">
        <f>[3]R_strategies_n_GridBattery!$D$136</f>
        <v>86.9222166666667</v>
      </c>
      <c r="H10" s="91">
        <f>[3]R_strategies_n_GridBattery!$E$136</f>
        <v>57.33755</v>
      </c>
      <c r="I10" s="91">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9" t="s">
        <v>80</v>
      </c>
      <c r="AY10" s="89">
        <f t="shared" si="11"/>
        <v>2023</v>
      </c>
      <c r="AZ10" s="89">
        <f t="shared" si="8"/>
        <v>89.5526666666667</v>
      </c>
      <c r="BA10" s="89">
        <f t="shared" si="9"/>
        <v>59.98948</v>
      </c>
      <c r="BB10" s="89">
        <f t="shared" si="10"/>
        <v>120.87452</v>
      </c>
    </row>
    <row r="11" s="1" customFormat="1" spans="2:55">
      <c r="F11" s="90" t="s">
        <v>81</v>
      </c>
      <c r="G11" s="91">
        <f>[3]R_strategies_n_GridBattery!$D$137</f>
        <v>89.5526666666667</v>
      </c>
      <c r="H11" s="91">
        <f>[3]R_strategies_n_GridBattery!$E$137</f>
        <v>59.98948</v>
      </c>
      <c r="I11" s="91">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2"/>
      <c r="AW11" s="82"/>
      <c r="AX11" s="94" t="s">
        <v>82</v>
      </c>
      <c r="AY11" s="89">
        <f t="shared" si="11"/>
        <v>2023</v>
      </c>
      <c r="AZ11" s="94">
        <f>C33</f>
        <v>162.093333333333</v>
      </c>
      <c r="BA11" s="94">
        <f>AZ11</f>
        <v>162.093333333333</v>
      </c>
      <c r="BB11" s="94">
        <f>BA11</f>
        <v>162.093333333333</v>
      </c>
      <c r="BC11" s="82"/>
    </row>
    <row r="12" s="1" customFormat="1" spans="2:55">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2:55">
      <c r="AM14" s="1">
        <f>AM2/AL2</f>
        <v>0.97009300335864</v>
      </c>
      <c r="AN14" s="1">
        <f>AN2/AM2</f>
        <v>0.965830393974778</v>
      </c>
      <c r="AO14" s="1">
        <f>AO2/AN2</f>
        <v>0.96056834126246</v>
      </c>
    </row>
    <row r="15" spans="2:55">
      <c r="AX15" t="s">
        <v>62</v>
      </c>
      <c r="AY15"/>
      <c r="AZ15" s="89"/>
    </row>
    <row r="16" s="1" customFormat="1" spans="2:55">
      <c r="AX16" s="89" t="s">
        <v>64</v>
      </c>
      <c r="AY16" s="89" t="s">
        <v>41</v>
      </c>
      <c r="AZ16" s="92" t="s">
        <v>65</v>
      </c>
      <c r="BA16" s="92" t="s">
        <v>11</v>
      </c>
      <c r="BB16" s="92" t="s">
        <v>25</v>
      </c>
    </row>
    <row r="17" s="1" customFormat="1" spans="2:55">
      <c r="AX17" s="89" t="s">
        <v>66</v>
      </c>
      <c r="AY17" s="89">
        <v>2025</v>
      </c>
      <c r="AZ17" s="89">
        <f t="shared" ref="AZ17:AZ24" si="12">AZ4*AJ2/AI2</f>
        <v>72.9190245476188</v>
      </c>
      <c r="BA17" s="89">
        <f>BA4*AJ2/AI2</f>
        <v>50.3343907857141</v>
      </c>
      <c r="BB17" s="89">
        <f>BB4*AJ2/AI2</f>
        <v>96.9055810714282</v>
      </c>
    </row>
    <row r="18" s="1" customFormat="1" spans="2:55">
      <c r="AX18" s="89" t="s">
        <v>69</v>
      </c>
      <c r="AY18" s="89">
        <f t="shared" ref="AY18:AY24" si="13">AY17</f>
        <v>2025</v>
      </c>
      <c r="AZ18" s="89">
        <f t="shared" si="12"/>
        <v>86.5492299999997</v>
      </c>
      <c r="BA18" s="89">
        <f t="shared" ref="BA18:BA24" si="14">BA5*AJ3/AI3</f>
        <v>60.1668396428569</v>
      </c>
      <c r="BB18" s="89">
        <f t="shared" ref="BB18:BB24" si="15">BB5*AJ3/AI3</f>
        <v>114.5390775</v>
      </c>
    </row>
    <row r="19" s="1" customFormat="1" spans="2:55">
      <c r="AX19" s="89" t="s">
        <v>71</v>
      </c>
      <c r="AY19" s="89">
        <f t="shared" si="13"/>
        <v>2025</v>
      </c>
      <c r="AZ19" s="89">
        <f t="shared" si="12"/>
        <v>77.4225534047616</v>
      </c>
      <c r="BA19" s="89">
        <f t="shared" si="14"/>
        <v>50.8920477857141</v>
      </c>
      <c r="BB19" s="89">
        <f t="shared" si="15"/>
        <v>105.526078</v>
      </c>
    </row>
    <row r="20" s="1" customFormat="1" spans="2:55">
      <c r="AX20" s="89" t="s">
        <v>73</v>
      </c>
      <c r="AY20" s="89">
        <f t="shared" si="13"/>
        <v>2025</v>
      </c>
      <c r="AZ20" s="89">
        <f t="shared" si="12"/>
        <v>77.5802813571426</v>
      </c>
      <c r="BA20" s="89">
        <f t="shared" si="14"/>
        <v>50.400412642857</v>
      </c>
      <c r="BB20" s="89">
        <f t="shared" si="15"/>
        <v>106.411766928571</v>
      </c>
    </row>
    <row r="21" s="1" customFormat="1" spans="2:55">
      <c r="AX21" s="89" t="s">
        <v>76</v>
      </c>
      <c r="AY21" s="89">
        <f t="shared" si="13"/>
        <v>2025</v>
      </c>
      <c r="AZ21" s="89">
        <f t="shared" si="12"/>
        <v>81.727145833333</v>
      </c>
      <c r="BA21" s="89">
        <f t="shared" si="14"/>
        <v>53.8549849999998</v>
      </c>
      <c r="BB21" s="89">
        <f t="shared" si="15"/>
        <v>111.2783525</v>
      </c>
    </row>
    <row r="22" s="1" customFormat="1" spans="2:55">
      <c r="AX22" s="89" t="s">
        <v>78</v>
      </c>
      <c r="AY22" s="89">
        <f t="shared" si="13"/>
        <v>2025</v>
      </c>
      <c r="AZ22" s="89">
        <f t="shared" si="12"/>
        <v>78.8508679761902</v>
      </c>
      <c r="BA22" s="89">
        <f t="shared" si="14"/>
        <v>52.0133489285712</v>
      </c>
      <c r="BB22" s="89">
        <f t="shared" si="15"/>
        <v>107.289872142857</v>
      </c>
    </row>
    <row r="23" s="1" customFormat="1" spans="2:55">
      <c r="AX23" s="89" t="s">
        <v>80</v>
      </c>
      <c r="AY23" s="89">
        <f t="shared" si="13"/>
        <v>2025</v>
      </c>
      <c r="AZ23" s="89">
        <f t="shared" si="12"/>
        <v>81.2370619047616</v>
      </c>
      <c r="BA23" s="89">
        <f t="shared" si="14"/>
        <v>54.4190282857141</v>
      </c>
      <c r="BB23" s="89">
        <f t="shared" si="15"/>
        <v>109.650457428571</v>
      </c>
    </row>
    <row r="24" s="1" customFormat="1" spans="2:55">
      <c r="AW24" s="82"/>
      <c r="AX24" s="94" t="s">
        <v>82</v>
      </c>
      <c r="AY24" s="89">
        <f t="shared" si="13"/>
        <v>2025</v>
      </c>
      <c r="AZ24" s="89">
        <f t="shared" si="12"/>
        <v>147.041809523809</v>
      </c>
      <c r="BA24" s="89">
        <f t="shared" si="14"/>
        <v>147.041809523809</v>
      </c>
      <c r="BB24" s="89">
        <f t="shared" si="15"/>
        <v>147.041809523809</v>
      </c>
    </row>
    <row r="25" s="82" customFormat="1" spans="2:55">
      <c r="AV25" s="1"/>
      <c r="AW25" s="1"/>
      <c r="AX25" s="1"/>
      <c r="AY25" s="1"/>
      <c r="AZ25" s="1"/>
      <c r="BA25" s="1"/>
      <c r="BB25" s="1"/>
      <c r="BC25" s="1"/>
    </row>
    <row r="30" spans="2:55">
      <c r="AX30" t="s">
        <v>62</v>
      </c>
      <c r="AY30"/>
      <c r="AZ30" s="89"/>
    </row>
    <row r="31" spans="2:55">
      <c r="AW31" s="95"/>
      <c r="AX31" s="89" t="s">
        <v>64</v>
      </c>
      <c r="AY31" s="89" t="s">
        <v>41</v>
      </c>
      <c r="AZ31" s="92" t="s">
        <v>65</v>
      </c>
      <c r="BA31" s="92" t="s">
        <v>11</v>
      </c>
      <c r="BB31" s="92" t="s">
        <v>25</v>
      </c>
    </row>
    <row r="32" spans="2:55">
      <c r="B32" s="36" t="s">
        <v>83</v>
      </c>
      <c r="C32" s="36" t="s">
        <v>84</v>
      </c>
      <c r="AW32" s="89"/>
      <c r="AX32" s="89" t="s">
        <v>66</v>
      </c>
      <c r="AY32" s="89">
        <v>2030</v>
      </c>
      <c r="AZ32" s="89">
        <f>AZ17*AK2/AJ2</f>
        <v>63.1582102380952</v>
      </c>
      <c r="BA32" s="89">
        <f>BA17*AK2/AJ2</f>
        <v>43.5967164285714</v>
      </c>
      <c r="BB32" s="89">
        <f>BB17*AK2/AJ2</f>
        <v>83.9339678571427</v>
      </c>
    </row>
    <row r="33" spans="2:54">
      <c r="B33" s="36">
        <v>121.57</v>
      </c>
      <c r="C33" s="36">
        <f>B33/0.75</f>
        <v>162.093333333333</v>
      </c>
      <c r="AW33" s="89"/>
      <c r="AX33" s="89" t="s">
        <v>69</v>
      </c>
      <c r="AY33" s="89">
        <f t="shared" ref="AY33:AY39" si="16">AY32</f>
        <v>2030</v>
      </c>
      <c r="AZ33" s="89">
        <f t="shared" ref="AZ33:AZ39" si="17">AZ18*AK3/AJ3</f>
        <v>74.9638999999999</v>
      </c>
      <c r="BA33" s="89">
        <f t="shared" ref="BA33:BA39" si="18">BA18*AK3/AJ3</f>
        <v>52.1130107142856</v>
      </c>
      <c r="BB33" s="89">
        <f t="shared" ref="BB33:BB39" si="19">BB18*AK3/AJ3</f>
        <v>99.2070749999999</v>
      </c>
    </row>
    <row r="34" spans="2:54">
      <c r="AW34" s="89"/>
      <c r="AX34" s="89" t="s">
        <v>71</v>
      </c>
      <c r="AY34" s="89">
        <f t="shared" si="16"/>
        <v>2030</v>
      </c>
      <c r="AZ34" s="89">
        <f t="shared" si="17"/>
        <v>67.0589045238094</v>
      </c>
      <c r="BA34" s="89">
        <f t="shared" si="18"/>
        <v>44.0797264285714</v>
      </c>
      <c r="BB34" s="89">
        <f t="shared" si="19"/>
        <v>91.4005399999999</v>
      </c>
    </row>
    <row r="35" spans="2:54">
      <c r="AW35" s="89"/>
      <c r="AX35" s="89" t="s">
        <v>73</v>
      </c>
      <c r="AY35" s="89">
        <f t="shared" si="16"/>
        <v>2030</v>
      </c>
      <c r="AZ35" s="89">
        <f t="shared" si="17"/>
        <v>67.1955192857142</v>
      </c>
      <c r="BA35" s="89">
        <f t="shared" si="18"/>
        <v>43.6539007142857</v>
      </c>
      <c r="BB35" s="89">
        <f t="shared" si="19"/>
        <v>92.167672142857</v>
      </c>
    </row>
    <row r="36" spans="2:54">
      <c r="AW36" s="89"/>
      <c r="AX36" s="89" t="s">
        <v>76</v>
      </c>
      <c r="AY36" s="89">
        <f t="shared" si="16"/>
        <v>2030</v>
      </c>
      <c r="AZ36" s="89">
        <f t="shared" si="17"/>
        <v>70.7872916666665</v>
      </c>
      <c r="BA36" s="89">
        <f t="shared" si="18"/>
        <v>46.6460499999999</v>
      </c>
      <c r="BB36" s="89">
        <f t="shared" si="19"/>
        <v>96.3828249999999</v>
      </c>
    </row>
    <row r="37" spans="2:54">
      <c r="AW37" s="89"/>
      <c r="AX37" s="89" t="s">
        <v>78</v>
      </c>
      <c r="AY37" s="89">
        <f t="shared" si="16"/>
        <v>2030</v>
      </c>
      <c r="AZ37" s="89">
        <f t="shared" si="17"/>
        <v>68.2960273809523</v>
      </c>
      <c r="BA37" s="89">
        <f t="shared" si="18"/>
        <v>45.0509321428571</v>
      </c>
      <c r="BB37" s="89">
        <f t="shared" si="19"/>
        <v>92.9282357142856</v>
      </c>
    </row>
    <row r="38" spans="2:54">
      <c r="AW38" s="89"/>
      <c r="AX38" s="89" t="s">
        <v>80</v>
      </c>
      <c r="AY38" s="89">
        <f t="shared" si="16"/>
        <v>2030</v>
      </c>
      <c r="AZ38" s="89">
        <f t="shared" si="17"/>
        <v>70.3628095238094</v>
      </c>
      <c r="BA38" s="89">
        <f t="shared" si="18"/>
        <v>47.1345914285714</v>
      </c>
      <c r="BB38" s="89">
        <f t="shared" si="19"/>
        <v>94.972837142857</v>
      </c>
    </row>
    <row r="39" spans="2:54">
      <c r="AW39" s="94"/>
      <c r="AX39" s="94" t="s">
        <v>82</v>
      </c>
      <c r="AY39" s="89">
        <f t="shared" si="16"/>
        <v>2030</v>
      </c>
      <c r="AZ39" s="89">
        <f t="shared" si="17"/>
        <v>127.359047619047</v>
      </c>
      <c r="BA39" s="89">
        <f t="shared" si="18"/>
        <v>127.359047619047</v>
      </c>
      <c r="BB39" s="89">
        <f t="shared" si="19"/>
        <v>127.359047619047</v>
      </c>
    </row>
    <row r="44" spans="2:54">
      <c r="AX44" t="s">
        <v>62</v>
      </c>
      <c r="AY44"/>
      <c r="AZ44" s="89"/>
    </row>
    <row r="45" spans="2:54">
      <c r="AX45" s="89" t="s">
        <v>64</v>
      </c>
      <c r="AY45" s="89" t="s">
        <v>41</v>
      </c>
      <c r="AZ45" s="92" t="s">
        <v>65</v>
      </c>
      <c r="BA45" s="92" t="s">
        <v>11</v>
      </c>
      <c r="BB45" s="92" t="s">
        <v>25</v>
      </c>
    </row>
    <row r="46" spans="2:54">
      <c r="B46"/>
      <c r="C46" s="89"/>
      <c r="AX46" s="89" t="s">
        <v>66</v>
      </c>
      <c r="AY46" s="89">
        <v>2035</v>
      </c>
      <c r="AZ46" s="89">
        <f>AZ32*AL2/AK2</f>
        <v>57.4165547619049</v>
      </c>
      <c r="BA46" s="89">
        <f>BA32*AL2/AK2</f>
        <v>39.6333785714287</v>
      </c>
      <c r="BB46" s="89">
        <f>BB32*AL2/AK2</f>
        <v>76.3036071428573</v>
      </c>
    </row>
    <row r="47" spans="2:54">
      <c r="B47" s="89"/>
      <c r="C47" s="92"/>
      <c r="D47" s="92"/>
      <c r="E47" s="92"/>
      <c r="AX47" s="89" t="s">
        <v>69</v>
      </c>
      <c r="AY47" s="89">
        <f t="shared" ref="AY47:AY53" si="20">AY46</f>
        <v>2035</v>
      </c>
      <c r="AZ47" s="89">
        <f t="shared" ref="AZ47:AZ53" si="21">AZ33*AL3/AK3</f>
        <v>68.1490000000002</v>
      </c>
      <c r="BA47" s="89">
        <f t="shared" ref="BA47:BA53" si="22">BA33*AL3/AK3</f>
        <v>47.3754642857144</v>
      </c>
      <c r="BB47" s="89">
        <f t="shared" ref="BB47:BB53" si="23">BB33*AL3/AK3</f>
        <v>90.1882500000002</v>
      </c>
    </row>
    <row r="48" spans="2:54">
      <c r="B48" s="89"/>
      <c r="C48" s="89"/>
      <c r="D48" s="89"/>
      <c r="E48" s="89"/>
      <c r="AX48" s="89" t="s">
        <v>71</v>
      </c>
      <c r="AY48" s="89">
        <f t="shared" si="20"/>
        <v>2035</v>
      </c>
      <c r="AZ48" s="89">
        <f t="shared" si="21"/>
        <v>60.9626404761906</v>
      </c>
      <c r="BA48" s="89">
        <f t="shared" si="22"/>
        <v>40.0724785714287</v>
      </c>
      <c r="BB48" s="89">
        <f t="shared" si="23"/>
        <v>83.0914000000002</v>
      </c>
    </row>
    <row r="49" spans="2:54">
      <c r="B49" s="89"/>
      <c r="C49" s="89"/>
      <c r="D49" s="89"/>
      <c r="E49" s="89"/>
      <c r="AX49" s="89" t="s">
        <v>73</v>
      </c>
      <c r="AY49" s="89">
        <f t="shared" si="20"/>
        <v>2035</v>
      </c>
      <c r="AZ49" s="89">
        <f t="shared" si="21"/>
        <v>61.0868357142859</v>
      </c>
      <c r="BA49" s="89">
        <f t="shared" si="22"/>
        <v>39.6853642857144</v>
      </c>
      <c r="BB49" s="89">
        <f t="shared" si="23"/>
        <v>83.7887928571431</v>
      </c>
    </row>
    <row r="50" spans="2:54">
      <c r="B50" s="89"/>
      <c r="C50" s="89"/>
      <c r="D50" s="89"/>
      <c r="E50" s="89"/>
      <c r="AX50" s="89" t="s">
        <v>76</v>
      </c>
      <c r="AY50" s="89">
        <f t="shared" si="20"/>
        <v>2035</v>
      </c>
      <c r="AZ50" s="89">
        <f t="shared" si="21"/>
        <v>64.3520833333335</v>
      </c>
      <c r="BA50" s="89">
        <f t="shared" si="22"/>
        <v>42.4055000000001</v>
      </c>
      <c r="BB50" s="89">
        <f t="shared" si="23"/>
        <v>87.6207500000002</v>
      </c>
    </row>
    <row r="51" spans="2:54">
      <c r="B51" s="89"/>
      <c r="C51" s="89"/>
      <c r="D51" s="89"/>
      <c r="E51" s="89"/>
      <c r="AX51" s="89" t="s">
        <v>78</v>
      </c>
      <c r="AY51" s="89">
        <f t="shared" si="20"/>
        <v>2035</v>
      </c>
      <c r="AZ51" s="89">
        <f t="shared" si="21"/>
        <v>62.0872976190478</v>
      </c>
      <c r="BA51" s="89">
        <f t="shared" si="22"/>
        <v>40.955392857143</v>
      </c>
      <c r="BB51" s="89">
        <f t="shared" si="23"/>
        <v>84.4802142857145</v>
      </c>
    </row>
    <row r="52" spans="2:54">
      <c r="B52" s="89"/>
      <c r="C52" s="89"/>
      <c r="D52" s="89"/>
      <c r="E52" s="89"/>
      <c r="AX52" s="89" t="s">
        <v>80</v>
      </c>
      <c r="AY52" s="89">
        <f t="shared" si="20"/>
        <v>2035</v>
      </c>
      <c r="AZ52" s="89">
        <f t="shared" si="21"/>
        <v>63.9661904761907</v>
      </c>
      <c r="BA52" s="89">
        <f t="shared" si="22"/>
        <v>42.8496285714287</v>
      </c>
      <c r="BB52" s="89">
        <f t="shared" si="23"/>
        <v>86.3389428571431</v>
      </c>
    </row>
    <row r="53" spans="2:54">
      <c r="B53" s="89"/>
      <c r="C53" s="89"/>
      <c r="D53" s="89"/>
      <c r="E53" s="89"/>
      <c r="AW53" s="82"/>
      <c r="AX53" s="94" t="s">
        <v>82</v>
      </c>
      <c r="AY53" s="89">
        <f t="shared" si="20"/>
        <v>2035</v>
      </c>
      <c r="AZ53" s="89">
        <f t="shared" si="21"/>
        <v>115.780952380953</v>
      </c>
      <c r="BA53" s="89">
        <f t="shared" si="22"/>
        <v>115.780952380953</v>
      </c>
      <c r="BB53" s="89">
        <f t="shared" si="23"/>
        <v>115.780952380953</v>
      </c>
    </row>
    <row r="54" spans="2:54">
      <c r="B54" s="89"/>
      <c r="C54" s="89"/>
      <c r="D54" s="89"/>
      <c r="E54" s="89"/>
    </row>
    <row r="55" spans="2:54">
      <c r="B55" s="96"/>
      <c r="C55" s="97"/>
      <c r="D55" s="97"/>
      <c r="E55" s="97"/>
    </row>
    <row r="58" spans="2:54">
      <c r="AX58" t="s">
        <v>62</v>
      </c>
      <c r="AY58"/>
      <c r="AZ58" s="89"/>
    </row>
    <row r="59" spans="2:54">
      <c r="AX59" s="89" t="s">
        <v>64</v>
      </c>
      <c r="AY59" s="89" t="s">
        <v>41</v>
      </c>
      <c r="AZ59" s="92" t="s">
        <v>65</v>
      </c>
      <c r="BA59" s="92" t="s">
        <v>11</v>
      </c>
      <c r="BB59" s="92" t="s">
        <v>25</v>
      </c>
    </row>
    <row r="60" spans="2:54">
      <c r="AX60" s="89" t="s">
        <v>66</v>
      </c>
      <c r="AY60" s="89">
        <v>2040</v>
      </c>
      <c r="AZ60" s="89">
        <f>AZ46*0.97</f>
        <v>55.6940581190478</v>
      </c>
      <c r="BA60" s="89">
        <f>BA46*0.97</f>
        <v>38.4443772142858</v>
      </c>
      <c r="BB60" s="89">
        <f>BB46*0.97</f>
        <v>74.0144989285716</v>
      </c>
    </row>
    <row r="61" spans="2:54">
      <c r="AX61" s="89" t="s">
        <v>69</v>
      </c>
      <c r="AY61" s="89">
        <f t="shared" ref="AY61:AY67" si="24">AY60</f>
        <v>2040</v>
      </c>
      <c r="AZ61" s="89">
        <f t="shared" ref="AZ61:AZ67" si="25">AZ47*0.97</f>
        <v>66.1045300000002</v>
      </c>
      <c r="BA61" s="89">
        <f t="shared" ref="BA61:BA67" si="26">BA47*0.97</f>
        <v>45.954200357143</v>
      </c>
      <c r="BB61" s="89">
        <f t="shared" ref="BB61:BB67" si="27">BB47*0.97</f>
        <v>87.4826025000002</v>
      </c>
    </row>
    <row r="62" spans="2:54">
      <c r="AX62" s="89" t="s">
        <v>71</v>
      </c>
      <c r="AY62" s="89">
        <f t="shared" si="24"/>
        <v>2040</v>
      </c>
      <c r="AZ62" s="89">
        <f t="shared" si="25"/>
        <v>59.1337612619049</v>
      </c>
      <c r="BA62" s="89">
        <f t="shared" si="26"/>
        <v>38.8703042142858</v>
      </c>
      <c r="BB62" s="89">
        <f t="shared" si="27"/>
        <v>80.5986580000002</v>
      </c>
    </row>
    <row r="63" spans="2:54">
      <c r="AX63" s="89" t="s">
        <v>73</v>
      </c>
      <c r="AY63" s="89">
        <f t="shared" si="24"/>
        <v>2040</v>
      </c>
      <c r="AZ63" s="89">
        <f t="shared" si="25"/>
        <v>59.2542306428573</v>
      </c>
      <c r="BA63" s="89">
        <f t="shared" si="26"/>
        <v>38.494803357143</v>
      </c>
      <c r="BB63" s="89">
        <f t="shared" si="27"/>
        <v>81.2751290714288</v>
      </c>
    </row>
    <row r="64" spans="2:54">
      <c r="AX64" s="89" t="s">
        <v>76</v>
      </c>
      <c r="AY64" s="89">
        <f t="shared" si="24"/>
        <v>2040</v>
      </c>
      <c r="AZ64" s="89">
        <f t="shared" si="25"/>
        <v>62.4215208333334</v>
      </c>
      <c r="BA64" s="89">
        <f t="shared" si="26"/>
        <v>41.1333350000001</v>
      </c>
      <c r="BB64" s="89">
        <f t="shared" si="27"/>
        <v>84.9921275000002</v>
      </c>
    </row>
    <row r="65" spans="49:54">
      <c r="AX65" s="89" t="s">
        <v>78</v>
      </c>
      <c r="AY65" s="89">
        <f t="shared" si="24"/>
        <v>2040</v>
      </c>
      <c r="AZ65" s="89">
        <f t="shared" si="25"/>
        <v>60.2246786904764</v>
      </c>
      <c r="BA65" s="89">
        <f t="shared" si="26"/>
        <v>39.7267310714287</v>
      </c>
      <c r="BB65" s="89">
        <f t="shared" si="27"/>
        <v>81.9458078571431</v>
      </c>
    </row>
    <row r="66" spans="49:54">
      <c r="AX66" s="89" t="s">
        <v>80</v>
      </c>
      <c r="AY66" s="89">
        <f t="shared" si="24"/>
        <v>2040</v>
      </c>
      <c r="AZ66" s="89">
        <f t="shared" si="25"/>
        <v>62.0472047619049</v>
      </c>
      <c r="BA66" s="89">
        <f t="shared" si="26"/>
        <v>41.5641397142858</v>
      </c>
      <c r="BB66" s="89">
        <f t="shared" si="27"/>
        <v>83.7487745714288</v>
      </c>
    </row>
    <row r="67" spans="49:54">
      <c r="AW67" s="82"/>
      <c r="AX67" s="94" t="s">
        <v>82</v>
      </c>
      <c r="AY67" s="89">
        <f t="shared" si="24"/>
        <v>2040</v>
      </c>
      <c r="AZ67" s="89">
        <f t="shared" si="25"/>
        <v>112.307523809524</v>
      </c>
      <c r="BA67" s="89">
        <f t="shared" si="26"/>
        <v>112.307523809524</v>
      </c>
      <c r="BB67" s="89">
        <f t="shared" si="27"/>
        <v>112.307523809524</v>
      </c>
    </row>
    <row r="74" spans="49:54">
      <c r="AX74" t="s">
        <v>62</v>
      </c>
      <c r="AY74"/>
      <c r="AZ74" s="89"/>
    </row>
    <row r="75" spans="49:54">
      <c r="AX75" s="89" t="s">
        <v>64</v>
      </c>
      <c r="AY75" s="89" t="s">
        <v>41</v>
      </c>
      <c r="AZ75" s="92" t="s">
        <v>65</v>
      </c>
      <c r="BA75" s="92" t="s">
        <v>11</v>
      </c>
      <c r="BB75" s="92" t="s">
        <v>25</v>
      </c>
    </row>
    <row r="76" spans="49:54">
      <c r="AX76" s="89" t="s">
        <v>66</v>
      </c>
      <c r="AY76" s="89">
        <v>2045</v>
      </c>
      <c r="AZ76" s="89">
        <f>AZ60*0.96</f>
        <v>53.4662957942859</v>
      </c>
      <c r="BA76" s="89">
        <f>BA60*0.96</f>
        <v>36.9066021257144</v>
      </c>
      <c r="BB76" s="89">
        <f>BB60*0.96</f>
        <v>71.0539189714287</v>
      </c>
    </row>
    <row r="77" spans="49:54">
      <c r="AX77" s="89" t="s">
        <v>69</v>
      </c>
      <c r="AY77" s="89">
        <f t="shared" ref="AY77:AY83" si="28">AY76</f>
        <v>2045</v>
      </c>
      <c r="AZ77" s="89">
        <f t="shared" ref="AZ77:AZ83" si="29">AZ61*0.96</f>
        <v>63.4603488000002</v>
      </c>
      <c r="BA77" s="89">
        <f t="shared" ref="BA77:BA83" si="30">BA61*0.96</f>
        <v>44.1160323428573</v>
      </c>
      <c r="BB77" s="89">
        <f t="shared" ref="BB77:BB83" si="31">BB61*0.96</f>
        <v>83.9832984000002</v>
      </c>
    </row>
    <row r="78" spans="49:54">
      <c r="AX78" s="89" t="s">
        <v>71</v>
      </c>
      <c r="AY78" s="89">
        <f t="shared" si="28"/>
        <v>2045</v>
      </c>
      <c r="AZ78" s="89">
        <f t="shared" si="29"/>
        <v>56.7684108114287</v>
      </c>
      <c r="BA78" s="89">
        <f t="shared" si="30"/>
        <v>37.3154920457144</v>
      </c>
      <c r="BB78" s="89">
        <f t="shared" si="31"/>
        <v>77.3747116800002</v>
      </c>
    </row>
    <row r="79" spans="49:54">
      <c r="AX79" s="89" t="s">
        <v>73</v>
      </c>
      <c r="AY79" s="89">
        <f t="shared" si="28"/>
        <v>2045</v>
      </c>
      <c r="AZ79" s="89">
        <f t="shared" si="29"/>
        <v>56.884061417143</v>
      </c>
      <c r="BA79" s="89">
        <f t="shared" si="30"/>
        <v>36.9550112228572</v>
      </c>
      <c r="BB79" s="89">
        <f t="shared" si="31"/>
        <v>78.0241239085716</v>
      </c>
    </row>
    <row r="80" spans="49:54">
      <c r="AX80" s="89" t="s">
        <v>76</v>
      </c>
      <c r="AY80" s="89">
        <f t="shared" si="28"/>
        <v>2045</v>
      </c>
      <c r="AZ80" s="89">
        <f t="shared" si="29"/>
        <v>59.9246600000001</v>
      </c>
      <c r="BA80" s="89">
        <f t="shared" si="30"/>
        <v>39.4880016000001</v>
      </c>
      <c r="BB80" s="89">
        <f t="shared" si="31"/>
        <v>81.5924424000002</v>
      </c>
    </row>
    <row r="81" spans="49:54">
      <c r="AX81" s="89" t="s">
        <v>78</v>
      </c>
      <c r="AY81" s="89">
        <f t="shared" si="28"/>
        <v>2045</v>
      </c>
      <c r="AZ81" s="89">
        <f t="shared" si="29"/>
        <v>57.8156915428573</v>
      </c>
      <c r="BA81" s="89">
        <f t="shared" si="30"/>
        <v>38.1376618285715</v>
      </c>
      <c r="BB81" s="89">
        <f t="shared" si="31"/>
        <v>78.6679755428573</v>
      </c>
    </row>
    <row r="82" spans="49:54">
      <c r="AX82" s="89" t="s">
        <v>80</v>
      </c>
      <c r="AY82" s="89">
        <f t="shared" si="28"/>
        <v>2045</v>
      </c>
      <c r="AZ82" s="89">
        <f t="shared" si="29"/>
        <v>59.5653165714287</v>
      </c>
      <c r="BA82" s="89">
        <f t="shared" si="30"/>
        <v>39.9015741257144</v>
      </c>
      <c r="BB82" s="89">
        <f t="shared" si="31"/>
        <v>80.3988235885716</v>
      </c>
    </row>
    <row r="83" spans="49:54">
      <c r="AW83" s="82"/>
      <c r="AX83" s="94" t="s">
        <v>82</v>
      </c>
      <c r="AY83" s="89">
        <f t="shared" si="28"/>
        <v>2045</v>
      </c>
      <c r="AZ83" s="89">
        <f t="shared" si="29"/>
        <v>107.815222857143</v>
      </c>
      <c r="BA83" s="89">
        <f t="shared" si="30"/>
        <v>107.815222857143</v>
      </c>
      <c r="BB83" s="89">
        <f t="shared" si="31"/>
        <v>107.815222857143</v>
      </c>
    </row>
    <row r="87" spans="49:54">
      <c r="AX87" t="s">
        <v>62</v>
      </c>
      <c r="AY87"/>
      <c r="AZ87" s="89"/>
    </row>
    <row r="88" spans="49:54">
      <c r="AX88" s="89" t="s">
        <v>64</v>
      </c>
      <c r="AY88" s="89" t="s">
        <v>41</v>
      </c>
      <c r="AZ88" s="92" t="s">
        <v>65</v>
      </c>
      <c r="BA88" s="92" t="s">
        <v>11</v>
      </c>
      <c r="BB88" s="92" t="s">
        <v>25</v>
      </c>
    </row>
    <row r="89" spans="49:54">
      <c r="AX89" s="89" t="s">
        <v>66</v>
      </c>
      <c r="AY89" s="89">
        <v>2050</v>
      </c>
      <c r="AZ89" s="89">
        <f>AZ76*0.96</f>
        <v>51.3276439625144</v>
      </c>
      <c r="BA89" s="89">
        <f>BA76*0.96</f>
        <v>35.4303380406858</v>
      </c>
      <c r="BB89" s="89">
        <f>BB76*0.96</f>
        <v>68.2117622125716</v>
      </c>
    </row>
    <row r="90" spans="49:54">
      <c r="AX90" s="89" t="s">
        <v>69</v>
      </c>
      <c r="AY90" s="89">
        <f t="shared" ref="AY90:AY96" si="32">AY89</f>
        <v>2050</v>
      </c>
      <c r="AZ90" s="89">
        <f t="shared" ref="AZ90:BB90" si="33">AZ77*0.96</f>
        <v>60.9219348480002</v>
      </c>
      <c r="BA90" s="89">
        <f t="shared" si="33"/>
        <v>42.351391049143</v>
      </c>
      <c r="BB90" s="89">
        <f t="shared" si="33"/>
        <v>80.6239664640002</v>
      </c>
    </row>
    <row r="91" spans="49:54">
      <c r="AX91" s="89" t="s">
        <v>71</v>
      </c>
      <c r="AY91" s="89">
        <f t="shared" si="32"/>
        <v>2050</v>
      </c>
      <c r="AZ91" s="89">
        <f t="shared" ref="AZ91:BB91" si="34">AZ78*0.96</f>
        <v>54.4976743789715</v>
      </c>
      <c r="BA91" s="89">
        <f t="shared" si="34"/>
        <v>35.8228723638858</v>
      </c>
      <c r="BB91" s="89">
        <f t="shared" si="34"/>
        <v>74.2797232128002</v>
      </c>
    </row>
    <row r="92" spans="49:54">
      <c r="AX92" s="89" t="s">
        <v>73</v>
      </c>
      <c r="AY92" s="89">
        <f t="shared" si="32"/>
        <v>2050</v>
      </c>
      <c r="AZ92" s="89">
        <f t="shared" ref="AZ92:BB92" si="35">AZ79*0.96</f>
        <v>54.6086989604573</v>
      </c>
      <c r="BA92" s="89">
        <f t="shared" si="35"/>
        <v>35.4768107739429</v>
      </c>
      <c r="BB92" s="89">
        <f t="shared" si="35"/>
        <v>74.9031589522287</v>
      </c>
    </row>
    <row r="93" spans="49:54">
      <c r="AX93" s="89" t="s">
        <v>76</v>
      </c>
      <c r="AY93" s="89">
        <f t="shared" si="32"/>
        <v>2050</v>
      </c>
      <c r="AZ93" s="89">
        <f t="shared" ref="AZ93:BB93" si="36">AZ80*0.96</f>
        <v>57.5276736000001</v>
      </c>
      <c r="BA93" s="89">
        <f t="shared" si="36"/>
        <v>37.9084815360001</v>
      </c>
      <c r="BB93" s="89">
        <f t="shared" si="36"/>
        <v>78.3287447040002</v>
      </c>
    </row>
    <row r="94" spans="49:54">
      <c r="AX94" s="89" t="s">
        <v>78</v>
      </c>
      <c r="AY94" s="89">
        <f t="shared" si="32"/>
        <v>2050</v>
      </c>
      <c r="AZ94" s="89">
        <f t="shared" ref="AZ94:BB94" si="37">AZ81*0.96</f>
        <v>55.503063881143</v>
      </c>
      <c r="BA94" s="89">
        <f t="shared" si="37"/>
        <v>36.6121553554287</v>
      </c>
      <c r="BB94" s="89">
        <f t="shared" si="37"/>
        <v>75.521256521143</v>
      </c>
    </row>
    <row r="95" spans="49:54">
      <c r="AX95" s="89" t="s">
        <v>80</v>
      </c>
      <c r="AY95" s="89">
        <f t="shared" si="32"/>
        <v>2050</v>
      </c>
      <c r="AZ95" s="89">
        <f t="shared" ref="AZ95:BB95" si="38">AZ82*0.96</f>
        <v>57.1827039085716</v>
      </c>
      <c r="BA95" s="89">
        <f t="shared" si="38"/>
        <v>38.3055111606858</v>
      </c>
      <c r="BB95" s="89">
        <f t="shared" si="38"/>
        <v>77.1828706450288</v>
      </c>
    </row>
    <row r="96" spans="49:54">
      <c r="AW96" s="82"/>
      <c r="AX96" s="94" t="s">
        <v>82</v>
      </c>
      <c r="AY96" s="89">
        <f t="shared" si="32"/>
        <v>2050</v>
      </c>
      <c r="AZ96" s="89">
        <f>AZ83*0.96</f>
        <v>103.502613942857</v>
      </c>
      <c r="BA96" s="89">
        <f>BA83*0.96</f>
        <v>103.502613942857</v>
      </c>
      <c r="BB96" s="89">
        <f>BB83*0.96</f>
        <v>103.502613942857</v>
      </c>
    </row>
    <row r="104" spans="50:54">
      <c r="AX104" t="s">
        <v>62</v>
      </c>
      <c r="AY104"/>
      <c r="AZ104" s="89"/>
    </row>
    <row r="105" spans="50:54">
      <c r="AX105" s="89" t="s">
        <v>64</v>
      </c>
      <c r="AY105" s="89" t="s">
        <v>41</v>
      </c>
      <c r="AZ105" s="92" t="s">
        <v>65</v>
      </c>
      <c r="BA105" s="92" t="s">
        <v>11</v>
      </c>
      <c r="BB105" s="92" t="s">
        <v>25</v>
      </c>
    </row>
    <row r="106" spans="50:54">
      <c r="AX106" s="89" t="s">
        <v>66</v>
      </c>
      <c r="AY106" s="89">
        <v>2100</v>
      </c>
      <c r="AZ106" s="89">
        <f>AZ89</f>
        <v>51.3276439625144</v>
      </c>
      <c r="BA106" s="89">
        <f t="shared" ref="BA106:BA113" si="39">BA89</f>
        <v>35.4303380406858</v>
      </c>
      <c r="BB106" s="89">
        <f t="shared" ref="BB106:BB113" si="40">BB89</f>
        <v>68.2117622125716</v>
      </c>
    </row>
    <row r="107" spans="50:54">
      <c r="AX107" s="89" t="s">
        <v>69</v>
      </c>
      <c r="AY107" s="89">
        <f t="shared" ref="AY107:AY113" si="41">AY106</f>
        <v>2100</v>
      </c>
      <c r="AZ107" s="89">
        <f t="shared" ref="AZ107:AZ113" si="42">AZ90</f>
        <v>60.9219348480002</v>
      </c>
      <c r="BA107" s="89">
        <f t="shared" si="39"/>
        <v>42.351391049143</v>
      </c>
      <c r="BB107" s="89">
        <f t="shared" si="40"/>
        <v>80.6239664640002</v>
      </c>
    </row>
    <row r="108" spans="50:54">
      <c r="AX108" s="89" t="s">
        <v>71</v>
      </c>
      <c r="AY108" s="89">
        <f t="shared" si="41"/>
        <v>2100</v>
      </c>
      <c r="AZ108" s="89">
        <f t="shared" si="42"/>
        <v>54.4976743789715</v>
      </c>
      <c r="BA108" s="89">
        <f t="shared" si="39"/>
        <v>35.8228723638858</v>
      </c>
      <c r="BB108" s="89">
        <f t="shared" si="40"/>
        <v>74.2797232128002</v>
      </c>
    </row>
    <row r="109" spans="50:54">
      <c r="AX109" s="89" t="s">
        <v>73</v>
      </c>
      <c r="AY109" s="89">
        <f t="shared" si="41"/>
        <v>2100</v>
      </c>
      <c r="AZ109" s="89">
        <f t="shared" si="42"/>
        <v>54.6086989604573</v>
      </c>
      <c r="BA109" s="89">
        <f t="shared" si="39"/>
        <v>35.4768107739429</v>
      </c>
      <c r="BB109" s="89">
        <f t="shared" si="40"/>
        <v>74.9031589522287</v>
      </c>
    </row>
    <row r="110" spans="50:54">
      <c r="AX110" s="89" t="s">
        <v>76</v>
      </c>
      <c r="AY110" s="89">
        <f t="shared" si="41"/>
        <v>2100</v>
      </c>
      <c r="AZ110" s="89">
        <f t="shared" si="42"/>
        <v>57.5276736000001</v>
      </c>
      <c r="BA110" s="89">
        <f t="shared" si="39"/>
        <v>37.9084815360001</v>
      </c>
      <c r="BB110" s="89">
        <f t="shared" si="40"/>
        <v>78.3287447040002</v>
      </c>
    </row>
    <row r="111" spans="50:54">
      <c r="AX111" s="89" t="s">
        <v>78</v>
      </c>
      <c r="AY111" s="89">
        <f t="shared" si="41"/>
        <v>2100</v>
      </c>
      <c r="AZ111" s="89">
        <f t="shared" si="42"/>
        <v>55.503063881143</v>
      </c>
      <c r="BA111" s="89">
        <f t="shared" si="39"/>
        <v>36.6121553554287</v>
      </c>
      <c r="BB111" s="89">
        <f t="shared" si="40"/>
        <v>75.521256521143</v>
      </c>
    </row>
    <row r="112" spans="50:54">
      <c r="AX112" s="89" t="s">
        <v>80</v>
      </c>
      <c r="AY112" s="89">
        <f t="shared" si="41"/>
        <v>2100</v>
      </c>
      <c r="AZ112" s="89">
        <f t="shared" si="42"/>
        <v>57.1827039085716</v>
      </c>
      <c r="BA112" s="89">
        <f t="shared" si="39"/>
        <v>38.3055111606858</v>
      </c>
      <c r="BB112" s="89">
        <f t="shared" si="40"/>
        <v>77.1828706450288</v>
      </c>
    </row>
    <row r="113" spans="49:54">
      <c r="AW113" s="82"/>
      <c r="AX113" s="94" t="s">
        <v>82</v>
      </c>
      <c r="AY113" s="89">
        <f t="shared" si="41"/>
        <v>2100</v>
      </c>
      <c r="AZ113" s="89">
        <f t="shared" si="42"/>
        <v>103.502613942857</v>
      </c>
      <c r="BA113" s="89">
        <f t="shared" si="39"/>
        <v>103.502613942857</v>
      </c>
      <c r="BB113" s="89">
        <f t="shared" si="40"/>
        <v>103.502613942857</v>
      </c>
    </row>
    <row r="118" spans="49:54">
      <c r="AX118" t="s">
        <v>62</v>
      </c>
      <c r="AY118"/>
      <c r="AZ118" s="89"/>
    </row>
    <row r="119" spans="49:54">
      <c r="AX119" s="89" t="s">
        <v>64</v>
      </c>
      <c r="AY119" s="89" t="s">
        <v>41</v>
      </c>
      <c r="AZ119" s="92" t="s">
        <v>65</v>
      </c>
      <c r="BA119" s="92" t="s">
        <v>11</v>
      </c>
      <c r="BB119" s="92" t="s">
        <v>25</v>
      </c>
    </row>
    <row r="120" spans="49:54">
      <c r="AX120" s="89" t="s">
        <v>66</v>
      </c>
      <c r="AY120" s="89">
        <v>0</v>
      </c>
      <c r="AZ120" s="89">
        <v>3</v>
      </c>
      <c r="BA120" s="89">
        <v>3</v>
      </c>
      <c r="BB120" s="89">
        <v>3</v>
      </c>
    </row>
    <row r="121" spans="49:54">
      <c r="AX121" s="89" t="s">
        <v>69</v>
      </c>
      <c r="AY121" s="89">
        <f t="shared" ref="AY121:AY127" si="43">AY120</f>
        <v>0</v>
      </c>
      <c r="AZ121" s="89">
        <v>3</v>
      </c>
      <c r="BA121" s="89">
        <v>3</v>
      </c>
      <c r="BB121" s="89">
        <v>3</v>
      </c>
    </row>
    <row r="122" spans="49:54">
      <c r="AX122" s="89" t="s">
        <v>71</v>
      </c>
      <c r="AY122" s="89">
        <f t="shared" si="43"/>
        <v>0</v>
      </c>
      <c r="AZ122" s="89">
        <v>3</v>
      </c>
      <c r="BA122" s="89">
        <v>3</v>
      </c>
      <c r="BB122" s="89">
        <v>3</v>
      </c>
    </row>
    <row r="123" spans="49:54">
      <c r="AX123" s="89" t="s">
        <v>73</v>
      </c>
      <c r="AY123" s="89">
        <f t="shared" si="43"/>
        <v>0</v>
      </c>
      <c r="AZ123" s="89">
        <v>3</v>
      </c>
      <c r="BA123" s="89">
        <v>3</v>
      </c>
      <c r="BB123" s="89">
        <v>3</v>
      </c>
    </row>
    <row r="124" spans="49:54">
      <c r="AX124" s="89" t="s">
        <v>76</v>
      </c>
      <c r="AY124" s="89">
        <f t="shared" si="43"/>
        <v>0</v>
      </c>
      <c r="AZ124" s="89">
        <v>3</v>
      </c>
      <c r="BA124" s="89">
        <v>3</v>
      </c>
      <c r="BB124" s="89">
        <v>3</v>
      </c>
    </row>
    <row r="125" spans="49:54">
      <c r="AX125" s="89" t="s">
        <v>78</v>
      </c>
      <c r="AY125" s="89">
        <f t="shared" si="43"/>
        <v>0</v>
      </c>
      <c r="AZ125" s="89">
        <v>3</v>
      </c>
      <c r="BA125" s="89">
        <v>3</v>
      </c>
      <c r="BB125" s="89">
        <v>3</v>
      </c>
    </row>
    <row r="126" spans="49:54">
      <c r="AX126" s="89" t="s">
        <v>80</v>
      </c>
      <c r="AY126" s="89">
        <f t="shared" si="43"/>
        <v>0</v>
      </c>
      <c r="AZ126" s="89">
        <v>3</v>
      </c>
      <c r="BA126" s="89">
        <v>3</v>
      </c>
      <c r="BB126" s="89">
        <v>3</v>
      </c>
    </row>
    <row r="127" spans="49:54">
      <c r="AW127" s="82"/>
      <c r="AX127" s="94" t="s">
        <v>82</v>
      </c>
      <c r="AY127" s="89">
        <f t="shared" si="43"/>
        <v>0</v>
      </c>
      <c r="AZ127" s="89">
        <v>3</v>
      </c>
      <c r="BA127" s="89">
        <v>3</v>
      </c>
      <c r="BB127" s="89">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66" zoomScaleNormal="66" workbookViewId="0">
      <selection activeCell="K42" sqref="K42"/>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3" t="s">
        <v>85</v>
      </c>
      <c r="C2" s="53"/>
      <c r="D2" s="53"/>
      <c r="E2" s="53"/>
      <c r="K2" t="s">
        <v>86</v>
      </c>
      <c r="P2" s="54" t="s">
        <v>87</v>
      </c>
      <c r="Q2" s="54"/>
      <c r="R2" s="54"/>
      <c r="S2" s="54"/>
    </row>
    <row r="3" spans="2:19">
      <c r="B3" s="55" t="s">
        <v>88</v>
      </c>
      <c r="C3" s="55" t="s">
        <v>89</v>
      </c>
      <c r="D3" s="55" t="s">
        <v>90</v>
      </c>
      <c r="E3" s="55" t="s">
        <v>65</v>
      </c>
      <c r="K3" t="s">
        <v>64</v>
      </c>
      <c r="L3" t="s">
        <v>91</v>
      </c>
      <c r="M3" t="s">
        <v>92</v>
      </c>
      <c r="P3" s="54" t="s">
        <v>93</v>
      </c>
      <c r="Q3" s="54" t="s">
        <v>94</v>
      </c>
      <c r="R3" s="54" t="s">
        <v>95</v>
      </c>
      <c r="S3" s="54" t="s">
        <v>91</v>
      </c>
    </row>
    <row r="4" spans="2:19">
      <c r="B4" s="53" t="s">
        <v>96</v>
      </c>
      <c r="C4" s="53" t="s">
        <v>97</v>
      </c>
      <c r="D4" s="53" t="s">
        <v>98</v>
      </c>
      <c r="E4" s="53" t="s">
        <v>99</v>
      </c>
      <c r="K4" t="s">
        <v>100</v>
      </c>
      <c r="L4" t="s">
        <v>101</v>
      </c>
      <c r="M4" t="s">
        <v>102</v>
      </c>
      <c r="P4" s="54" t="s">
        <v>103</v>
      </c>
      <c r="Q4" s="54" t="s">
        <v>104</v>
      </c>
      <c r="R4" s="54" t="s">
        <v>105</v>
      </c>
      <c r="S4" s="54" t="s">
        <v>106</v>
      </c>
    </row>
    <row r="5" spans="2:19">
      <c r="B5" s="53" t="s">
        <v>96</v>
      </c>
      <c r="C5" s="53" t="s">
        <v>107</v>
      </c>
      <c r="D5" s="53" t="s">
        <v>98</v>
      </c>
      <c r="E5" s="53" t="s">
        <v>99</v>
      </c>
      <c r="K5" t="s">
        <v>108</v>
      </c>
      <c r="L5" t="s">
        <v>101</v>
      </c>
      <c r="M5" t="s">
        <v>109</v>
      </c>
    </row>
    <row r="6" spans="2:19">
      <c r="K6" t="s">
        <v>110</v>
      </c>
      <c r="L6" t="s">
        <v>101</v>
      </c>
      <c r="M6" t="s">
        <v>111</v>
      </c>
    </row>
    <row r="7" spans="2:19">
      <c r="K7" t="s">
        <v>112</v>
      </c>
      <c r="L7" t="s">
        <v>101</v>
      </c>
      <c r="M7" t="s">
        <v>113</v>
      </c>
    </row>
    <row r="8" spans="2:19">
      <c r="B8" t="s">
        <v>114</v>
      </c>
      <c r="K8" t="s">
        <v>115</v>
      </c>
      <c r="L8" t="s">
        <v>101</v>
      </c>
      <c r="M8" t="s">
        <v>104</v>
      </c>
    </row>
    <row r="9" spans="2:19">
      <c r="B9" t="s">
        <v>116</v>
      </c>
      <c r="C9" t="s">
        <v>117</v>
      </c>
      <c r="D9" t="s">
        <v>118</v>
      </c>
      <c r="E9" t="s">
        <v>119</v>
      </c>
      <c r="F9" t="s">
        <v>50</v>
      </c>
      <c r="G9" t="s">
        <v>120</v>
      </c>
      <c r="H9" t="s">
        <v>41</v>
      </c>
      <c r="K9" t="s">
        <v>121</v>
      </c>
      <c r="L9" t="s">
        <v>101</v>
      </c>
      <c r="M9" t="s">
        <v>113</v>
      </c>
    </row>
    <row r="10" spans="2:19">
      <c r="B10" t="s">
        <v>122</v>
      </c>
      <c r="C10" t="s">
        <v>123</v>
      </c>
      <c r="E10" t="s">
        <v>104</v>
      </c>
      <c r="F10">
        <v>0.25</v>
      </c>
      <c r="G10" t="s">
        <v>124</v>
      </c>
      <c r="K10" t="s">
        <v>123</v>
      </c>
      <c r="L10" t="s">
        <v>101</v>
      </c>
      <c r="M10" t="s">
        <v>104</v>
      </c>
    </row>
    <row r="11" spans="2:19">
      <c r="B11" t="s">
        <v>122</v>
      </c>
      <c r="C11" t="s">
        <v>123</v>
      </c>
      <c r="E11" t="s">
        <v>104</v>
      </c>
      <c r="F11">
        <v>3</v>
      </c>
      <c r="G11" t="s">
        <v>124</v>
      </c>
      <c r="H11">
        <v>0</v>
      </c>
    </row>
    <row r="12" spans="2:19">
      <c r="B12" t="s">
        <v>125</v>
      </c>
      <c r="D12" t="s">
        <v>126</v>
      </c>
      <c r="E12" t="s">
        <v>127</v>
      </c>
      <c r="F12">
        <v>0.93</v>
      </c>
      <c r="K12" t="s">
        <v>128</v>
      </c>
    </row>
    <row r="13" spans="2:19">
      <c r="B13" t="s">
        <v>129</v>
      </c>
      <c r="C13" t="s">
        <v>98</v>
      </c>
      <c r="F13">
        <v>25</v>
      </c>
      <c r="K13" t="s">
        <v>116</v>
      </c>
      <c r="L13" t="s">
        <v>50</v>
      </c>
      <c r="M13" t="s">
        <v>130</v>
      </c>
      <c r="N13" t="s">
        <v>131</v>
      </c>
    </row>
    <row r="14" spans="2:19">
      <c r="B14" t="s">
        <v>132</v>
      </c>
      <c r="C14" t="s">
        <v>98</v>
      </c>
      <c r="E14" s="99" t="s">
        <v>133</v>
      </c>
      <c r="F14">
        <v>2020</v>
      </c>
      <c r="K14" t="s">
        <v>134</v>
      </c>
      <c r="L14" t="s">
        <v>135</v>
      </c>
      <c r="M14" t="s">
        <v>136</v>
      </c>
      <c r="N14" t="s">
        <v>98</v>
      </c>
    </row>
    <row r="15" spans="2:19">
      <c r="K15" t="s">
        <v>134</v>
      </c>
      <c r="L15" t="s">
        <v>137</v>
      </c>
      <c r="M15" t="s">
        <v>136</v>
      </c>
      <c r="N15" t="s">
        <v>115</v>
      </c>
    </row>
    <row r="16" spans="2:19">
      <c r="B16" s="56" t="s">
        <v>138</v>
      </c>
    </row>
    <row r="18" spans="2:50">
      <c r="B18" t="s">
        <v>93</v>
      </c>
      <c r="C18">
        <v>2020</v>
      </c>
      <c r="D18">
        <v>0</v>
      </c>
      <c r="E18" t="s">
        <v>139</v>
      </c>
      <c r="F18" t="s">
        <v>92</v>
      </c>
      <c r="G18" t="s">
        <v>140</v>
      </c>
    </row>
    <row r="19" spans="2:50">
      <c r="B19" s="99" t="s">
        <v>133</v>
      </c>
      <c r="C19">
        <v>0.2</v>
      </c>
      <c r="D19">
        <v>3</v>
      </c>
      <c r="E19" s="99" t="s">
        <v>141</v>
      </c>
      <c r="F19" t="s">
        <v>98</v>
      </c>
      <c r="G19" t="s">
        <v>142</v>
      </c>
    </row>
    <row r="21" spans="2:50">
      <c r="C21" t="s">
        <v>114</v>
      </c>
    </row>
    <row r="22" spans="2: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97</v>
      </c>
      <c r="D23" s="57">
        <f>AVERAGEIFS(RoadTra_BY!L$2:L$999,RoadTra_BY!$B$2:$B$999,'Road transport'!$C23,RoadTra_BY!$C$2:$C$999,'Road transport'!$AX23)</f>
        <v>7</v>
      </c>
      <c r="E23" s="57">
        <f>AVERAGEIFS(RoadTra_BY!M$2:M$999,RoadTra_BY!$B$2:$B$999,'Road transport'!$C23,RoadTra_BY!$C$2:$C$999,'Road transport'!$AX23)</f>
        <v>7</v>
      </c>
      <c r="F23" s="57">
        <f>AVERAGEIFS(RoadTra_BY!N$2:N$999,RoadTra_BY!$B$2:$B$999,'Road transport'!$C23,RoadTra_BY!$C$2:$C$999,'Road transport'!$AX23)</f>
        <v>7</v>
      </c>
      <c r="G23" s="57">
        <f>AVERAGEIFS(RoadTra_BY!O$2:O$999,RoadTra_BY!$B$2:$B$999,'Road transport'!$C23,RoadTra_BY!$C$2:$C$999,'Road transport'!$AX23)</f>
        <v>7</v>
      </c>
      <c r="H23" s="57">
        <f>AVERAGEIFS(RoadTra_BY!P$2:P$999,RoadTra_BY!$B$2:$B$999,'Road transport'!$C23,RoadTra_BY!$C$2:$C$999,'Road transport'!$AX23)</f>
        <v>7</v>
      </c>
      <c r="I23" s="57">
        <f>AVERAGEIFS(RoadTra_BY!Q$2:Q$999,RoadTra_BY!$B$2:$B$999,'Road transport'!$C23,RoadTra_BY!$C$2:$C$999,'Road transport'!$AX23)</f>
        <v>7</v>
      </c>
      <c r="J23" s="57">
        <f>AVERAGEIFS(RoadTra_BY!R$2:R$999,RoadTra_BY!$B$2:$B$999,'Road transport'!$C23,RoadTra_BY!$C$2:$C$999,'Road transport'!$AX23)</f>
        <v>7</v>
      </c>
      <c r="K23" s="57">
        <f>AVERAGEIFS(RoadTra_BY!S$2:S$999,RoadTra_BY!$B$2:$B$999,'Road transport'!$C23,RoadTra_BY!$C$2:$C$999,'Road transport'!$AX23)</f>
        <v>7</v>
      </c>
      <c r="L23" s="57">
        <f>AVERAGEIFS(RoadTra_BY!T$2:T$999,RoadTra_BY!$B$2:$B$999,'Road transport'!$C23,RoadTra_BY!$C$2:$C$999,'Road transport'!$AX23)</f>
        <v>7</v>
      </c>
      <c r="M23" s="57">
        <f>AVERAGEIFS(RoadTra_BY!U$2:U$999,RoadTra_BY!$B$2:$B$999,'Road transport'!$C23,RoadTra_BY!$C$2:$C$999,'Road transport'!$AX23)</f>
        <v>7</v>
      </c>
      <c r="N23" s="57">
        <f>AVERAGEIFS(RoadTra_BY!V$2:V$999,RoadTra_BY!$B$2:$B$999,'Road transport'!$C23,RoadTra_BY!$C$2:$C$999,'Road transport'!$AX23)</f>
        <v>7</v>
      </c>
      <c r="O23" s="57">
        <f>AVERAGEIFS(RoadTra_BY!W$2:W$999,RoadTra_BY!$B$2:$B$999,'Road transport'!$C23,RoadTra_BY!$C$2:$C$999,'Road transport'!$AX23)</f>
        <v>7</v>
      </c>
      <c r="P23" s="57">
        <f>AVERAGEIFS(RoadTra_BY!X$2:X$999,RoadTra_BY!$B$2:$B$999,'Road transport'!$C23,RoadTra_BY!$C$2:$C$999,'Road transport'!$AX23)</f>
        <v>7</v>
      </c>
      <c r="Q23" s="57">
        <f>AVERAGEIFS(RoadTra_BY!Y$2:Y$999,RoadTra_BY!$B$2:$B$999,'Road transport'!$C23,RoadTra_BY!$C$2:$C$999,'Road transport'!$AX23)</f>
        <v>7</v>
      </c>
      <c r="R23" s="57">
        <f>AVERAGEIFS(RoadTra_BY!Z$2:Z$999,RoadTra_BY!$B$2:$B$999,'Road transport'!$C23,RoadTra_BY!$C$2:$C$999,'Road transport'!$AX23)</f>
        <v>7</v>
      </c>
      <c r="S23" s="57">
        <f>AVERAGEIFS(RoadTra_BY!AA$2:AA$999,RoadTra_BY!$B$2:$B$999,'Road transport'!$C23,RoadTra_BY!$C$2:$C$999,'Road transport'!$AX23)</f>
        <v>7</v>
      </c>
      <c r="T23" s="57">
        <f>AVERAGEIFS(RoadTra_BY!AB$2:AB$999,RoadTra_BY!$B$2:$B$999,'Road transport'!$C23,RoadTra_BY!$C$2:$C$999,'Road transport'!$AX23)</f>
        <v>7</v>
      </c>
      <c r="U23" s="57">
        <f>AVERAGEIFS(RoadTra_BY!AC$2:AC$999,RoadTra_BY!$B$2:$B$999,'Road transport'!$C23,RoadTra_BY!$C$2:$C$999,'Road transport'!$AX23)</f>
        <v>7</v>
      </c>
      <c r="V23" s="57">
        <f>AVERAGEIFS(RoadTra_BY!AD$2:AD$999,RoadTra_BY!$B$2:$B$999,'Road transport'!$C23,RoadTra_BY!$C$2:$C$999,'Road transport'!$AX23)</f>
        <v>4</v>
      </c>
      <c r="W23" s="57">
        <f>AVERAGEIFS(RoadTra_BY!AE$2:AE$999,RoadTra_BY!$B$2:$B$999,'Road transport'!$C23,RoadTra_BY!$C$2:$C$999,'Road transport'!$AX23)</f>
        <v>7</v>
      </c>
      <c r="X23" s="57">
        <f>AVERAGEIFS(RoadTra_BY!AF$2:AF$999,RoadTra_BY!$B$2:$B$999,'Road transport'!$C23,RoadTra_BY!$C$2:$C$999,'Road transport'!$AX23)</f>
        <v>5</v>
      </c>
      <c r="Y23" s="57">
        <f>AVERAGEIFS(RoadTra_BY!AG$2:AG$999,RoadTra_BY!$B$2:$B$999,'Road transport'!$C23,RoadTra_BY!$C$2:$C$999,'Road transport'!$AX23)</f>
        <v>7</v>
      </c>
      <c r="Z23" s="57">
        <f>AVERAGEIFS(RoadTra_BY!AH$2:AH$999,RoadTra_BY!$B$2:$B$999,'Road transport'!$C23,RoadTra_BY!$C$2:$C$999,'Road transport'!$AX23)</f>
        <v>4</v>
      </c>
      <c r="AA23" s="57">
        <f>AVERAGEIFS(RoadTra_BY!AI$2:AI$999,RoadTra_BY!$B$2:$B$999,'Road transport'!$C23,RoadTra_BY!$C$2:$C$999,'Road transport'!$AX23)</f>
        <v>7</v>
      </c>
      <c r="AB23" s="57">
        <f>AVERAGEIFS(RoadTra_BY!AJ$2:AJ$999,RoadTra_BY!$B$2:$B$999,'Road transport'!$C23,RoadTra_BY!$C$2:$C$999,'Road transport'!$AX23)</f>
        <v>7</v>
      </c>
      <c r="AC23" s="57">
        <f>AVERAGEIFS(RoadTra_BY!AK$2:AK$999,RoadTra_BY!$B$2:$B$999,'Road transport'!$C23,RoadTra_BY!$C$2:$C$999,'Road transport'!$AX23)</f>
        <v>3</v>
      </c>
      <c r="AD23" s="57">
        <f>AVERAGEIFS(RoadTra_BY!AL$2:AL$999,RoadTra_BY!$B$2:$B$999,'Road transport'!$C23,RoadTra_BY!$C$2:$C$999,'Road transport'!$AX23)</f>
        <v>7</v>
      </c>
      <c r="AE23" s="57">
        <f>AVERAGEIFS(RoadTra_BY!AM$2:AM$999,RoadTra_BY!$B$2:$B$999,'Road transport'!$C23,RoadTra_BY!$C$2:$C$999,'Road transport'!$AX23)</f>
        <v>7</v>
      </c>
      <c r="AF23" s="57">
        <f>AVERAGEIFS(RoadTra_BY!AN$2:AN$999,RoadTra_BY!$B$2:$B$999,'Road transport'!$C23,RoadTra_BY!$C$2:$C$999,'Road transport'!$AX23)</f>
        <v>6.5</v>
      </c>
      <c r="AG23" s="57">
        <f>AVERAGEIFS(RoadTra_BY!AO$2:AO$999,RoadTra_BY!$B$2:$B$999,'Road transport'!$C23,RoadTra_BY!$C$2:$C$999,'Road transport'!$AX23)</f>
        <v>7</v>
      </c>
      <c r="AH23" s="57">
        <f>AVERAGEIFS(RoadTra_BY!AP$2:AP$999,RoadTra_BY!$B$2:$B$999,'Road transport'!$C23,RoadTra_BY!$C$2:$C$999,'Road transport'!$AX23)</f>
        <v>7</v>
      </c>
      <c r="AI23" s="57">
        <f>AVERAGEIFS(RoadTra_BY!AQ$2:AQ$999,RoadTra_BY!$B$2:$B$999,'Road transport'!$C23,RoadTra_BY!$C$2:$C$999,'Road transport'!$AX23)</f>
        <v>7</v>
      </c>
      <c r="AJ23" s="57">
        <f>AVERAGEIFS(RoadTra_BY!AR$2:AR$999,RoadTra_BY!$B$2:$B$999,'Road transport'!$C23,RoadTra_BY!$C$2:$C$999,'Road transport'!$AX23)</f>
        <v>4</v>
      </c>
      <c r="AK23" s="57">
        <f>AVERAGEIFS(RoadTra_BY!AS$2:AS$999,RoadTra_BY!$B$2:$B$999,'Road transport'!$C23,RoadTra_BY!$C$2:$C$999,'Road transport'!$AX23)</f>
        <v>4</v>
      </c>
      <c r="AL23" s="57">
        <f>AVERAGEIFS(RoadTra_BY!AT$2:AT$999,RoadTra_BY!$B$2:$B$999,'Road transport'!$C23,RoadTra_BY!$C$2:$C$999,'Road transport'!$AX23)</f>
        <v>4</v>
      </c>
      <c r="AM23" s="57" t="e">
        <f>AVERAGEIFS(RoadTra_BY!AU$2:AU$999,RoadTra_BY!$B$2:$B$999,'Road transport'!$C23,RoadTra_BY!$C$2:$C$999,'Road transport'!$AX23)</f>
        <v>#DIV/0!</v>
      </c>
      <c r="AN23" s="57" t="e">
        <f>AVERAGEIFS(RoadTra_BY!AV$2:AV$999,RoadTra_BY!$B$2:$B$999,'Road transport'!$C23,RoadTra_BY!$C$2:$C$999,'Road transport'!$AX23)</f>
        <v>#DIV/0!</v>
      </c>
      <c r="AO23" s="57" t="e">
        <f>AVERAGEIFS(RoadTra_BY!AW$2:AW$999,RoadTra_BY!$B$2:$B$999,'Road transport'!$C23,RoadTra_BY!$C$2:$C$999,'Road transport'!$AX23)</f>
        <v>#DIV/0!</v>
      </c>
      <c r="AP23" s="57" t="e">
        <f>AVERAGEIFS(RoadTra_BY!AX$2:AX$999,RoadTra_BY!$B$2:$B$999,'Road transport'!$C23,RoadTra_BY!$C$2:$C$999,'Road transport'!$AX23)</f>
        <v>#DIV/0!</v>
      </c>
      <c r="AQ23" s="57" t="e">
        <f>AVERAGEIFS(RoadTra_BY!AY$2:AY$999,RoadTra_BY!$B$2:$B$999,'Road transport'!$C23,RoadTra_BY!$C$2:$C$999,'Road transport'!$AX23)</f>
        <v>#DIV/0!</v>
      </c>
      <c r="AR23" s="57" t="e">
        <f>AVERAGEIFS(RoadTra_BY!AZ$2:AZ$999,RoadTra_BY!$B$2:$B$999,'Road transport'!$C23,RoadTra_BY!$C$2:$C$999,'Road transport'!$AX23)</f>
        <v>#DIV/0!</v>
      </c>
      <c r="AS23" s="57" t="e">
        <f>AVERAGEIFS(RoadTra_BY!BA$2:BA$999,RoadTra_BY!$B$2:$B$999,'Road transport'!$C23,RoadTra_BY!$C$2:$C$999,'Road transport'!$AX23)</f>
        <v>#DIV/0!</v>
      </c>
      <c r="AT23" s="57" t="e">
        <f>AVERAGEIFS(RoadTra_BY!BB$2:BB$999,RoadTra_BY!$B$2:$B$999,'Road transport'!$C23,RoadTra_BY!$C$2:$C$999,'Road transport'!$AX23)</f>
        <v>#DIV/0!</v>
      </c>
      <c r="AU23" s="57" t="e">
        <f>AVERAGEIFS(RoadTra_BY!BC$2:BC$999,RoadTra_BY!$B$2:$B$999,'Road transport'!$C23,RoadTra_BY!$C$2:$C$999,'Road transport'!$AX23)</f>
        <v>#DIV/0!</v>
      </c>
      <c r="AV23" s="57" t="e">
        <f>AVERAGEIFS(RoadTra_BY!BD$2:BD$999,RoadTra_BY!$B$2:$B$999,'Road transport'!$C23,RoadTra_BY!$C$2:$C$999,'Road transport'!$AX23)</f>
        <v>#DIV/0!</v>
      </c>
      <c r="AW23" s="57" t="e">
        <f>AVERAGEIFS(RoadTra_BY!BE$2:BE$999,RoadTra_BY!$B$2:$B$999,'Road transport'!$C23,RoadTra_BY!$C$2:$C$999,'Road transport'!$AX23)</f>
        <v>#DIV/0!</v>
      </c>
      <c r="AX23" t="s">
        <v>143</v>
      </c>
    </row>
    <row r="24" spans="2:50">
      <c r="C24" t="s">
        <v>97</v>
      </c>
      <c r="D24" s="57">
        <f>AVERAGEIFS(RoadTra_BY!L$2:L$999,RoadTra_BY!$B$2:$B$999,'Road transport'!$C24,RoadTra_BY!$C$2:$C$999,'Road transport'!$AX24)</f>
        <v>15</v>
      </c>
      <c r="E24" s="57">
        <f>AVERAGEIFS(RoadTra_BY!M$2:M$999,RoadTra_BY!$B$2:$B$999,'Road transport'!$C24,RoadTra_BY!$C$2:$C$999,'Road transport'!$AX24)</f>
        <v>15</v>
      </c>
      <c r="F24" s="57">
        <f>AVERAGEIFS(RoadTra_BY!N$2:N$999,RoadTra_BY!$B$2:$B$999,'Road transport'!$C24,RoadTra_BY!$C$2:$C$999,'Road transport'!$AX24)</f>
        <v>15</v>
      </c>
      <c r="G24" s="57">
        <f>AVERAGEIFS(RoadTra_BY!O$2:O$999,RoadTra_BY!$B$2:$B$999,'Road transport'!$C24,RoadTra_BY!$C$2:$C$999,'Road transport'!$AX24)</f>
        <v>15</v>
      </c>
      <c r="H24" s="57">
        <f>AVERAGEIFS(RoadTra_BY!P$2:P$999,RoadTra_BY!$B$2:$B$999,'Road transport'!$C24,RoadTra_BY!$C$2:$C$999,'Road transport'!$AX24)</f>
        <v>15</v>
      </c>
      <c r="I24" s="57">
        <f>AVERAGEIFS(RoadTra_BY!Q$2:Q$999,RoadTra_BY!$B$2:$B$999,'Road transport'!$C24,RoadTra_BY!$C$2:$C$999,'Road transport'!$AX24)</f>
        <v>15</v>
      </c>
      <c r="J24" s="57">
        <f>AVERAGEIFS(RoadTra_BY!R$2:R$999,RoadTra_BY!$B$2:$B$999,'Road transport'!$C24,RoadTra_BY!$C$2:$C$999,'Road transport'!$AX24)</f>
        <v>15</v>
      </c>
      <c r="K24" s="57">
        <f>AVERAGEIFS(RoadTra_BY!S$2:S$999,RoadTra_BY!$B$2:$B$999,'Road transport'!$C24,RoadTra_BY!$C$2:$C$999,'Road transport'!$AX24)</f>
        <v>15</v>
      </c>
      <c r="L24" s="57">
        <f>AVERAGEIFS(RoadTra_BY!T$2:T$999,RoadTra_BY!$B$2:$B$999,'Road transport'!$C24,RoadTra_BY!$C$2:$C$999,'Road transport'!$AX24)</f>
        <v>15</v>
      </c>
      <c r="M24" s="57">
        <f>AVERAGEIFS(RoadTra_BY!U$2:U$999,RoadTra_BY!$B$2:$B$999,'Road transport'!$C24,RoadTra_BY!$C$2:$C$999,'Road transport'!$AX24)</f>
        <v>15</v>
      </c>
      <c r="N24" s="57">
        <f>AVERAGEIFS(RoadTra_BY!V$2:V$999,RoadTra_BY!$B$2:$B$999,'Road transport'!$C24,RoadTra_BY!$C$2:$C$999,'Road transport'!$AX24)</f>
        <v>15</v>
      </c>
      <c r="O24" s="57">
        <f>AVERAGEIFS(RoadTra_BY!W$2:W$999,RoadTra_BY!$B$2:$B$999,'Road transport'!$C24,RoadTra_BY!$C$2:$C$999,'Road transport'!$AX24)</f>
        <v>15</v>
      </c>
      <c r="P24" s="57">
        <f>AVERAGEIFS(RoadTra_BY!X$2:X$999,RoadTra_BY!$B$2:$B$999,'Road transport'!$C24,RoadTra_BY!$C$2:$C$999,'Road transport'!$AX24)</f>
        <v>15</v>
      </c>
      <c r="Q24" s="57">
        <f>AVERAGEIFS(RoadTra_BY!Y$2:Y$999,RoadTra_BY!$B$2:$B$999,'Road transport'!$C24,RoadTra_BY!$C$2:$C$999,'Road transport'!$AX24)</f>
        <v>15</v>
      </c>
      <c r="R24" s="57">
        <f>AVERAGEIFS(RoadTra_BY!Z$2:Z$999,RoadTra_BY!$B$2:$B$999,'Road transport'!$C24,RoadTra_BY!$C$2:$C$999,'Road transport'!$AX24)</f>
        <v>15</v>
      </c>
      <c r="S24" s="57">
        <f>AVERAGEIFS(RoadTra_BY!AA$2:AA$999,RoadTra_BY!$B$2:$B$999,'Road transport'!$C24,RoadTra_BY!$C$2:$C$999,'Road transport'!$AX24)</f>
        <v>15</v>
      </c>
      <c r="T24" s="57">
        <f>AVERAGEIFS(RoadTra_BY!AB$2:AB$999,RoadTra_BY!$B$2:$B$999,'Road transport'!$C24,RoadTra_BY!$C$2:$C$999,'Road transport'!$AX24)</f>
        <v>15</v>
      </c>
      <c r="U24" s="57">
        <f>AVERAGEIFS(RoadTra_BY!AC$2:AC$999,RoadTra_BY!$B$2:$B$999,'Road transport'!$C24,RoadTra_BY!$C$2:$C$999,'Road transport'!$AX24)</f>
        <v>15</v>
      </c>
      <c r="V24" s="57">
        <f>AVERAGEIFS(RoadTra_BY!AD$2:AD$999,RoadTra_BY!$B$2:$B$999,'Road transport'!$C24,RoadTra_BY!$C$2:$C$999,'Road transport'!$AX24)</f>
        <v>15</v>
      </c>
      <c r="W24" s="57">
        <f>AVERAGEIFS(RoadTra_BY!AE$2:AE$999,RoadTra_BY!$B$2:$B$999,'Road transport'!$C24,RoadTra_BY!$C$2:$C$999,'Road transport'!$AX24)</f>
        <v>15</v>
      </c>
      <c r="X24" s="57">
        <f>AVERAGEIFS(RoadTra_BY!AF$2:AF$999,RoadTra_BY!$B$2:$B$999,'Road transport'!$C24,RoadTra_BY!$C$2:$C$999,'Road transport'!$AX24)</f>
        <v>15</v>
      </c>
      <c r="Y24" s="57">
        <f>AVERAGEIFS(RoadTra_BY!AG$2:AG$999,RoadTra_BY!$B$2:$B$999,'Road transport'!$C24,RoadTra_BY!$C$2:$C$999,'Road transport'!$AX24)</f>
        <v>15</v>
      </c>
      <c r="Z24" s="57">
        <f>AVERAGEIFS(RoadTra_BY!AH$2:AH$999,RoadTra_BY!$B$2:$B$999,'Road transport'!$C24,RoadTra_BY!$C$2:$C$999,'Road transport'!$AX24)</f>
        <v>15</v>
      </c>
      <c r="AA24" s="57">
        <f>AVERAGEIFS(RoadTra_BY!AI$2:AI$999,RoadTra_BY!$B$2:$B$999,'Road transport'!$C24,RoadTra_BY!$C$2:$C$999,'Road transport'!$AX24)</f>
        <v>15</v>
      </c>
      <c r="AB24" s="57">
        <f>AVERAGEIFS(RoadTra_BY!AJ$2:AJ$999,RoadTra_BY!$B$2:$B$999,'Road transport'!$C24,RoadTra_BY!$C$2:$C$999,'Road transport'!$AX24)</f>
        <v>15</v>
      </c>
      <c r="AC24" s="57">
        <f>AVERAGEIFS(RoadTra_BY!AK$2:AK$999,RoadTra_BY!$B$2:$B$999,'Road transport'!$C24,RoadTra_BY!$C$2:$C$999,'Road transport'!$AX24)</f>
        <v>15</v>
      </c>
      <c r="AD24" s="57">
        <f>AVERAGEIFS(RoadTra_BY!AL$2:AL$999,RoadTra_BY!$B$2:$B$999,'Road transport'!$C24,RoadTra_BY!$C$2:$C$999,'Road transport'!$AX24)</f>
        <v>15</v>
      </c>
      <c r="AE24" s="57">
        <f>AVERAGEIFS(RoadTra_BY!AM$2:AM$999,RoadTra_BY!$B$2:$B$999,'Road transport'!$C24,RoadTra_BY!$C$2:$C$999,'Road transport'!$AX24)</f>
        <v>15</v>
      </c>
      <c r="AF24" s="57">
        <f>AVERAGEIFS(RoadTra_BY!AN$2:AN$999,RoadTra_BY!$B$2:$B$999,'Road transport'!$C24,RoadTra_BY!$C$2:$C$999,'Road transport'!$AX24)</f>
        <v>20</v>
      </c>
      <c r="AG24" s="57">
        <f>AVERAGEIFS(RoadTra_BY!AO$2:AO$999,RoadTra_BY!$B$2:$B$999,'Road transport'!$C24,RoadTra_BY!$C$2:$C$999,'Road transport'!$AX24)</f>
        <v>15</v>
      </c>
      <c r="AH24" s="57">
        <f>AVERAGEIFS(RoadTra_BY!AP$2:AP$999,RoadTra_BY!$B$2:$B$999,'Road transport'!$C24,RoadTra_BY!$C$2:$C$999,'Road transport'!$AX24)</f>
        <v>15</v>
      </c>
      <c r="AI24" s="57">
        <f>AVERAGEIFS(RoadTra_BY!AQ$2:AQ$999,RoadTra_BY!$B$2:$B$999,'Road transport'!$C24,RoadTra_BY!$C$2:$C$999,'Road transport'!$AX24)</f>
        <v>15</v>
      </c>
      <c r="AJ24" s="57">
        <f>AVERAGEIFS(RoadTra_BY!AR$2:AR$999,RoadTra_BY!$B$2:$B$999,'Road transport'!$C24,RoadTra_BY!$C$2:$C$999,'Road transport'!$AX24)</f>
        <v>15</v>
      </c>
      <c r="AK24" s="57">
        <f>AVERAGEIFS(RoadTra_BY!AS$2:AS$999,RoadTra_BY!$B$2:$B$999,'Road transport'!$C24,RoadTra_BY!$C$2:$C$999,'Road transport'!$AX24)</f>
        <v>15</v>
      </c>
      <c r="AL24" s="57">
        <f>AVERAGEIFS(RoadTra_BY!AT$2:AT$999,RoadTra_BY!$B$2:$B$999,'Road transport'!$C24,RoadTra_BY!$C$2:$C$999,'Road transport'!$AX24)</f>
        <v>15</v>
      </c>
      <c r="AM24" s="57" t="e">
        <f>AVERAGEIFS(RoadTra_BY!AU$2:AU$999,RoadTra_BY!$B$2:$B$999,'Road transport'!$C24,RoadTra_BY!$C$2:$C$999,'Road transport'!$AX24)</f>
        <v>#DIV/0!</v>
      </c>
      <c r="AN24" s="57" t="e">
        <f>AVERAGEIFS(RoadTra_BY!AV$2:AV$999,RoadTra_BY!$B$2:$B$999,'Road transport'!$C24,RoadTra_BY!$C$2:$C$999,'Road transport'!$AX24)</f>
        <v>#DIV/0!</v>
      </c>
      <c r="AO24" s="57" t="e">
        <f>AVERAGEIFS(RoadTra_BY!AW$2:AW$999,RoadTra_BY!$B$2:$B$999,'Road transport'!$C24,RoadTra_BY!$C$2:$C$999,'Road transport'!$AX24)</f>
        <v>#DIV/0!</v>
      </c>
      <c r="AP24" s="57" t="e">
        <f>AVERAGEIFS(RoadTra_BY!AX$2:AX$999,RoadTra_BY!$B$2:$B$999,'Road transport'!$C24,RoadTra_BY!$C$2:$C$999,'Road transport'!$AX24)</f>
        <v>#DIV/0!</v>
      </c>
      <c r="AQ24" s="57" t="e">
        <f>AVERAGEIFS(RoadTra_BY!AY$2:AY$999,RoadTra_BY!$B$2:$B$999,'Road transport'!$C24,RoadTra_BY!$C$2:$C$999,'Road transport'!$AX24)</f>
        <v>#DIV/0!</v>
      </c>
      <c r="AR24" s="57" t="e">
        <f>AVERAGEIFS(RoadTra_BY!AZ$2:AZ$999,RoadTra_BY!$B$2:$B$999,'Road transport'!$C24,RoadTra_BY!$C$2:$C$999,'Road transport'!$AX24)</f>
        <v>#DIV/0!</v>
      </c>
      <c r="AS24" s="57" t="e">
        <f>AVERAGEIFS(RoadTra_BY!BA$2:BA$999,RoadTra_BY!$B$2:$B$999,'Road transport'!$C24,RoadTra_BY!$C$2:$C$999,'Road transport'!$AX24)</f>
        <v>#DIV/0!</v>
      </c>
      <c r="AT24" s="57" t="e">
        <f>AVERAGEIFS(RoadTra_BY!BB$2:BB$999,RoadTra_BY!$B$2:$B$999,'Road transport'!$C24,RoadTra_BY!$C$2:$C$999,'Road transport'!$AX24)</f>
        <v>#DIV/0!</v>
      </c>
      <c r="AU24" s="57" t="e">
        <f>AVERAGEIFS(RoadTra_BY!BC$2:BC$999,RoadTra_BY!$B$2:$B$999,'Road transport'!$C24,RoadTra_BY!$C$2:$C$999,'Road transport'!$AX24)</f>
        <v>#DIV/0!</v>
      </c>
      <c r="AV24" s="57" t="e">
        <f>AVERAGEIFS(RoadTra_BY!BD$2:BD$999,RoadTra_BY!$B$2:$B$999,'Road transport'!$C24,RoadTra_BY!$C$2:$C$999,'Road transport'!$AX24)</f>
        <v>#DIV/0!</v>
      </c>
      <c r="AW24" s="57" t="e">
        <f>AVERAGEIFS(RoadTra_BY!BE$2:BE$999,RoadTra_BY!$B$2:$B$999,'Road transport'!$C24,RoadTra_BY!$C$2:$C$999,'Road transport'!$AX24)</f>
        <v>#DIV/0!</v>
      </c>
      <c r="AX24" t="s">
        <v>144</v>
      </c>
    </row>
    <row r="25" spans="2:50">
      <c r="C25" t="s">
        <v>97</v>
      </c>
      <c r="D25" s="57">
        <f>AVERAGEIFS(RoadTra_BY!L$2:L$999,RoadTra_BY!$B$2:$B$999,'Road transport'!$C25,RoadTra_BY!$C$2:$C$999,'Road transport'!$AX25)</f>
        <v>35</v>
      </c>
      <c r="E25" s="57">
        <f>AVERAGEIFS(RoadTra_BY!M$2:M$999,RoadTra_BY!$B$2:$B$999,'Road transport'!$C25,RoadTra_BY!$C$2:$C$999,'Road transport'!$AX25)</f>
        <v>35</v>
      </c>
      <c r="F25" s="57">
        <f>AVERAGEIFS(RoadTra_BY!N$2:N$999,RoadTra_BY!$B$2:$B$999,'Road transport'!$C25,RoadTra_BY!$C$2:$C$999,'Road transport'!$AX25)</f>
        <v>35</v>
      </c>
      <c r="G25" s="57">
        <f>AVERAGEIFS(RoadTra_BY!O$2:O$999,RoadTra_BY!$B$2:$B$999,'Road transport'!$C25,RoadTra_BY!$C$2:$C$999,'Road transport'!$AX25)</f>
        <v>35</v>
      </c>
      <c r="H25" s="57">
        <f>AVERAGEIFS(RoadTra_BY!P$2:P$999,RoadTra_BY!$B$2:$B$999,'Road transport'!$C25,RoadTra_BY!$C$2:$C$999,'Road transport'!$AX25)</f>
        <v>35</v>
      </c>
      <c r="I25" s="57">
        <f>AVERAGEIFS(RoadTra_BY!Q$2:Q$999,RoadTra_BY!$B$2:$B$999,'Road transport'!$C25,RoadTra_BY!$C$2:$C$999,'Road transport'!$AX25)</f>
        <v>35</v>
      </c>
      <c r="J25" s="57">
        <f>AVERAGEIFS(RoadTra_BY!R$2:R$999,RoadTra_BY!$B$2:$B$999,'Road transport'!$C25,RoadTra_BY!$C$2:$C$999,'Road transport'!$AX25)</f>
        <v>35</v>
      </c>
      <c r="K25" s="57">
        <f>AVERAGEIFS(RoadTra_BY!S$2:S$999,RoadTra_BY!$B$2:$B$999,'Road transport'!$C25,RoadTra_BY!$C$2:$C$999,'Road transport'!$AX25)</f>
        <v>35</v>
      </c>
      <c r="L25" s="57">
        <f>AVERAGEIFS(RoadTra_BY!T$2:T$999,RoadTra_BY!$B$2:$B$999,'Road transport'!$C25,RoadTra_BY!$C$2:$C$999,'Road transport'!$AX25)</f>
        <v>35</v>
      </c>
      <c r="M25" s="57">
        <f>AVERAGEIFS(RoadTra_BY!U$2:U$999,RoadTra_BY!$B$2:$B$999,'Road transport'!$C25,RoadTra_BY!$C$2:$C$999,'Road transport'!$AX25)</f>
        <v>35</v>
      </c>
      <c r="N25" s="57">
        <f>AVERAGEIFS(RoadTra_BY!V$2:V$999,RoadTra_BY!$B$2:$B$999,'Road transport'!$C25,RoadTra_BY!$C$2:$C$999,'Road transport'!$AX25)</f>
        <v>35</v>
      </c>
      <c r="O25" s="57">
        <f>AVERAGEIFS(RoadTra_BY!W$2:W$999,RoadTra_BY!$B$2:$B$999,'Road transport'!$C25,RoadTra_BY!$C$2:$C$999,'Road transport'!$AX25)</f>
        <v>35</v>
      </c>
      <c r="P25" s="57">
        <f>AVERAGEIFS(RoadTra_BY!X$2:X$999,RoadTra_BY!$B$2:$B$999,'Road transport'!$C25,RoadTra_BY!$C$2:$C$999,'Road transport'!$AX25)</f>
        <v>35</v>
      </c>
      <c r="Q25" s="57">
        <f>AVERAGEIFS(RoadTra_BY!Y$2:Y$999,RoadTra_BY!$B$2:$B$999,'Road transport'!$C25,RoadTra_BY!$C$2:$C$999,'Road transport'!$AX25)</f>
        <v>35</v>
      </c>
      <c r="R25" s="57">
        <f>AVERAGEIFS(RoadTra_BY!Z$2:Z$999,RoadTra_BY!$B$2:$B$999,'Road transport'!$C25,RoadTra_BY!$C$2:$C$999,'Road transport'!$AX25)</f>
        <v>35</v>
      </c>
      <c r="S25" s="57">
        <f>AVERAGEIFS(RoadTra_BY!AA$2:AA$999,RoadTra_BY!$B$2:$B$999,'Road transport'!$C25,RoadTra_BY!$C$2:$C$999,'Road transport'!$AX25)</f>
        <v>35</v>
      </c>
      <c r="T25" s="57">
        <f>AVERAGEIFS(RoadTra_BY!AB$2:AB$999,RoadTra_BY!$B$2:$B$999,'Road transport'!$C25,RoadTra_BY!$C$2:$C$999,'Road transport'!$AX25)</f>
        <v>35</v>
      </c>
      <c r="U25" s="57">
        <f>AVERAGEIFS(RoadTra_BY!AC$2:AC$999,RoadTra_BY!$B$2:$B$999,'Road transport'!$C25,RoadTra_BY!$C$2:$C$999,'Road transport'!$AX25)</f>
        <v>35</v>
      </c>
      <c r="V25" s="57">
        <f>AVERAGEIFS(RoadTra_BY!AD$2:AD$999,RoadTra_BY!$B$2:$B$999,'Road transport'!$C25,RoadTra_BY!$C$2:$C$999,'Road transport'!$AX25)</f>
        <v>35</v>
      </c>
      <c r="W25" s="57">
        <f>AVERAGEIFS(RoadTra_BY!AE$2:AE$999,RoadTra_BY!$B$2:$B$999,'Road transport'!$C25,RoadTra_BY!$C$2:$C$999,'Road transport'!$AX25)</f>
        <v>35</v>
      </c>
      <c r="X25" s="57">
        <f>AVERAGEIFS(RoadTra_BY!AF$2:AF$999,RoadTra_BY!$B$2:$B$999,'Road transport'!$C25,RoadTra_BY!$C$2:$C$999,'Road transport'!$AX25)</f>
        <v>35</v>
      </c>
      <c r="Y25" s="57">
        <f>AVERAGEIFS(RoadTra_BY!AG$2:AG$999,RoadTra_BY!$B$2:$B$999,'Road transport'!$C25,RoadTra_BY!$C$2:$C$999,'Road transport'!$AX25)</f>
        <v>35</v>
      </c>
      <c r="Z25" s="57">
        <f>AVERAGEIFS(RoadTra_BY!AH$2:AH$999,RoadTra_BY!$B$2:$B$999,'Road transport'!$C25,RoadTra_BY!$C$2:$C$999,'Road transport'!$AX25)</f>
        <v>35</v>
      </c>
      <c r="AA25" s="57">
        <f>AVERAGEIFS(RoadTra_BY!AI$2:AI$999,RoadTra_BY!$B$2:$B$999,'Road transport'!$C25,RoadTra_BY!$C$2:$C$999,'Road transport'!$AX25)</f>
        <v>35</v>
      </c>
      <c r="AB25" s="57">
        <f>AVERAGEIFS(RoadTra_BY!AJ$2:AJ$999,RoadTra_BY!$B$2:$B$999,'Road transport'!$C25,RoadTra_BY!$C$2:$C$999,'Road transport'!$AX25)</f>
        <v>35</v>
      </c>
      <c r="AC25" s="57">
        <f>AVERAGEIFS(RoadTra_BY!AK$2:AK$999,RoadTra_BY!$B$2:$B$999,'Road transport'!$C25,RoadTra_BY!$C$2:$C$999,'Road transport'!$AX25)</f>
        <v>35</v>
      </c>
      <c r="AD25" s="57">
        <f>AVERAGEIFS(RoadTra_BY!AL$2:AL$999,RoadTra_BY!$B$2:$B$999,'Road transport'!$C25,RoadTra_BY!$C$2:$C$999,'Road transport'!$AX25)</f>
        <v>35</v>
      </c>
      <c r="AE25" s="57">
        <f>AVERAGEIFS(RoadTra_BY!AM$2:AM$999,RoadTra_BY!$B$2:$B$999,'Road transport'!$C25,RoadTra_BY!$C$2:$C$999,'Road transport'!$AX25)</f>
        <v>35</v>
      </c>
      <c r="AF25" s="57">
        <f>AVERAGEIFS(RoadTra_BY!AN$2:AN$999,RoadTra_BY!$B$2:$B$999,'Road transport'!$C25,RoadTra_BY!$C$2:$C$999,'Road transport'!$AX25)</f>
        <v>35</v>
      </c>
      <c r="AG25" s="57">
        <f>AVERAGEIFS(RoadTra_BY!AO$2:AO$999,RoadTra_BY!$B$2:$B$999,'Road transport'!$C25,RoadTra_BY!$C$2:$C$999,'Road transport'!$AX25)</f>
        <v>35</v>
      </c>
      <c r="AH25" s="57">
        <f>AVERAGEIFS(RoadTra_BY!AP$2:AP$999,RoadTra_BY!$B$2:$B$999,'Road transport'!$C25,RoadTra_BY!$C$2:$C$999,'Road transport'!$AX25)</f>
        <v>35</v>
      </c>
      <c r="AI25" s="57">
        <f>AVERAGEIFS(RoadTra_BY!AQ$2:AQ$999,RoadTra_BY!$B$2:$B$999,'Road transport'!$C25,RoadTra_BY!$C$2:$C$999,'Road transport'!$AX25)</f>
        <v>35</v>
      </c>
      <c r="AJ25" s="57">
        <f>AVERAGEIFS(RoadTra_BY!AR$2:AR$999,RoadTra_BY!$B$2:$B$999,'Road transport'!$C25,RoadTra_BY!$C$2:$C$999,'Road transport'!$AX25)</f>
        <v>35</v>
      </c>
      <c r="AK25" s="57">
        <f>AVERAGEIFS(RoadTra_BY!AS$2:AS$999,RoadTra_BY!$B$2:$B$999,'Road transport'!$C25,RoadTra_BY!$C$2:$C$999,'Road transport'!$AX25)</f>
        <v>35</v>
      </c>
      <c r="AL25" s="57">
        <f>AVERAGEIFS(RoadTra_BY!AT$2:AT$999,RoadTra_BY!$B$2:$B$999,'Road transport'!$C25,RoadTra_BY!$C$2:$C$999,'Road transport'!$AX25)</f>
        <v>20</v>
      </c>
      <c r="AM25" s="57" t="e">
        <f>AVERAGEIFS(RoadTra_BY!AU$2:AU$999,RoadTra_BY!$B$2:$B$999,'Road transport'!$C25,RoadTra_BY!$C$2:$C$999,'Road transport'!$AX25)</f>
        <v>#DIV/0!</v>
      </c>
      <c r="AN25" s="57" t="e">
        <f>AVERAGEIFS(RoadTra_BY!AV$2:AV$999,RoadTra_BY!$B$2:$B$999,'Road transport'!$C25,RoadTra_BY!$C$2:$C$999,'Road transport'!$AX25)</f>
        <v>#DIV/0!</v>
      </c>
      <c r="AO25" s="57" t="e">
        <f>AVERAGEIFS(RoadTra_BY!AW$2:AW$999,RoadTra_BY!$B$2:$B$999,'Road transport'!$C25,RoadTra_BY!$C$2:$C$999,'Road transport'!$AX25)</f>
        <v>#DIV/0!</v>
      </c>
      <c r="AP25" s="57" t="e">
        <f>AVERAGEIFS(RoadTra_BY!AX$2:AX$999,RoadTra_BY!$B$2:$B$999,'Road transport'!$C25,RoadTra_BY!$C$2:$C$999,'Road transport'!$AX25)</f>
        <v>#DIV/0!</v>
      </c>
      <c r="AQ25" s="57" t="e">
        <f>AVERAGEIFS(RoadTra_BY!AY$2:AY$999,RoadTra_BY!$B$2:$B$999,'Road transport'!$C25,RoadTra_BY!$C$2:$C$999,'Road transport'!$AX25)</f>
        <v>#DIV/0!</v>
      </c>
      <c r="AR25" s="57" t="e">
        <f>AVERAGEIFS(RoadTra_BY!AZ$2:AZ$999,RoadTra_BY!$B$2:$B$999,'Road transport'!$C25,RoadTra_BY!$C$2:$C$999,'Road transport'!$AX25)</f>
        <v>#DIV/0!</v>
      </c>
      <c r="AS25" s="57" t="e">
        <f>AVERAGEIFS(RoadTra_BY!BA$2:BA$999,RoadTra_BY!$B$2:$B$999,'Road transport'!$C25,RoadTra_BY!$C$2:$C$999,'Road transport'!$AX25)</f>
        <v>#DIV/0!</v>
      </c>
      <c r="AT25" s="57" t="e">
        <f>AVERAGEIFS(RoadTra_BY!BB$2:BB$999,RoadTra_BY!$B$2:$B$999,'Road transport'!$C25,RoadTra_BY!$C$2:$C$999,'Road transport'!$AX25)</f>
        <v>#DIV/0!</v>
      </c>
      <c r="AU25" s="57" t="e">
        <f>AVERAGEIFS(RoadTra_BY!BC$2:BC$999,RoadTra_BY!$B$2:$B$999,'Road transport'!$C25,RoadTra_BY!$C$2:$C$999,'Road transport'!$AX25)</f>
        <v>#DIV/0!</v>
      </c>
      <c r="AV25" s="57" t="e">
        <f>AVERAGEIFS(RoadTra_BY!BD$2:BD$999,RoadTra_BY!$B$2:$B$999,'Road transport'!$C25,RoadTra_BY!$C$2:$C$999,'Road transport'!$AX25)</f>
        <v>#DIV/0!</v>
      </c>
      <c r="AW25" s="57" t="e">
        <f>AVERAGEIFS(RoadTra_BY!BE$2:BE$999,RoadTra_BY!$B$2:$B$999,'Road transport'!$C25,RoadTra_BY!$C$2:$C$999,'Road transport'!$AX25)</f>
        <v>#DIV/0!</v>
      </c>
      <c r="AX25" t="s">
        <v>145</v>
      </c>
    </row>
    <row r="26" spans="2:50">
      <c r="C26" t="s">
        <v>97</v>
      </c>
      <c r="D26" s="57">
        <f>AVERAGEIFS(RoadTra_BY!L$2:L$999,RoadTra_BY!$B$2:$B$999,'Road transport'!$C26,RoadTra_BY!$C$2:$C$999,'Road transport'!$AX26)</f>
        <v>12</v>
      </c>
      <c r="E26" s="57">
        <f>AVERAGEIFS(RoadTra_BY!M$2:M$999,RoadTra_BY!$B$2:$B$999,'Road transport'!$C26,RoadTra_BY!$C$2:$C$999,'Road transport'!$AX26)</f>
        <v>12</v>
      </c>
      <c r="F26" s="57">
        <f>AVERAGEIFS(RoadTra_BY!N$2:N$999,RoadTra_BY!$B$2:$B$999,'Road transport'!$C26,RoadTra_BY!$C$2:$C$999,'Road transport'!$AX26)</f>
        <v>12</v>
      </c>
      <c r="G26" s="57">
        <f>AVERAGEIFS(RoadTra_BY!O$2:O$999,RoadTra_BY!$B$2:$B$999,'Road transport'!$C26,RoadTra_BY!$C$2:$C$999,'Road transport'!$AX26)</f>
        <v>12</v>
      </c>
      <c r="H26" s="57">
        <f>AVERAGEIFS(RoadTra_BY!P$2:P$999,RoadTra_BY!$B$2:$B$999,'Road transport'!$C26,RoadTra_BY!$C$2:$C$999,'Road transport'!$AX26)</f>
        <v>12</v>
      </c>
      <c r="I26" s="57">
        <f>AVERAGEIFS(RoadTra_BY!Q$2:Q$999,RoadTra_BY!$B$2:$B$999,'Road transport'!$C26,RoadTra_BY!$C$2:$C$999,'Road transport'!$AX26)</f>
        <v>12</v>
      </c>
      <c r="J26" s="57">
        <f>AVERAGEIFS(RoadTra_BY!R$2:R$999,RoadTra_BY!$B$2:$B$999,'Road transport'!$C26,RoadTra_BY!$C$2:$C$999,'Road transport'!$AX26)</f>
        <v>12</v>
      </c>
      <c r="K26" s="57">
        <f>AVERAGEIFS(RoadTra_BY!S$2:S$999,RoadTra_BY!$B$2:$B$999,'Road transport'!$C26,RoadTra_BY!$C$2:$C$999,'Road transport'!$AX26)</f>
        <v>8</v>
      </c>
      <c r="L26" s="57">
        <f>AVERAGEIFS(RoadTra_BY!T$2:T$999,RoadTra_BY!$B$2:$B$999,'Road transport'!$C26,RoadTra_BY!$C$2:$C$999,'Road transport'!$AX26)</f>
        <v>12</v>
      </c>
      <c r="M26" s="57">
        <f>AVERAGEIFS(RoadTra_BY!U$2:U$999,RoadTra_BY!$B$2:$B$999,'Road transport'!$C26,RoadTra_BY!$C$2:$C$999,'Road transport'!$AX26)</f>
        <v>12</v>
      </c>
      <c r="N26" s="57">
        <f>AVERAGEIFS(RoadTra_BY!V$2:V$999,RoadTra_BY!$B$2:$B$999,'Road transport'!$C26,RoadTra_BY!$C$2:$C$999,'Road transport'!$AX26)</f>
        <v>12</v>
      </c>
      <c r="O26" s="57">
        <f>AVERAGEIFS(RoadTra_BY!W$2:W$999,RoadTra_BY!$B$2:$B$999,'Road transport'!$C26,RoadTra_BY!$C$2:$C$999,'Road transport'!$AX26)</f>
        <v>12</v>
      </c>
      <c r="P26" s="57">
        <f>AVERAGEIFS(RoadTra_BY!X$2:X$999,RoadTra_BY!$B$2:$B$999,'Road transport'!$C26,RoadTra_BY!$C$2:$C$999,'Road transport'!$AX26)</f>
        <v>12</v>
      </c>
      <c r="Q26" s="57">
        <f>AVERAGEIFS(RoadTra_BY!Y$2:Y$999,RoadTra_BY!$B$2:$B$999,'Road transport'!$C26,RoadTra_BY!$C$2:$C$999,'Road transport'!$AX26)</f>
        <v>12</v>
      </c>
      <c r="R26" s="57">
        <f>AVERAGEIFS(RoadTra_BY!Z$2:Z$999,RoadTra_BY!$B$2:$B$999,'Road transport'!$C26,RoadTra_BY!$C$2:$C$999,'Road transport'!$AX26)</f>
        <v>12</v>
      </c>
      <c r="S26" s="57">
        <f>AVERAGEIFS(RoadTra_BY!AA$2:AA$999,RoadTra_BY!$B$2:$B$999,'Road transport'!$C26,RoadTra_BY!$C$2:$C$999,'Road transport'!$AX26)</f>
        <v>12</v>
      </c>
      <c r="T26" s="57">
        <f>AVERAGEIFS(RoadTra_BY!AB$2:AB$999,RoadTra_BY!$B$2:$B$999,'Road transport'!$C26,RoadTra_BY!$C$2:$C$999,'Road transport'!$AX26)</f>
        <v>12</v>
      </c>
      <c r="U26" s="57">
        <f>AVERAGEIFS(RoadTra_BY!AC$2:AC$999,RoadTra_BY!$B$2:$B$999,'Road transport'!$C26,RoadTra_BY!$C$2:$C$999,'Road transport'!$AX26)</f>
        <v>12</v>
      </c>
      <c r="V26" s="57">
        <f>AVERAGEIFS(RoadTra_BY!AD$2:AD$999,RoadTra_BY!$B$2:$B$999,'Road transport'!$C26,RoadTra_BY!$C$2:$C$999,'Road transport'!$AX26)</f>
        <v>12</v>
      </c>
      <c r="W26" s="57">
        <f>AVERAGEIFS(RoadTra_BY!AE$2:AE$999,RoadTra_BY!$B$2:$B$999,'Road transport'!$C26,RoadTra_BY!$C$2:$C$999,'Road transport'!$AX26)</f>
        <v>12</v>
      </c>
      <c r="X26" s="57">
        <f>AVERAGEIFS(RoadTra_BY!AF$2:AF$999,RoadTra_BY!$B$2:$B$999,'Road transport'!$C26,RoadTra_BY!$C$2:$C$999,'Road transport'!$AX26)</f>
        <v>12</v>
      </c>
      <c r="Y26" s="57">
        <f>AVERAGEIFS(RoadTra_BY!AG$2:AG$999,RoadTra_BY!$B$2:$B$999,'Road transport'!$C26,RoadTra_BY!$C$2:$C$999,'Road transport'!$AX26)</f>
        <v>18</v>
      </c>
      <c r="Z26" s="57">
        <f>AVERAGEIFS(RoadTra_BY!AH$2:AH$999,RoadTra_BY!$B$2:$B$999,'Road transport'!$C26,RoadTra_BY!$C$2:$C$999,'Road transport'!$AX26)</f>
        <v>12</v>
      </c>
      <c r="AA26" s="57">
        <f>AVERAGEIFS(RoadTra_BY!AI$2:AI$999,RoadTra_BY!$B$2:$B$999,'Road transport'!$C26,RoadTra_BY!$C$2:$C$999,'Road transport'!$AX26)</f>
        <v>12</v>
      </c>
      <c r="AB26" s="57">
        <f>AVERAGEIFS(RoadTra_BY!AJ$2:AJ$999,RoadTra_BY!$B$2:$B$999,'Road transport'!$C26,RoadTra_BY!$C$2:$C$999,'Road transport'!$AX26)</f>
        <v>12</v>
      </c>
      <c r="AC26" s="57">
        <f>AVERAGEIFS(RoadTra_BY!AK$2:AK$999,RoadTra_BY!$B$2:$B$999,'Road transport'!$C26,RoadTra_BY!$C$2:$C$999,'Road transport'!$AX26)</f>
        <v>12</v>
      </c>
      <c r="AD26" s="57">
        <f>AVERAGEIFS(RoadTra_BY!AL$2:AL$999,RoadTra_BY!$B$2:$B$999,'Road transport'!$C26,RoadTra_BY!$C$2:$C$999,'Road transport'!$AX26)</f>
        <v>12</v>
      </c>
      <c r="AE26" s="57">
        <f>AVERAGEIFS(RoadTra_BY!AM$2:AM$999,RoadTra_BY!$B$2:$B$999,'Road transport'!$C26,RoadTra_BY!$C$2:$C$999,'Road transport'!$AX26)</f>
        <v>12</v>
      </c>
      <c r="AF26" s="57">
        <f>AVERAGEIFS(RoadTra_BY!AN$2:AN$999,RoadTra_BY!$B$2:$B$999,'Road transport'!$C26,RoadTra_BY!$C$2:$C$999,'Road transport'!$AX26)</f>
        <v>12</v>
      </c>
      <c r="AG26" s="57">
        <f>AVERAGEIFS(RoadTra_BY!AO$2:AO$999,RoadTra_BY!$B$2:$B$999,'Road transport'!$C26,RoadTra_BY!$C$2:$C$999,'Road transport'!$AX26)</f>
        <v>12</v>
      </c>
      <c r="AH26" s="57">
        <f>AVERAGEIFS(RoadTra_BY!AP$2:AP$999,RoadTra_BY!$B$2:$B$999,'Road transport'!$C26,RoadTra_BY!$C$2:$C$999,'Road transport'!$AX26)</f>
        <v>12</v>
      </c>
      <c r="AI26" s="57">
        <f>AVERAGEIFS(RoadTra_BY!AQ$2:AQ$999,RoadTra_BY!$B$2:$B$999,'Road transport'!$C26,RoadTra_BY!$C$2:$C$999,'Road transport'!$AX26)</f>
        <v>12</v>
      </c>
      <c r="AJ26" s="57">
        <f>AVERAGEIFS(RoadTra_BY!AR$2:AR$999,RoadTra_BY!$B$2:$B$999,'Road transport'!$C26,RoadTra_BY!$C$2:$C$999,'Road transport'!$AX26)</f>
        <v>12</v>
      </c>
      <c r="AK26" s="57">
        <f>AVERAGEIFS(RoadTra_BY!AS$2:AS$999,RoadTra_BY!$B$2:$B$999,'Road transport'!$C26,RoadTra_BY!$C$2:$C$999,'Road transport'!$AX26)</f>
        <v>12</v>
      </c>
      <c r="AL26" s="57">
        <f>AVERAGEIFS(RoadTra_BY!AT$2:AT$999,RoadTra_BY!$B$2:$B$999,'Road transport'!$C26,RoadTra_BY!$C$2:$C$999,'Road transport'!$AX26)</f>
        <v>12</v>
      </c>
      <c r="AM26" s="57" t="e">
        <f>AVERAGEIFS(RoadTra_BY!AU$2:AU$999,RoadTra_BY!$B$2:$B$999,'Road transport'!$C26,RoadTra_BY!$C$2:$C$999,'Road transport'!$AX26)</f>
        <v>#DIV/0!</v>
      </c>
      <c r="AN26" s="57" t="e">
        <f>AVERAGEIFS(RoadTra_BY!AV$2:AV$999,RoadTra_BY!$B$2:$B$999,'Road transport'!$C26,RoadTra_BY!$C$2:$C$999,'Road transport'!$AX26)</f>
        <v>#DIV/0!</v>
      </c>
      <c r="AO26" s="57" t="e">
        <f>AVERAGEIFS(RoadTra_BY!AW$2:AW$999,RoadTra_BY!$B$2:$B$999,'Road transport'!$C26,RoadTra_BY!$C$2:$C$999,'Road transport'!$AX26)</f>
        <v>#DIV/0!</v>
      </c>
      <c r="AP26" s="57" t="e">
        <f>AVERAGEIFS(RoadTra_BY!AX$2:AX$999,RoadTra_BY!$B$2:$B$999,'Road transport'!$C26,RoadTra_BY!$C$2:$C$999,'Road transport'!$AX26)</f>
        <v>#DIV/0!</v>
      </c>
      <c r="AQ26" s="57" t="e">
        <f>AVERAGEIFS(RoadTra_BY!AY$2:AY$999,RoadTra_BY!$B$2:$B$999,'Road transport'!$C26,RoadTra_BY!$C$2:$C$999,'Road transport'!$AX26)</f>
        <v>#DIV/0!</v>
      </c>
      <c r="AR26" s="57" t="e">
        <f>AVERAGEIFS(RoadTra_BY!AZ$2:AZ$999,RoadTra_BY!$B$2:$B$999,'Road transport'!$C26,RoadTra_BY!$C$2:$C$999,'Road transport'!$AX26)</f>
        <v>#DIV/0!</v>
      </c>
      <c r="AS26" s="57" t="e">
        <f>AVERAGEIFS(RoadTra_BY!BA$2:BA$999,RoadTra_BY!$B$2:$B$999,'Road transport'!$C26,RoadTra_BY!$C$2:$C$999,'Road transport'!$AX26)</f>
        <v>#DIV/0!</v>
      </c>
      <c r="AT26" s="57" t="e">
        <f>AVERAGEIFS(RoadTra_BY!BB$2:BB$999,RoadTra_BY!$B$2:$B$999,'Road transport'!$C26,RoadTra_BY!$C$2:$C$999,'Road transport'!$AX26)</f>
        <v>#DIV/0!</v>
      </c>
      <c r="AU26" s="57" t="e">
        <f>AVERAGEIFS(RoadTra_BY!BC$2:BC$999,RoadTra_BY!$B$2:$B$999,'Road transport'!$C26,RoadTra_BY!$C$2:$C$999,'Road transport'!$AX26)</f>
        <v>#DIV/0!</v>
      </c>
      <c r="AV26" s="57" t="e">
        <f>AVERAGEIFS(RoadTra_BY!BD$2:BD$999,RoadTra_BY!$B$2:$B$999,'Road transport'!$C26,RoadTra_BY!$C$2:$C$999,'Road transport'!$AX26)</f>
        <v>#DIV/0!</v>
      </c>
      <c r="AW26" s="57" t="e">
        <f>AVERAGEIFS(RoadTra_BY!BE$2:BE$999,RoadTra_BY!$B$2:$B$999,'Road transport'!$C26,RoadTra_BY!$C$2:$C$999,'Road transport'!$AX26)</f>
        <v>#DIV/0!</v>
      </c>
      <c r="AX26" t="s">
        <v>146</v>
      </c>
    </row>
    <row r="27" spans="2:50">
      <c r="C27" t="s">
        <v>97</v>
      </c>
      <c r="D27" s="57">
        <f>AVERAGEIFS(RoadTra_BY!L$2:L$999,RoadTra_BY!$B$2:$B$999,'Road transport'!$C27,RoadTra_BY!$C$2:$C$999,'Road transport'!$AX27)</f>
        <v>100</v>
      </c>
      <c r="E27" s="57">
        <f>AVERAGEIFS(RoadTra_BY!M$2:M$999,RoadTra_BY!$B$2:$B$999,'Road transport'!$C27,RoadTra_BY!$C$2:$C$999,'Road transport'!$AX27)</f>
        <v>100</v>
      </c>
      <c r="F27" s="57">
        <f>AVERAGEIFS(RoadTra_BY!N$2:N$999,RoadTra_BY!$B$2:$B$999,'Road transport'!$C27,RoadTra_BY!$C$2:$C$999,'Road transport'!$AX27)</f>
        <v>100</v>
      </c>
      <c r="G27" s="57">
        <f>AVERAGEIFS(RoadTra_BY!O$2:O$999,RoadTra_BY!$B$2:$B$999,'Road transport'!$C27,RoadTra_BY!$C$2:$C$999,'Road transport'!$AX27)</f>
        <v>100</v>
      </c>
      <c r="H27" s="57">
        <f>AVERAGEIFS(RoadTra_BY!P$2:P$999,RoadTra_BY!$B$2:$B$999,'Road transport'!$C27,RoadTra_BY!$C$2:$C$999,'Road transport'!$AX27)</f>
        <v>100</v>
      </c>
      <c r="I27" s="57">
        <f>AVERAGEIFS(RoadTra_BY!Q$2:Q$999,RoadTra_BY!$B$2:$B$999,'Road transport'!$C27,RoadTra_BY!$C$2:$C$999,'Road transport'!$AX27)</f>
        <v>100</v>
      </c>
      <c r="J27" s="57">
        <f>AVERAGEIFS(RoadTra_BY!R$2:R$999,RoadTra_BY!$B$2:$B$999,'Road transport'!$C27,RoadTra_BY!$C$2:$C$999,'Road transport'!$AX27)</f>
        <v>100</v>
      </c>
      <c r="K27" s="57">
        <f>AVERAGEIFS(RoadTra_BY!S$2:S$999,RoadTra_BY!$B$2:$B$999,'Road transport'!$C27,RoadTra_BY!$C$2:$C$999,'Road transport'!$AX27)</f>
        <v>100</v>
      </c>
      <c r="L27" s="57">
        <f>AVERAGEIFS(RoadTra_BY!T$2:T$999,RoadTra_BY!$B$2:$B$999,'Road transport'!$C27,RoadTra_BY!$C$2:$C$999,'Road transport'!$AX27)</f>
        <v>100</v>
      </c>
      <c r="M27" s="57">
        <f>AVERAGEIFS(RoadTra_BY!U$2:U$999,RoadTra_BY!$B$2:$B$999,'Road transport'!$C27,RoadTra_BY!$C$2:$C$999,'Road transport'!$AX27)</f>
        <v>100</v>
      </c>
      <c r="N27" s="57">
        <f>AVERAGEIFS(RoadTra_BY!V$2:V$999,RoadTra_BY!$B$2:$B$999,'Road transport'!$C27,RoadTra_BY!$C$2:$C$999,'Road transport'!$AX27)</f>
        <v>100</v>
      </c>
      <c r="O27" s="57">
        <f>AVERAGEIFS(RoadTra_BY!W$2:W$999,RoadTra_BY!$B$2:$B$999,'Road transport'!$C27,RoadTra_BY!$C$2:$C$999,'Road transport'!$AX27)</f>
        <v>100</v>
      </c>
      <c r="P27" s="57">
        <f>AVERAGEIFS(RoadTra_BY!X$2:X$999,RoadTra_BY!$B$2:$B$999,'Road transport'!$C27,RoadTra_BY!$C$2:$C$999,'Road transport'!$AX27)</f>
        <v>100</v>
      </c>
      <c r="Q27" s="57">
        <f>AVERAGEIFS(RoadTra_BY!Y$2:Y$999,RoadTra_BY!$B$2:$B$999,'Road transport'!$C27,RoadTra_BY!$C$2:$C$999,'Road transport'!$AX27)</f>
        <v>100</v>
      </c>
      <c r="R27" s="57">
        <f>AVERAGEIFS(RoadTra_BY!Z$2:Z$999,RoadTra_BY!$B$2:$B$999,'Road transport'!$C27,RoadTra_BY!$C$2:$C$999,'Road transport'!$AX27)</f>
        <v>100</v>
      </c>
      <c r="S27" s="57">
        <f>AVERAGEIFS(RoadTra_BY!AA$2:AA$999,RoadTra_BY!$B$2:$B$999,'Road transport'!$C27,RoadTra_BY!$C$2:$C$999,'Road transport'!$AX27)</f>
        <v>100</v>
      </c>
      <c r="T27" s="57">
        <f>AVERAGEIFS(RoadTra_BY!AB$2:AB$999,RoadTra_BY!$B$2:$B$999,'Road transport'!$C27,RoadTra_BY!$C$2:$C$999,'Road transport'!$AX27)</f>
        <v>100</v>
      </c>
      <c r="U27" s="57">
        <f>AVERAGEIFS(RoadTra_BY!AC$2:AC$999,RoadTra_BY!$B$2:$B$999,'Road transport'!$C27,RoadTra_BY!$C$2:$C$999,'Road transport'!$AX27)</f>
        <v>100</v>
      </c>
      <c r="V27" s="57">
        <f>AVERAGEIFS(RoadTra_BY!AD$2:AD$999,RoadTra_BY!$B$2:$B$999,'Road transport'!$C27,RoadTra_BY!$C$2:$C$999,'Road transport'!$AX27)</f>
        <v>100</v>
      </c>
      <c r="W27" s="57">
        <f>AVERAGEIFS(RoadTra_BY!AE$2:AE$999,RoadTra_BY!$B$2:$B$999,'Road transport'!$C27,RoadTra_BY!$C$2:$C$999,'Road transport'!$AX27)</f>
        <v>100</v>
      </c>
      <c r="X27" s="57">
        <f>AVERAGEIFS(RoadTra_BY!AF$2:AF$999,RoadTra_BY!$B$2:$B$999,'Road transport'!$C27,RoadTra_BY!$C$2:$C$999,'Road transport'!$AX27)</f>
        <v>100</v>
      </c>
      <c r="Y27" s="57">
        <f>AVERAGEIFS(RoadTra_BY!AG$2:AG$999,RoadTra_BY!$B$2:$B$999,'Road transport'!$C27,RoadTra_BY!$C$2:$C$999,'Road transport'!$AX27)</f>
        <v>100</v>
      </c>
      <c r="Z27" s="57">
        <f>AVERAGEIFS(RoadTra_BY!AH$2:AH$999,RoadTra_BY!$B$2:$B$999,'Road transport'!$C27,RoadTra_BY!$C$2:$C$999,'Road transport'!$AX27)</f>
        <v>100</v>
      </c>
      <c r="AA27" s="57">
        <f>AVERAGEIFS(RoadTra_BY!AI$2:AI$999,RoadTra_BY!$B$2:$B$999,'Road transport'!$C27,RoadTra_BY!$C$2:$C$999,'Road transport'!$AX27)</f>
        <v>100</v>
      </c>
      <c r="AB27" s="57">
        <f>AVERAGEIFS(RoadTra_BY!AJ$2:AJ$999,RoadTra_BY!$B$2:$B$999,'Road transport'!$C27,RoadTra_BY!$C$2:$C$999,'Road transport'!$AX27)</f>
        <v>100</v>
      </c>
      <c r="AC27" s="57">
        <f>AVERAGEIFS(RoadTra_BY!AK$2:AK$999,RoadTra_BY!$B$2:$B$999,'Road transport'!$C27,RoadTra_BY!$C$2:$C$999,'Road transport'!$AX27)</f>
        <v>100</v>
      </c>
      <c r="AD27" s="57">
        <f>AVERAGEIFS(RoadTra_BY!AL$2:AL$999,RoadTra_BY!$B$2:$B$999,'Road transport'!$C27,RoadTra_BY!$C$2:$C$999,'Road transport'!$AX27)</f>
        <v>100</v>
      </c>
      <c r="AE27" s="57">
        <f>AVERAGEIFS(RoadTra_BY!AM$2:AM$999,RoadTra_BY!$B$2:$B$999,'Road transport'!$C27,RoadTra_BY!$C$2:$C$999,'Road transport'!$AX27)</f>
        <v>100</v>
      </c>
      <c r="AF27" s="57">
        <f>AVERAGEIFS(RoadTra_BY!AN$2:AN$999,RoadTra_BY!$B$2:$B$999,'Road transport'!$C27,RoadTra_BY!$C$2:$C$999,'Road transport'!$AX27)</f>
        <v>35</v>
      </c>
      <c r="AG27" s="57">
        <f>AVERAGEIFS(RoadTra_BY!AO$2:AO$999,RoadTra_BY!$B$2:$B$999,'Road transport'!$C27,RoadTra_BY!$C$2:$C$999,'Road transport'!$AX27)</f>
        <v>100</v>
      </c>
      <c r="AH27" s="57">
        <f>AVERAGEIFS(RoadTra_BY!AP$2:AP$999,RoadTra_BY!$B$2:$B$999,'Road transport'!$C27,RoadTra_BY!$C$2:$C$999,'Road transport'!$AX27)</f>
        <v>100</v>
      </c>
      <c r="AI27" s="57">
        <f>AVERAGEIFS(RoadTra_BY!AQ$2:AQ$999,RoadTra_BY!$B$2:$B$999,'Road transport'!$C27,RoadTra_BY!$C$2:$C$999,'Road transport'!$AX27)</f>
        <v>100</v>
      </c>
      <c r="AJ27" s="57">
        <f>AVERAGEIFS(RoadTra_BY!AR$2:AR$999,RoadTra_BY!$B$2:$B$999,'Road transport'!$C27,RoadTra_BY!$C$2:$C$999,'Road transport'!$AX27)</f>
        <v>100</v>
      </c>
      <c r="AK27" s="57">
        <f>AVERAGEIFS(RoadTra_BY!AS$2:AS$999,RoadTra_BY!$B$2:$B$999,'Road transport'!$C27,RoadTra_BY!$C$2:$C$999,'Road transport'!$AX27)</f>
        <v>100</v>
      </c>
      <c r="AL27" s="57">
        <f>AVERAGEIFS(RoadTra_BY!AT$2:AT$999,RoadTra_BY!$B$2:$B$999,'Road transport'!$C27,RoadTra_BY!$C$2:$C$999,'Road transport'!$AX27)</f>
        <v>35</v>
      </c>
      <c r="AM27" s="57" t="e">
        <f>AVERAGEIFS(RoadTra_BY!AU$2:AU$999,RoadTra_BY!$B$2:$B$999,'Road transport'!$C27,RoadTra_BY!$C$2:$C$999,'Road transport'!$AX27)</f>
        <v>#DIV/0!</v>
      </c>
      <c r="AN27" s="57" t="e">
        <f>AVERAGEIFS(RoadTra_BY!AV$2:AV$999,RoadTra_BY!$B$2:$B$999,'Road transport'!$C27,RoadTra_BY!$C$2:$C$999,'Road transport'!$AX27)</f>
        <v>#DIV/0!</v>
      </c>
      <c r="AO27" s="57" t="e">
        <f>AVERAGEIFS(RoadTra_BY!AW$2:AW$999,RoadTra_BY!$B$2:$B$999,'Road transport'!$C27,RoadTra_BY!$C$2:$C$999,'Road transport'!$AX27)</f>
        <v>#DIV/0!</v>
      </c>
      <c r="AP27" s="57" t="e">
        <f>AVERAGEIFS(RoadTra_BY!AX$2:AX$999,RoadTra_BY!$B$2:$B$999,'Road transport'!$C27,RoadTra_BY!$C$2:$C$999,'Road transport'!$AX27)</f>
        <v>#DIV/0!</v>
      </c>
      <c r="AQ27" s="57" t="e">
        <f>AVERAGEIFS(RoadTra_BY!AY$2:AY$999,RoadTra_BY!$B$2:$B$999,'Road transport'!$C27,RoadTra_BY!$C$2:$C$999,'Road transport'!$AX27)</f>
        <v>#DIV/0!</v>
      </c>
      <c r="AR27" s="57" t="e">
        <f>AVERAGEIFS(RoadTra_BY!AZ$2:AZ$999,RoadTra_BY!$B$2:$B$999,'Road transport'!$C27,RoadTra_BY!$C$2:$C$999,'Road transport'!$AX27)</f>
        <v>#DIV/0!</v>
      </c>
      <c r="AS27" s="57" t="e">
        <f>AVERAGEIFS(RoadTra_BY!BA$2:BA$999,RoadTra_BY!$B$2:$B$999,'Road transport'!$C27,RoadTra_BY!$C$2:$C$999,'Road transport'!$AX27)</f>
        <v>#DIV/0!</v>
      </c>
      <c r="AT27" s="57" t="e">
        <f>AVERAGEIFS(RoadTra_BY!BB$2:BB$999,RoadTra_BY!$B$2:$B$999,'Road transport'!$C27,RoadTra_BY!$C$2:$C$999,'Road transport'!$AX27)</f>
        <v>#DIV/0!</v>
      </c>
      <c r="AU27" s="57" t="e">
        <f>AVERAGEIFS(RoadTra_BY!BC$2:BC$999,RoadTra_BY!$B$2:$B$999,'Road transport'!$C27,RoadTra_BY!$C$2:$C$999,'Road transport'!$AX27)</f>
        <v>#DIV/0!</v>
      </c>
      <c r="AV27" s="57" t="e">
        <f>AVERAGEIFS(RoadTra_BY!BD$2:BD$999,RoadTra_BY!$B$2:$B$999,'Road transport'!$C27,RoadTra_BY!$C$2:$C$999,'Road transport'!$AX27)</f>
        <v>#DIV/0!</v>
      </c>
      <c r="AW27" s="57" t="e">
        <f>AVERAGEIFS(RoadTra_BY!BE$2:BE$999,RoadTra_BY!$B$2:$B$999,'Road transport'!$C27,RoadTra_BY!$C$2:$C$999,'Road transport'!$AX27)</f>
        <v>#DIV/0!</v>
      </c>
      <c r="AX27" t="s">
        <v>147</v>
      </c>
    </row>
    <row r="28" spans="2:50">
      <c r="C28" t="s">
        <v>97</v>
      </c>
      <c r="D28" s="57">
        <f>AVERAGEIFS(RoadTra_BY!L$2:L$999,RoadTra_BY!$B$2:$B$999,'Road transport'!$C28,RoadTra_BY!$C$2:$C$999,'Road transport'!$AX28)</f>
        <v>40</v>
      </c>
      <c r="E28" s="57">
        <f>AVERAGEIFS(RoadTra_BY!M$2:M$999,RoadTra_BY!$B$2:$B$999,'Road transport'!$C28,RoadTra_BY!$C$2:$C$999,'Road transport'!$AX28)</f>
        <v>40</v>
      </c>
      <c r="F28" s="57">
        <f>AVERAGEIFS(RoadTra_BY!N$2:N$999,RoadTra_BY!$B$2:$B$999,'Road transport'!$C28,RoadTra_BY!$C$2:$C$999,'Road transport'!$AX28)</f>
        <v>40</v>
      </c>
      <c r="G28" s="57">
        <f>AVERAGEIFS(RoadTra_BY!O$2:O$999,RoadTra_BY!$B$2:$B$999,'Road transport'!$C28,RoadTra_BY!$C$2:$C$999,'Road transport'!$AX28)</f>
        <v>40</v>
      </c>
      <c r="H28" s="57">
        <f>AVERAGEIFS(RoadTra_BY!P$2:P$999,RoadTra_BY!$B$2:$B$999,'Road transport'!$C28,RoadTra_BY!$C$2:$C$999,'Road transport'!$AX28)</f>
        <v>40</v>
      </c>
      <c r="I28" s="57">
        <f>AVERAGEIFS(RoadTra_BY!Q$2:Q$999,RoadTra_BY!$B$2:$B$999,'Road transport'!$C28,RoadTra_BY!$C$2:$C$999,'Road transport'!$AX28)</f>
        <v>40</v>
      </c>
      <c r="J28" s="57">
        <f>AVERAGEIFS(RoadTra_BY!R$2:R$999,RoadTra_BY!$B$2:$B$999,'Road transport'!$C28,RoadTra_BY!$C$2:$C$999,'Road transport'!$AX28)</f>
        <v>40</v>
      </c>
      <c r="K28" s="57">
        <f>AVERAGEIFS(RoadTra_BY!S$2:S$999,RoadTra_BY!$B$2:$B$999,'Road transport'!$C28,RoadTra_BY!$C$2:$C$999,'Road transport'!$AX28)</f>
        <v>40</v>
      </c>
      <c r="L28" s="57">
        <f>AVERAGEIFS(RoadTra_BY!T$2:T$999,RoadTra_BY!$B$2:$B$999,'Road transport'!$C28,RoadTra_BY!$C$2:$C$999,'Road transport'!$AX28)</f>
        <v>40</v>
      </c>
      <c r="M28" s="57">
        <f>AVERAGEIFS(RoadTra_BY!U$2:U$999,RoadTra_BY!$B$2:$B$999,'Road transport'!$C28,RoadTra_BY!$C$2:$C$999,'Road transport'!$AX28)</f>
        <v>40</v>
      </c>
      <c r="N28" s="57">
        <f>AVERAGEIFS(RoadTra_BY!V$2:V$999,RoadTra_BY!$B$2:$B$999,'Road transport'!$C28,RoadTra_BY!$C$2:$C$999,'Road transport'!$AX28)</f>
        <v>40</v>
      </c>
      <c r="O28" s="57">
        <f>AVERAGEIFS(RoadTra_BY!W$2:W$999,RoadTra_BY!$B$2:$B$999,'Road transport'!$C28,RoadTra_BY!$C$2:$C$999,'Road transport'!$AX28)</f>
        <v>40</v>
      </c>
      <c r="P28" s="57">
        <f>AVERAGEIFS(RoadTra_BY!X$2:X$999,RoadTra_BY!$B$2:$B$999,'Road transport'!$C28,RoadTra_BY!$C$2:$C$999,'Road transport'!$AX28)</f>
        <v>40</v>
      </c>
      <c r="Q28" s="57">
        <f>AVERAGEIFS(RoadTra_BY!Y$2:Y$999,RoadTra_BY!$B$2:$B$999,'Road transport'!$C28,RoadTra_BY!$C$2:$C$999,'Road transport'!$AX28)</f>
        <v>40</v>
      </c>
      <c r="R28" s="57">
        <f>AVERAGEIFS(RoadTra_BY!Z$2:Z$999,RoadTra_BY!$B$2:$B$999,'Road transport'!$C28,RoadTra_BY!$C$2:$C$999,'Road transport'!$AX28)</f>
        <v>40</v>
      </c>
      <c r="S28" s="57">
        <f>AVERAGEIFS(RoadTra_BY!AA$2:AA$999,RoadTra_BY!$B$2:$B$999,'Road transport'!$C28,RoadTra_BY!$C$2:$C$999,'Road transport'!$AX28)</f>
        <v>40</v>
      </c>
      <c r="T28" s="57">
        <f>AVERAGEIFS(RoadTra_BY!AB$2:AB$999,RoadTra_BY!$B$2:$B$999,'Road transport'!$C28,RoadTra_BY!$C$2:$C$999,'Road transport'!$AX28)</f>
        <v>40</v>
      </c>
      <c r="U28" s="57">
        <f>AVERAGEIFS(RoadTra_BY!AC$2:AC$999,RoadTra_BY!$B$2:$B$999,'Road transport'!$C28,RoadTra_BY!$C$2:$C$999,'Road transport'!$AX28)</f>
        <v>40</v>
      </c>
      <c r="V28" s="57">
        <f>AVERAGEIFS(RoadTra_BY!AD$2:AD$999,RoadTra_BY!$B$2:$B$999,'Road transport'!$C28,RoadTra_BY!$C$2:$C$999,'Road transport'!$AX28)</f>
        <v>40</v>
      </c>
      <c r="W28" s="57">
        <f>AVERAGEIFS(RoadTra_BY!AE$2:AE$999,RoadTra_BY!$B$2:$B$999,'Road transport'!$C28,RoadTra_BY!$C$2:$C$999,'Road transport'!$AX28)</f>
        <v>40</v>
      </c>
      <c r="X28" s="57">
        <f>AVERAGEIFS(RoadTra_BY!AF$2:AF$999,RoadTra_BY!$B$2:$B$999,'Road transport'!$C28,RoadTra_BY!$C$2:$C$999,'Road transport'!$AX28)</f>
        <v>40</v>
      </c>
      <c r="Y28" s="57">
        <f>AVERAGEIFS(RoadTra_BY!AG$2:AG$999,RoadTra_BY!$B$2:$B$999,'Road transport'!$C28,RoadTra_BY!$C$2:$C$999,'Road transport'!$AX28)</f>
        <v>40</v>
      </c>
      <c r="Z28" s="57">
        <f>AVERAGEIFS(RoadTra_BY!AH$2:AH$999,RoadTra_BY!$B$2:$B$999,'Road transport'!$C28,RoadTra_BY!$C$2:$C$999,'Road transport'!$AX28)</f>
        <v>40</v>
      </c>
      <c r="AA28" s="57">
        <f>AVERAGEIFS(RoadTra_BY!AI$2:AI$999,RoadTra_BY!$B$2:$B$999,'Road transport'!$C28,RoadTra_BY!$C$2:$C$999,'Road transport'!$AX28)</f>
        <v>40</v>
      </c>
      <c r="AB28" s="57">
        <f>AVERAGEIFS(RoadTra_BY!AJ$2:AJ$999,RoadTra_BY!$B$2:$B$999,'Road transport'!$C28,RoadTra_BY!$C$2:$C$999,'Road transport'!$AX28)</f>
        <v>40</v>
      </c>
      <c r="AC28" s="57">
        <f>AVERAGEIFS(RoadTra_BY!AK$2:AK$999,RoadTra_BY!$B$2:$B$999,'Road transport'!$C28,RoadTra_BY!$C$2:$C$999,'Road transport'!$AX28)</f>
        <v>40</v>
      </c>
      <c r="AD28" s="57">
        <f>AVERAGEIFS(RoadTra_BY!AL$2:AL$999,RoadTra_BY!$B$2:$B$999,'Road transport'!$C28,RoadTra_BY!$C$2:$C$999,'Road transport'!$AX28)</f>
        <v>40</v>
      </c>
      <c r="AE28" s="57">
        <f>AVERAGEIFS(RoadTra_BY!AM$2:AM$999,RoadTra_BY!$B$2:$B$999,'Road transport'!$C28,RoadTra_BY!$C$2:$C$999,'Road transport'!$AX28)</f>
        <v>40</v>
      </c>
      <c r="AF28" s="57">
        <f>AVERAGEIFS(RoadTra_BY!AN$2:AN$999,RoadTra_BY!$B$2:$B$999,'Road transport'!$C28,RoadTra_BY!$C$2:$C$999,'Road transport'!$AX28)</f>
        <v>25</v>
      </c>
      <c r="AG28" s="57">
        <f>AVERAGEIFS(RoadTra_BY!AO$2:AO$999,RoadTra_BY!$B$2:$B$999,'Road transport'!$C28,RoadTra_BY!$C$2:$C$999,'Road transport'!$AX28)</f>
        <v>40</v>
      </c>
      <c r="AH28" s="57">
        <f>AVERAGEIFS(RoadTra_BY!AP$2:AP$999,RoadTra_BY!$B$2:$B$999,'Road transport'!$C28,RoadTra_BY!$C$2:$C$999,'Road transport'!$AX28)</f>
        <v>40</v>
      </c>
      <c r="AI28" s="57">
        <f>AVERAGEIFS(RoadTra_BY!AQ$2:AQ$999,RoadTra_BY!$B$2:$B$999,'Road transport'!$C28,RoadTra_BY!$C$2:$C$999,'Road transport'!$AX28)</f>
        <v>40</v>
      </c>
      <c r="AJ28" s="57">
        <f>AVERAGEIFS(RoadTra_BY!AR$2:AR$999,RoadTra_BY!$B$2:$B$999,'Road transport'!$C28,RoadTra_BY!$C$2:$C$999,'Road transport'!$AX28)</f>
        <v>40</v>
      </c>
      <c r="AK28" s="57">
        <f>AVERAGEIFS(RoadTra_BY!AS$2:AS$999,RoadTra_BY!$B$2:$B$999,'Road transport'!$C28,RoadTra_BY!$C$2:$C$999,'Road transport'!$AX28)</f>
        <v>40</v>
      </c>
      <c r="AL28" s="57">
        <f>AVERAGEIFS(RoadTra_BY!AT$2:AT$999,RoadTra_BY!$B$2:$B$999,'Road transport'!$C28,RoadTra_BY!$C$2:$C$999,'Road transport'!$AX28)</f>
        <v>15</v>
      </c>
      <c r="AM28" s="57" t="e">
        <f>AVERAGEIFS(RoadTra_BY!AU$2:AU$999,RoadTra_BY!$B$2:$B$999,'Road transport'!$C28,RoadTra_BY!$C$2:$C$999,'Road transport'!$AX28)</f>
        <v>#DIV/0!</v>
      </c>
      <c r="AN28" s="57" t="e">
        <f>AVERAGEIFS(RoadTra_BY!AV$2:AV$999,RoadTra_BY!$B$2:$B$999,'Road transport'!$C28,RoadTra_BY!$C$2:$C$999,'Road transport'!$AX28)</f>
        <v>#DIV/0!</v>
      </c>
      <c r="AO28" s="57" t="e">
        <f>AVERAGEIFS(RoadTra_BY!AW$2:AW$999,RoadTra_BY!$B$2:$B$999,'Road transport'!$C28,RoadTra_BY!$C$2:$C$999,'Road transport'!$AX28)</f>
        <v>#DIV/0!</v>
      </c>
      <c r="AP28" s="57" t="e">
        <f>AVERAGEIFS(RoadTra_BY!AX$2:AX$999,RoadTra_BY!$B$2:$B$999,'Road transport'!$C28,RoadTra_BY!$C$2:$C$999,'Road transport'!$AX28)</f>
        <v>#DIV/0!</v>
      </c>
      <c r="AQ28" s="57" t="e">
        <f>AVERAGEIFS(RoadTra_BY!AY$2:AY$999,RoadTra_BY!$B$2:$B$999,'Road transport'!$C28,RoadTra_BY!$C$2:$C$999,'Road transport'!$AX28)</f>
        <v>#DIV/0!</v>
      </c>
      <c r="AR28" s="57" t="e">
        <f>AVERAGEIFS(RoadTra_BY!AZ$2:AZ$999,RoadTra_BY!$B$2:$B$999,'Road transport'!$C28,RoadTra_BY!$C$2:$C$999,'Road transport'!$AX28)</f>
        <v>#DIV/0!</v>
      </c>
      <c r="AS28" s="57" t="e">
        <f>AVERAGEIFS(RoadTra_BY!BA$2:BA$999,RoadTra_BY!$B$2:$B$999,'Road transport'!$C28,RoadTra_BY!$C$2:$C$999,'Road transport'!$AX28)</f>
        <v>#DIV/0!</v>
      </c>
      <c r="AT28" s="57" t="e">
        <f>AVERAGEIFS(RoadTra_BY!BB$2:BB$999,RoadTra_BY!$B$2:$B$999,'Road transport'!$C28,RoadTra_BY!$C$2:$C$999,'Road transport'!$AX28)</f>
        <v>#DIV/0!</v>
      </c>
      <c r="AU28" s="57" t="e">
        <f>AVERAGEIFS(RoadTra_BY!BC$2:BC$999,RoadTra_BY!$B$2:$B$999,'Road transport'!$C28,RoadTra_BY!$C$2:$C$999,'Road transport'!$AX28)</f>
        <v>#DIV/0!</v>
      </c>
      <c r="AV28" s="57" t="e">
        <f>AVERAGEIFS(RoadTra_BY!BD$2:BD$999,RoadTra_BY!$B$2:$B$999,'Road transport'!$C28,RoadTra_BY!$C$2:$C$999,'Road transport'!$AX28)</f>
        <v>#DIV/0!</v>
      </c>
      <c r="AW28" s="57" t="e">
        <f>AVERAGEIFS(RoadTra_BY!BE$2:BE$999,RoadTra_BY!$B$2:$B$999,'Road transport'!$C28,RoadTra_BY!$C$2:$C$999,'Road transport'!$AX28)</f>
        <v>#DIV/0!</v>
      </c>
      <c r="AX28" t="s">
        <v>148</v>
      </c>
    </row>
    <row r="31" spans="2:50">
      <c r="C31" t="s">
        <v>149</v>
      </c>
    </row>
    <row r="32" spans="2: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2: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2: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2: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2: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2: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2:53">
      <c r="E45" s="58"/>
    </row>
    <row r="48" spans="2:53">
      <c r="B48" t="s">
        <v>149</v>
      </c>
    </row>
    <row r="49" spans="2:53">
      <c r="B49" t="s">
        <v>116</v>
      </c>
      <c r="C49" t="s">
        <v>50</v>
      </c>
      <c r="D49" t="s">
        <v>93</v>
      </c>
      <c r="E49" t="s">
        <v>94</v>
      </c>
      <c r="I49" t="s">
        <v>156</v>
      </c>
    </row>
    <row r="50" spans="2:53">
      <c r="B50" t="s">
        <v>107</v>
      </c>
      <c r="C50" t="s">
        <v>157</v>
      </c>
      <c r="D50" t="s">
        <v>104</v>
      </c>
      <c r="E50" t="s">
        <v>158</v>
      </c>
    </row>
    <row r="53" spans="2:53">
      <c r="B53" t="s">
        <v>114</v>
      </c>
    </row>
    <row r="54" spans="2:53">
      <c r="B54" t="s">
        <v>116</v>
      </c>
      <c r="C54" t="s">
        <v>50</v>
      </c>
      <c r="D54" t="s">
        <v>159</v>
      </c>
      <c r="E54" t="s">
        <v>139</v>
      </c>
      <c r="F54" t="s">
        <v>95</v>
      </c>
      <c r="G54" t="s">
        <v>160</v>
      </c>
      <c r="H54" t="s">
        <v>94</v>
      </c>
      <c r="I54" t="s">
        <v>131</v>
      </c>
    </row>
    <row r="55" spans="2:53">
      <c r="B55" t="s">
        <v>134</v>
      </c>
      <c r="C55">
        <v>10</v>
      </c>
      <c r="D55" t="s">
        <v>161</v>
      </c>
      <c r="E55" s="99" t="s">
        <v>162</v>
      </c>
    </row>
    <row r="56" spans="2:53">
      <c r="B56" t="s">
        <v>163</v>
      </c>
      <c r="C56">
        <v>1</v>
      </c>
      <c r="F56" t="s">
        <v>164</v>
      </c>
      <c r="G56" t="s">
        <v>103</v>
      </c>
      <c r="H56" t="str">
        <f>F56</f>
        <v>AuxStoIN</v>
      </c>
      <c r="I56" t="s">
        <v>165</v>
      </c>
    </row>
    <row r="62" spans="2:53">
      <c r="H62" s="52"/>
    </row>
    <row r="63" spans="2:53">
      <c r="H63" s="52"/>
      <c r="BA63" s="50"/>
    </row>
    <row r="65" s="49" customFormat="1" spans="1:106">
      <c r="A65" s="50"/>
      <c r="B65" s="59" t="s">
        <v>114</v>
      </c>
      <c r="C65" s="60"/>
      <c r="D65" s="59"/>
      <c r="E65" s="59"/>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61"/>
      <c r="CP65" s="61"/>
      <c r="CR65" s="61"/>
      <c r="CS65" s="61"/>
      <c r="CT65" s="61"/>
      <c r="CU65" s="61"/>
      <c r="CW65" s="52"/>
      <c r="CX65" s="62" t="s">
        <v>114</v>
      </c>
      <c r="CY65" s="52"/>
      <c r="CZ65" s="52"/>
      <c r="DA65" s="52"/>
      <c r="DB65" s="52"/>
    </row>
    <row r="66" s="50" customFormat="1" spans="1:106">
      <c r="A66" s="50" t="s">
        <v>41</v>
      </c>
      <c r="B66" s="59" t="s">
        <v>116</v>
      </c>
      <c r="C66" s="59" t="s">
        <v>120</v>
      </c>
      <c r="D66" s="59" t="s">
        <v>64</v>
      </c>
      <c r="E66" s="59"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166</v>
      </c>
      <c r="CQ66" s="63"/>
      <c r="CR66" s="63"/>
      <c r="CT66" s="63"/>
      <c r="CU66" s="63"/>
      <c r="CW66" t="s">
        <v>116</v>
      </c>
      <c r="CX66" t="s">
        <v>120</v>
      </c>
      <c r="CY66" t="s">
        <v>64</v>
      </c>
      <c r="CZ66" t="s">
        <v>95</v>
      </c>
      <c r="DA66" s="64" t="s">
        <v>41</v>
      </c>
      <c r="DB66" s="64" t="s">
        <v>65</v>
      </c>
    </row>
    <row r="67" s="50" customFormat="1" ht="14.5" spans="1:106">
      <c r="A67" s="50">
        <v>2020</v>
      </c>
      <c r="B67" s="65" t="s">
        <v>167</v>
      </c>
      <c r="C67" s="59" t="s">
        <v>168</v>
      </c>
      <c r="D67" s="66" t="s">
        <v>169</v>
      </c>
      <c r="E67" s="60" t="s">
        <v>170</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63"/>
      <c r="CR67" s="63"/>
      <c r="CT67" s="63"/>
      <c r="CU67" s="63"/>
      <c r="CW67" s="67" t="s">
        <v>167</v>
      </c>
      <c r="CX67" t="s">
        <v>168</v>
      </c>
      <c r="CY67" s="52" t="str">
        <f>D67</f>
        <v>MINBatMaterials_LI</v>
      </c>
      <c r="CZ67" s="52" t="s">
        <v>170</v>
      </c>
      <c r="DA67" s="64">
        <v>0</v>
      </c>
      <c r="DB67" s="64">
        <v>5</v>
      </c>
    </row>
    <row r="68" s="50" customFormat="1" ht="16" spans="1:106">
      <c r="A68" s="50">
        <v>2020</v>
      </c>
      <c r="B68" s="65" t="s">
        <v>167</v>
      </c>
      <c r="C68" s="59" t="s">
        <v>168</v>
      </c>
      <c r="D68" s="68" t="s">
        <v>171</v>
      </c>
      <c r="E68" s="60" t="s">
        <v>172</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63"/>
      <c r="CR68" s="63"/>
      <c r="CT68" s="63"/>
      <c r="CU68" s="63"/>
      <c r="CW68" s="67" t="s">
        <v>167</v>
      </c>
      <c r="CX68" t="s">
        <v>168</v>
      </c>
      <c r="CY68" s="52" t="str">
        <f t="shared" ref="CY68:CY73" si="7">D68</f>
        <v>MINBatMaterials_NI</v>
      </c>
      <c r="CZ68" s="52" t="s">
        <v>172</v>
      </c>
      <c r="DA68" s="64">
        <v>0</v>
      </c>
      <c r="DB68" s="64">
        <v>5</v>
      </c>
    </row>
    <row r="69" s="51" customFormat="1" ht="16" spans="1:106">
      <c r="A69" s="50">
        <v>2020</v>
      </c>
      <c r="B69" s="69" t="s">
        <v>167</v>
      </c>
      <c r="C69" s="51" t="s">
        <v>168</v>
      </c>
      <c r="D69" s="68" t="s">
        <v>173</v>
      </c>
      <c r="E69" s="70" t="s">
        <v>174</v>
      </c>
      <c r="F69" s="71">
        <v>0</v>
      </c>
      <c r="G69" s="71">
        <f>E79/10000</f>
        <v>410</v>
      </c>
      <c r="H69" s="71">
        <f>F79/10000</f>
        <v>150</v>
      </c>
      <c r="I69" s="71">
        <f>G79/10000</f>
        <v>0</v>
      </c>
      <c r="J69" s="71">
        <f>H79/10000</f>
        <v>0</v>
      </c>
      <c r="K69" s="71">
        <f>I79/10000</f>
        <v>0</v>
      </c>
      <c r="L69" s="71">
        <f t="shared" ref="L69:AM69" si="8">J79/10000</f>
        <v>0</v>
      </c>
      <c r="M69" s="71">
        <f t="shared" si="8"/>
        <v>14</v>
      </c>
      <c r="N69" s="71">
        <f t="shared" si="8"/>
        <v>0</v>
      </c>
      <c r="O69" s="71">
        <f t="shared" si="8"/>
        <v>0</v>
      </c>
      <c r="P69" s="71">
        <f t="shared" si="8"/>
        <v>0</v>
      </c>
      <c r="Q69" s="71">
        <f t="shared" si="8"/>
        <v>0</v>
      </c>
      <c r="R69" s="71">
        <f t="shared" si="8"/>
        <v>0</v>
      </c>
      <c r="S69" s="71">
        <f t="shared" si="8"/>
        <v>0</v>
      </c>
      <c r="T69" s="71">
        <f t="shared" si="8"/>
        <v>0</v>
      </c>
      <c r="U69" s="71">
        <f t="shared" si="8"/>
        <v>0</v>
      </c>
      <c r="V69" s="71">
        <f t="shared" si="8"/>
        <v>0</v>
      </c>
      <c r="W69" s="71">
        <f t="shared" si="8"/>
        <v>0</v>
      </c>
      <c r="X69" s="71">
        <f t="shared" si="8"/>
        <v>0</v>
      </c>
      <c r="Y69" s="71">
        <f t="shared" si="8"/>
        <v>50</v>
      </c>
      <c r="Z69" s="71">
        <f t="shared" si="8"/>
        <v>3.6</v>
      </c>
      <c r="AA69" s="71">
        <f t="shared" si="8"/>
        <v>28.9</v>
      </c>
      <c r="AB69" s="71">
        <f t="shared" si="8"/>
        <v>0</v>
      </c>
      <c r="AC69" s="71">
        <f t="shared" si="8"/>
        <v>0</v>
      </c>
      <c r="AD69" s="71">
        <f t="shared" si="8"/>
        <v>151.7</v>
      </c>
      <c r="AE69" s="71">
        <f t="shared" si="8"/>
        <v>25</v>
      </c>
      <c r="AF69" s="71">
        <f t="shared" si="8"/>
        <v>0</v>
      </c>
      <c r="AG69" s="71">
        <f t="shared" si="8"/>
        <v>0</v>
      </c>
      <c r="AH69" s="71">
        <f t="shared" si="8"/>
        <v>0</v>
      </c>
      <c r="AI69" s="71">
        <f t="shared" si="8"/>
        <v>0</v>
      </c>
      <c r="AJ69" s="71">
        <f t="shared" si="8"/>
        <v>0</v>
      </c>
      <c r="AK69" s="71">
        <f t="shared" si="8"/>
        <v>3.6</v>
      </c>
      <c r="AL69" s="71">
        <f t="shared" si="8"/>
        <v>0</v>
      </c>
      <c r="AM69" s="71">
        <f t="shared" si="8"/>
        <v>0</v>
      </c>
      <c r="AN69" s="50" t="str">
        <f t="shared" si="6"/>
        <v>m_cobalt</v>
      </c>
      <c r="CQ69" s="72"/>
      <c r="CR69" s="72"/>
      <c r="CT69" s="72"/>
      <c r="CU69" s="72"/>
      <c r="CW69" s="69" t="s">
        <v>167</v>
      </c>
      <c r="CX69" s="51" t="s">
        <v>168</v>
      </c>
      <c r="CY69" s="52" t="str">
        <f t="shared" si="7"/>
        <v>MINBatMaterials_COB</v>
      </c>
      <c r="CZ69" s="70" t="s">
        <v>174</v>
      </c>
      <c r="DA69" s="72">
        <v>0</v>
      </c>
      <c r="DB69" s="72">
        <v>5</v>
      </c>
    </row>
    <row r="70" s="50" customFormat="1" ht="16" spans="1:106">
      <c r="A70" s="50">
        <v>2020</v>
      </c>
      <c r="B70" s="65" t="s">
        <v>167</v>
      </c>
      <c r="C70" s="59" t="s">
        <v>168</v>
      </c>
      <c r="D70" s="68" t="s">
        <v>175</v>
      </c>
      <c r="E70" s="73" t="s">
        <v>176</v>
      </c>
      <c r="F70" s="74">
        <f t="shared" ref="F70:Z70" si="9">D80/1000</f>
        <v>0</v>
      </c>
      <c r="G70" s="74">
        <f t="shared" si="9"/>
        <v>74000</v>
      </c>
      <c r="H70" s="74">
        <f t="shared" si="9"/>
        <v>270000</v>
      </c>
      <c r="I70" s="74">
        <f t="shared" si="9"/>
        <v>0</v>
      </c>
      <c r="J70" s="74">
        <f t="shared" si="9"/>
        <v>0</v>
      </c>
      <c r="K70" s="74">
        <f t="shared" si="9"/>
        <v>0</v>
      </c>
      <c r="L70" s="74">
        <f t="shared" si="9"/>
        <v>270000</v>
      </c>
      <c r="M70" s="74">
        <f t="shared" si="9"/>
        <v>280000</v>
      </c>
      <c r="N70" s="74">
        <f t="shared" si="9"/>
        <v>0</v>
      </c>
      <c r="O70" s="74">
        <f t="shared" si="9"/>
        <v>0</v>
      </c>
      <c r="P70" s="74">
        <f t="shared" si="9"/>
        <v>0</v>
      </c>
      <c r="Q70" s="74">
        <f t="shared" si="9"/>
        <v>0</v>
      </c>
      <c r="R70" s="74">
        <f t="shared" si="9"/>
        <v>0</v>
      </c>
      <c r="S70" s="74">
        <f t="shared" si="9"/>
        <v>0</v>
      </c>
      <c r="T70" s="74">
        <f t="shared" si="9"/>
        <v>0</v>
      </c>
      <c r="U70" s="74">
        <f t="shared" si="9"/>
        <v>34000</v>
      </c>
      <c r="V70" s="74">
        <f t="shared" si="9"/>
        <v>0</v>
      </c>
      <c r="W70" s="74">
        <f t="shared" si="9"/>
        <v>0</v>
      </c>
      <c r="X70" s="74">
        <f t="shared" si="9"/>
        <v>0</v>
      </c>
      <c r="Y70" s="74">
        <f t="shared" si="9"/>
        <v>275000</v>
      </c>
      <c r="Z70" s="74">
        <f t="shared" si="9"/>
        <v>0</v>
      </c>
      <c r="AA70" s="75">
        <v>100</v>
      </c>
      <c r="AB70" s="50">
        <f t="shared" ref="AB70:AM73" si="10">Z80/1000</f>
        <v>0</v>
      </c>
      <c r="AC70" s="50">
        <f t="shared" si="10"/>
        <v>0</v>
      </c>
      <c r="AD70" s="50">
        <f t="shared" si="10"/>
        <v>5000</v>
      </c>
      <c r="AE70" s="50">
        <f t="shared" si="10"/>
        <v>0</v>
      </c>
      <c r="AF70" s="50">
        <f t="shared" si="10"/>
        <v>0</v>
      </c>
      <c r="AG70" s="59">
        <f t="shared" si="10"/>
        <v>640000</v>
      </c>
      <c r="AH70" s="50">
        <f t="shared" si="10"/>
        <v>0</v>
      </c>
      <c r="AI70" s="50">
        <f t="shared" si="10"/>
        <v>0</v>
      </c>
      <c r="AJ70" s="50">
        <f t="shared" si="10"/>
        <v>0</v>
      </c>
      <c r="AK70" s="50">
        <f t="shared" si="10"/>
        <v>0</v>
      </c>
      <c r="AL70" s="50">
        <f t="shared" si="10"/>
        <v>0</v>
      </c>
      <c r="AM70" s="50">
        <f t="shared" si="10"/>
        <v>140000</v>
      </c>
      <c r="AN70" s="50" t="str">
        <f t="shared" si="6"/>
        <v>m_manganese</v>
      </c>
      <c r="CQ70" s="63"/>
      <c r="CR70" s="63"/>
      <c r="CT70" s="63"/>
      <c r="CU70" s="63"/>
      <c r="CW70" s="67" t="s">
        <v>167</v>
      </c>
      <c r="CX70" t="s">
        <v>168</v>
      </c>
      <c r="CY70" s="52" t="str">
        <f t="shared" si="7"/>
        <v>MINBatMaterials_MN</v>
      </c>
      <c r="CZ70" s="76" t="s">
        <v>176</v>
      </c>
      <c r="DA70" s="64">
        <v>0</v>
      </c>
      <c r="DB70" s="64">
        <v>5</v>
      </c>
    </row>
    <row r="71" s="50" customFormat="1" ht="16" spans="1:106">
      <c r="A71" s="50">
        <v>2020</v>
      </c>
      <c r="B71" s="65" t="s">
        <v>167</v>
      </c>
      <c r="C71" s="59" t="s">
        <v>168</v>
      </c>
      <c r="D71" s="68" t="s">
        <v>177</v>
      </c>
      <c r="E71" s="60" t="s">
        <v>178</v>
      </c>
      <c r="F71" s="50">
        <f t="shared" ref="F71:L73" si="11">D81/1000</f>
        <v>0</v>
      </c>
      <c r="G71" s="50">
        <f t="shared" si="11"/>
        <v>0</v>
      </c>
      <c r="H71" s="50">
        <f t="shared" si="11"/>
        <v>0</v>
      </c>
      <c r="I71" s="50">
        <f t="shared" si="11"/>
        <v>0</v>
      </c>
      <c r="J71" s="50">
        <f t="shared" si="11"/>
        <v>0</v>
      </c>
      <c r="K71" s="50">
        <f t="shared" si="11"/>
        <v>0</v>
      </c>
      <c r="L71" s="50">
        <f t="shared" si="11"/>
        <v>0</v>
      </c>
      <c r="M71" s="77">
        <v>41500</v>
      </c>
      <c r="N71" s="50">
        <f t="shared" ref="N71:Z73" si="12">L81/1000</f>
        <v>0</v>
      </c>
      <c r="O71" s="50">
        <f t="shared" si="12"/>
        <v>0</v>
      </c>
      <c r="P71" s="50">
        <f t="shared" si="12"/>
        <v>0</v>
      </c>
      <c r="Q71" s="50">
        <f t="shared" si="12"/>
        <v>0</v>
      </c>
      <c r="R71" s="50">
        <f t="shared" si="12"/>
        <v>0</v>
      </c>
      <c r="S71" s="50">
        <f t="shared" si="12"/>
        <v>0</v>
      </c>
      <c r="T71" s="50">
        <f t="shared" si="12"/>
        <v>0</v>
      </c>
      <c r="U71" s="50">
        <f t="shared" si="12"/>
        <v>0</v>
      </c>
      <c r="V71" s="50">
        <f t="shared" si="12"/>
        <v>0</v>
      </c>
      <c r="W71" s="50">
        <f t="shared" si="12"/>
        <v>0</v>
      </c>
      <c r="X71" s="50">
        <f t="shared" si="12"/>
        <v>0</v>
      </c>
      <c r="Y71" s="50">
        <f t="shared" si="12"/>
        <v>0</v>
      </c>
      <c r="Z71" s="50">
        <f t="shared" si="12"/>
        <v>0</v>
      </c>
      <c r="AA71" s="77">
        <v>3650</v>
      </c>
      <c r="AB71" s="50">
        <f t="shared" si="10"/>
        <v>0</v>
      </c>
      <c r="AC71" s="50">
        <f t="shared" si="10"/>
        <v>0</v>
      </c>
      <c r="AD71" s="50">
        <f t="shared" si="10"/>
        <v>0</v>
      </c>
      <c r="AE71" s="50">
        <f t="shared" si="10"/>
        <v>0</v>
      </c>
      <c r="AF71" s="50">
        <f t="shared" si="10"/>
        <v>0</v>
      </c>
      <c r="AG71" s="50">
        <f t="shared" si="10"/>
        <v>0</v>
      </c>
      <c r="AH71" s="50">
        <f t="shared" si="10"/>
        <v>0</v>
      </c>
      <c r="AI71" s="50">
        <f t="shared" si="10"/>
        <v>0</v>
      </c>
      <c r="AJ71" s="50">
        <f t="shared" si="10"/>
        <v>0</v>
      </c>
      <c r="AK71" s="50">
        <f t="shared" si="10"/>
        <v>0</v>
      </c>
      <c r="AL71" s="50">
        <f t="shared" si="10"/>
        <v>0</v>
      </c>
      <c r="AM71" s="50">
        <f t="shared" si="10"/>
        <v>0</v>
      </c>
      <c r="AN71" s="50" t="str">
        <f t="shared" si="6"/>
        <v>m_aluminum</v>
      </c>
      <c r="CQ71" s="63"/>
      <c r="CR71" s="63"/>
      <c r="CT71" s="63"/>
      <c r="CU71" s="63"/>
      <c r="CW71" s="67" t="s">
        <v>167</v>
      </c>
      <c r="CX71" t="s">
        <v>168</v>
      </c>
      <c r="CY71" s="52" t="str">
        <f t="shared" si="7"/>
        <v>MINBatMaterials_AL</v>
      </c>
      <c r="CZ71" s="52" t="s">
        <v>178</v>
      </c>
      <c r="DA71" s="64">
        <v>0</v>
      </c>
      <c r="DB71" s="64">
        <v>5</v>
      </c>
    </row>
    <row r="72" s="50" customFormat="1" ht="16" spans="1:106">
      <c r="A72" s="50">
        <v>2020</v>
      </c>
      <c r="B72" s="65" t="s">
        <v>167</v>
      </c>
      <c r="C72" s="59" t="s">
        <v>168</v>
      </c>
      <c r="D72" s="68" t="s">
        <v>179</v>
      </c>
      <c r="E72" s="60" t="s">
        <v>180</v>
      </c>
      <c r="F72" s="50">
        <f t="shared" si="11"/>
        <v>0</v>
      </c>
      <c r="G72" s="50">
        <f t="shared" si="11"/>
        <v>50000</v>
      </c>
      <c r="H72" s="50">
        <f t="shared" si="11"/>
        <v>97000</v>
      </c>
      <c r="I72" s="50">
        <f t="shared" si="11"/>
        <v>0</v>
      </c>
      <c r="J72" s="50">
        <f t="shared" si="11"/>
        <v>0</v>
      </c>
      <c r="K72" s="50">
        <f t="shared" si="11"/>
        <v>0</v>
      </c>
      <c r="L72" s="50">
        <f t="shared" si="11"/>
        <v>0</v>
      </c>
      <c r="M72" s="50">
        <f>K82/1000</f>
        <v>27000</v>
      </c>
      <c r="N72" s="50">
        <f t="shared" si="12"/>
        <v>0</v>
      </c>
      <c r="O72" s="50">
        <f t="shared" si="12"/>
        <v>0</v>
      </c>
      <c r="P72" s="50">
        <f t="shared" si="12"/>
        <v>0</v>
      </c>
      <c r="Q72" s="50">
        <f t="shared" si="12"/>
        <v>0</v>
      </c>
      <c r="R72" s="50">
        <f t="shared" si="12"/>
        <v>0</v>
      </c>
      <c r="S72" s="50">
        <f t="shared" si="12"/>
        <v>0</v>
      </c>
      <c r="T72" s="50">
        <f t="shared" si="12"/>
        <v>0</v>
      </c>
      <c r="U72" s="50">
        <f t="shared" si="12"/>
        <v>0</v>
      </c>
      <c r="V72" s="50">
        <f t="shared" si="12"/>
        <v>0</v>
      </c>
      <c r="W72" s="50">
        <f t="shared" si="12"/>
        <v>0</v>
      </c>
      <c r="X72" s="50">
        <f t="shared" si="12"/>
        <v>0</v>
      </c>
      <c r="Y72" s="50">
        <f t="shared" si="12"/>
        <v>324000</v>
      </c>
      <c r="Z72" s="50">
        <f t="shared" si="12"/>
        <v>0</v>
      </c>
      <c r="AA72" s="50">
        <f>Y82/1000</f>
        <v>51600</v>
      </c>
      <c r="AB72" s="50">
        <f t="shared" si="10"/>
        <v>0</v>
      </c>
      <c r="AC72" s="50">
        <f t="shared" si="10"/>
        <v>30000</v>
      </c>
      <c r="AD72" s="50">
        <f t="shared" si="10"/>
        <v>244000</v>
      </c>
      <c r="AE72" s="50">
        <f t="shared" si="10"/>
        <v>62000</v>
      </c>
      <c r="AF72" s="50">
        <f t="shared" si="10"/>
        <v>0</v>
      </c>
      <c r="AG72" s="50">
        <f t="shared" si="10"/>
        <v>0</v>
      </c>
      <c r="AH72" s="50">
        <f t="shared" si="10"/>
        <v>0</v>
      </c>
      <c r="AI72" s="50">
        <f t="shared" si="10"/>
        <v>0</v>
      </c>
      <c r="AJ72" s="50">
        <f t="shared" si="10"/>
        <v>0</v>
      </c>
      <c r="AK72" s="50">
        <f t="shared" si="10"/>
        <v>0</v>
      </c>
      <c r="AL72" s="50">
        <f t="shared" si="10"/>
        <v>0</v>
      </c>
      <c r="AM72" s="50">
        <f t="shared" si="10"/>
        <v>0</v>
      </c>
      <c r="AN72" s="50" t="str">
        <f t="shared" si="6"/>
        <v>m_copper</v>
      </c>
      <c r="CQ72" s="63"/>
      <c r="CR72" s="63"/>
      <c r="CT72" s="63"/>
      <c r="CU72" s="63"/>
      <c r="CW72" s="67" t="s">
        <v>167</v>
      </c>
      <c r="CX72" t="s">
        <v>168</v>
      </c>
      <c r="CY72" s="52" t="str">
        <f t="shared" si="7"/>
        <v>MINBatMaterials_COP</v>
      </c>
      <c r="CZ72" s="52" t="s">
        <v>180</v>
      </c>
      <c r="DA72" s="64">
        <v>0</v>
      </c>
      <c r="DB72" s="64">
        <v>5</v>
      </c>
    </row>
    <row r="73" s="49" customFormat="1" ht="16" spans="1:106">
      <c r="A73" s="50">
        <v>2020</v>
      </c>
      <c r="B73" s="65" t="s">
        <v>167</v>
      </c>
      <c r="C73" s="59" t="s">
        <v>168</v>
      </c>
      <c r="D73" s="68" t="s">
        <v>181</v>
      </c>
      <c r="E73" s="60" t="s">
        <v>182</v>
      </c>
      <c r="F73" s="50">
        <f t="shared" si="11"/>
        <v>0</v>
      </c>
      <c r="G73" s="50">
        <f t="shared" si="11"/>
        <v>69000</v>
      </c>
      <c r="H73" s="50">
        <f t="shared" si="11"/>
        <v>0</v>
      </c>
      <c r="I73" s="50">
        <f t="shared" si="11"/>
        <v>0</v>
      </c>
      <c r="J73" s="50">
        <f t="shared" si="11"/>
        <v>0</v>
      </c>
      <c r="K73" s="50">
        <f t="shared" si="11"/>
        <v>0</v>
      </c>
      <c r="L73" s="50">
        <f t="shared" si="11"/>
        <v>74000</v>
      </c>
      <c r="M73" s="50">
        <f>K83/1000</f>
        <v>52000</v>
      </c>
      <c r="N73" s="50">
        <f t="shared" si="12"/>
        <v>0</v>
      </c>
      <c r="O73" s="50">
        <f t="shared" si="12"/>
        <v>0</v>
      </c>
      <c r="P73" s="50">
        <f t="shared" si="12"/>
        <v>0</v>
      </c>
      <c r="Q73" s="50">
        <f t="shared" si="12"/>
        <v>0</v>
      </c>
      <c r="R73" s="50">
        <f t="shared" si="12"/>
        <v>0</v>
      </c>
      <c r="S73" s="50">
        <f t="shared" si="12"/>
        <v>0</v>
      </c>
      <c r="T73" s="50">
        <f t="shared" si="12"/>
        <v>0</v>
      </c>
      <c r="U73" s="50">
        <f t="shared" si="12"/>
        <v>8000</v>
      </c>
      <c r="V73" s="50">
        <f t="shared" si="12"/>
        <v>0</v>
      </c>
      <c r="W73" s="50">
        <f t="shared" si="12"/>
        <v>0</v>
      </c>
      <c r="X73" s="50">
        <f t="shared" si="12"/>
        <v>0</v>
      </c>
      <c r="Y73" s="50">
        <f t="shared" si="12"/>
        <v>77100</v>
      </c>
      <c r="Z73" s="50">
        <f t="shared" si="12"/>
        <v>90000</v>
      </c>
      <c r="AA73" s="50">
        <f>Y83/1000</f>
        <v>5700</v>
      </c>
      <c r="AB73" s="50">
        <f t="shared" si="10"/>
        <v>600</v>
      </c>
      <c r="AC73" s="50">
        <f t="shared" si="10"/>
        <v>0</v>
      </c>
      <c r="AD73" s="50">
        <f t="shared" si="10"/>
        <v>12900</v>
      </c>
      <c r="AE73" s="50">
        <f t="shared" si="10"/>
        <v>14000</v>
      </c>
      <c r="AF73" s="50">
        <f t="shared" si="10"/>
        <v>0</v>
      </c>
      <c r="AG73" s="50">
        <f t="shared" si="10"/>
        <v>0</v>
      </c>
      <c r="AH73" s="50">
        <f t="shared" si="10"/>
        <v>0</v>
      </c>
      <c r="AI73" s="50">
        <f t="shared" si="10"/>
        <v>0</v>
      </c>
      <c r="AJ73" s="50">
        <f t="shared" si="10"/>
        <v>0</v>
      </c>
      <c r="AK73" s="50">
        <f t="shared" si="10"/>
        <v>90000</v>
      </c>
      <c r="AL73" s="50">
        <f t="shared" si="10"/>
        <v>0</v>
      </c>
      <c r="AM73" s="50">
        <f t="shared" si="10"/>
        <v>0</v>
      </c>
      <c r="AN73" s="50" t="str">
        <f t="shared" si="6"/>
        <v>m_graphite</v>
      </c>
      <c r="AY73" s="50"/>
      <c r="BB73" s="50"/>
      <c r="CQ73" s="61"/>
      <c r="CR73" s="63"/>
      <c r="CT73" s="61"/>
      <c r="CU73" s="61"/>
      <c r="CW73" s="67" t="s">
        <v>167</v>
      </c>
      <c r="CX73" t="s">
        <v>168</v>
      </c>
      <c r="CY73" s="52" t="str">
        <f t="shared" si="7"/>
        <v>MINBatMaterials_GR</v>
      </c>
      <c r="CZ73" s="52" t="s">
        <v>182</v>
      </c>
      <c r="DA73" s="64">
        <v>0</v>
      </c>
      <c r="DB73" s="64">
        <v>5</v>
      </c>
    </row>
    <row r="74" s="52" customFormat="1"/>
    <row r="75" s="52" customFormat="1" spans="1:106">
      <c r="E75" s="52" t="s">
        <v>183</v>
      </c>
    </row>
    <row r="76" s="52" customFormat="1"/>
    <row r="77" s="52" customFormat="1" spans="1:106">
      <c r="B77" t="s">
        <v>184</v>
      </c>
      <c r="D77" s="78">
        <v>0</v>
      </c>
      <c r="E77" s="78">
        <v>310000</v>
      </c>
      <c r="F77" s="78">
        <v>6200000</v>
      </c>
      <c r="G77" s="78">
        <v>0</v>
      </c>
      <c r="H77" s="78"/>
      <c r="I77" s="78"/>
      <c r="J77" s="78">
        <v>250000</v>
      </c>
      <c r="K77" s="78">
        <v>2000000</v>
      </c>
      <c r="L77" s="78"/>
      <c r="M77" s="78">
        <v>0</v>
      </c>
      <c r="N77" s="78">
        <v>0</v>
      </c>
      <c r="O77" s="78">
        <v>0</v>
      </c>
      <c r="P77" s="78">
        <v>0</v>
      </c>
      <c r="Q77" s="78"/>
      <c r="R77" s="78"/>
      <c r="S77" s="78">
        <v>0</v>
      </c>
      <c r="T77" s="78"/>
      <c r="U77" s="78"/>
      <c r="V77" s="78">
        <v>0</v>
      </c>
      <c r="W77" s="78">
        <v>12250000</v>
      </c>
      <c r="X77" s="78">
        <v>0</v>
      </c>
      <c r="Y77" s="78">
        <v>1930000</v>
      </c>
      <c r="Z77" s="78">
        <v>0</v>
      </c>
      <c r="AA77" s="78">
        <v>0</v>
      </c>
      <c r="AB77" s="78">
        <v>3300000</v>
      </c>
      <c r="AC77" s="78">
        <v>0</v>
      </c>
      <c r="AD77" s="78">
        <v>0</v>
      </c>
      <c r="AE77" s="78">
        <v>0</v>
      </c>
      <c r="AF77" s="78">
        <v>60000</v>
      </c>
      <c r="AG77" s="78">
        <v>0</v>
      </c>
      <c r="AH77" s="78"/>
      <c r="AI77" s="78">
        <v>0</v>
      </c>
      <c r="AJ77" s="78">
        <v>0</v>
      </c>
      <c r="AK77" s="78">
        <v>0</v>
      </c>
    </row>
    <row r="78" s="52" customFormat="1" spans="1:106">
      <c r="D78" s="78">
        <v>0</v>
      </c>
      <c r="E78" s="78">
        <v>0</v>
      </c>
      <c r="F78" s="78">
        <v>21000000</v>
      </c>
      <c r="G78" s="78">
        <v>0</v>
      </c>
      <c r="H78" s="78"/>
      <c r="I78" s="78"/>
      <c r="J78" s="78">
        <v>16000000</v>
      </c>
      <c r="K78" s="78">
        <v>2100000</v>
      </c>
      <c r="L78" s="78"/>
      <c r="M78" s="78">
        <v>0</v>
      </c>
      <c r="N78" s="78">
        <v>0</v>
      </c>
      <c r="O78" s="78">
        <v>0</v>
      </c>
      <c r="P78" s="78">
        <v>0</v>
      </c>
      <c r="Q78" s="78"/>
      <c r="R78" s="78"/>
      <c r="S78" s="78">
        <v>0</v>
      </c>
      <c r="T78" s="78"/>
      <c r="U78" s="78"/>
      <c r="V78" s="78">
        <v>0</v>
      </c>
      <c r="W78" s="78">
        <v>16000000</v>
      </c>
      <c r="X78" s="78">
        <v>0</v>
      </c>
      <c r="Y78" s="78">
        <v>2570000</v>
      </c>
      <c r="Z78" s="78">
        <v>0</v>
      </c>
      <c r="AA78" s="78">
        <v>0</v>
      </c>
      <c r="AB78" s="78">
        <v>52900000</v>
      </c>
      <c r="AC78" s="78">
        <v>7500000</v>
      </c>
      <c r="AD78" s="78">
        <v>0</v>
      </c>
      <c r="AE78" s="78">
        <v>0</v>
      </c>
      <c r="AF78" s="78">
        <v>0</v>
      </c>
      <c r="AG78" s="78">
        <v>0</v>
      </c>
      <c r="AH78" s="78"/>
      <c r="AI78" s="78">
        <v>0</v>
      </c>
      <c r="AJ78" s="78">
        <v>0</v>
      </c>
      <c r="AK78" s="78">
        <v>0</v>
      </c>
    </row>
    <row r="79" s="52" customFormat="1" spans="1:106">
      <c r="D79" s="78">
        <v>13000</v>
      </c>
      <c r="E79" s="78">
        <v>4100000</v>
      </c>
      <c r="F79" s="78">
        <v>1500000</v>
      </c>
      <c r="G79" s="78">
        <v>0</v>
      </c>
      <c r="H79" s="78"/>
      <c r="I79" s="78"/>
      <c r="J79" s="78">
        <v>0</v>
      </c>
      <c r="K79" s="78">
        <v>140000</v>
      </c>
      <c r="L79" s="78"/>
      <c r="M79" s="78">
        <v>0</v>
      </c>
      <c r="N79" s="78">
        <v>0</v>
      </c>
      <c r="O79" s="78">
        <v>0</v>
      </c>
      <c r="P79" s="78">
        <v>0</v>
      </c>
      <c r="Q79" s="78"/>
      <c r="R79" s="78"/>
      <c r="S79" s="78">
        <v>0</v>
      </c>
      <c r="T79" s="78"/>
      <c r="U79" s="78"/>
      <c r="V79" s="78">
        <v>0</v>
      </c>
      <c r="W79" s="78">
        <v>500000</v>
      </c>
      <c r="X79" s="78">
        <v>36000</v>
      </c>
      <c r="Y79" s="78">
        <v>289000</v>
      </c>
      <c r="Z79" s="78">
        <v>0</v>
      </c>
      <c r="AA79" s="78">
        <v>0</v>
      </c>
      <c r="AB79" s="78">
        <v>1517000</v>
      </c>
      <c r="AC79" s="78">
        <v>250000</v>
      </c>
      <c r="AD79" s="78">
        <v>0</v>
      </c>
      <c r="AE79" s="78">
        <v>0</v>
      </c>
      <c r="AF79" s="78">
        <v>0</v>
      </c>
      <c r="AG79" s="78">
        <v>0</v>
      </c>
      <c r="AH79" s="78"/>
      <c r="AI79" s="78">
        <v>36000</v>
      </c>
      <c r="AJ79" s="78">
        <v>0</v>
      </c>
      <c r="AK79" s="78">
        <v>0</v>
      </c>
    </row>
    <row r="80" s="52" customFormat="1" spans="1:106">
      <c r="D80" s="78">
        <v>0</v>
      </c>
      <c r="E80" s="78">
        <v>74000000</v>
      </c>
      <c r="F80" s="78">
        <v>270000000</v>
      </c>
      <c r="G80" s="78">
        <v>0</v>
      </c>
      <c r="H80" s="78"/>
      <c r="I80" s="78"/>
      <c r="J80" s="78">
        <v>270000000</v>
      </c>
      <c r="K80" s="78">
        <v>280000000</v>
      </c>
      <c r="L80" s="78"/>
      <c r="M80" s="78">
        <v>0</v>
      </c>
      <c r="N80" s="78">
        <v>0</v>
      </c>
      <c r="O80" s="78">
        <v>0</v>
      </c>
      <c r="P80" s="78">
        <v>0</v>
      </c>
      <c r="Q80" s="78"/>
      <c r="R80" s="78"/>
      <c r="S80" s="78">
        <v>34000000</v>
      </c>
      <c r="T80" s="78"/>
      <c r="U80" s="78"/>
      <c r="V80" s="78">
        <v>0</v>
      </c>
      <c r="W80" s="78">
        <v>275000000</v>
      </c>
      <c r="X80" s="78">
        <v>0</v>
      </c>
      <c r="Y80" s="78">
        <v>0</v>
      </c>
      <c r="Z80" s="78">
        <v>0</v>
      </c>
      <c r="AA80" s="78">
        <v>0</v>
      </c>
      <c r="AB80" s="78">
        <v>5000000</v>
      </c>
      <c r="AC80" s="78">
        <v>0</v>
      </c>
      <c r="AD80" s="78">
        <v>0</v>
      </c>
      <c r="AE80" s="78">
        <v>640000000</v>
      </c>
      <c r="AF80" s="78">
        <v>0</v>
      </c>
      <c r="AG80" s="78">
        <v>0</v>
      </c>
      <c r="AH80" s="78"/>
      <c r="AI80" s="78">
        <v>0</v>
      </c>
      <c r="AJ80" s="78">
        <v>0</v>
      </c>
      <c r="AK80" s="78">
        <v>140000000</v>
      </c>
    </row>
    <row r="81" s="52" customFormat="1" spans="3:37">
      <c r="D81" s="78"/>
      <c r="E81" s="78"/>
      <c r="F81" s="78"/>
      <c r="G81" s="78"/>
      <c r="H81" s="78"/>
      <c r="I81" s="78"/>
      <c r="J81" s="78"/>
      <c r="K81" s="78"/>
      <c r="L81" s="78"/>
      <c r="M81" s="78"/>
      <c r="N81" s="78"/>
      <c r="O81" s="78"/>
      <c r="P81" s="78"/>
      <c r="Q81" s="78"/>
      <c r="R81" s="78"/>
      <c r="S81" s="78"/>
      <c r="T81" s="78"/>
      <c r="U81" s="78"/>
      <c r="V81" s="78"/>
      <c r="W81" s="78"/>
      <c r="X81" s="78"/>
      <c r="Y81" s="78">
        <v>0</v>
      </c>
      <c r="Z81" s="78"/>
      <c r="AA81" s="78"/>
      <c r="AB81" s="78"/>
      <c r="AC81" s="78"/>
      <c r="AD81" s="78"/>
      <c r="AE81" s="78"/>
      <c r="AF81" s="78"/>
      <c r="AG81" s="78"/>
      <c r="AH81" s="78"/>
      <c r="AI81" s="78"/>
      <c r="AJ81" s="78"/>
      <c r="AK81" s="78"/>
    </row>
    <row r="82" s="52" customFormat="1" spans="3:37">
      <c r="D82" s="78">
        <v>0</v>
      </c>
      <c r="E82" s="78">
        <v>50000000</v>
      </c>
      <c r="F82" s="78">
        <v>97000000</v>
      </c>
      <c r="G82" s="78">
        <v>0</v>
      </c>
      <c r="H82" s="78"/>
      <c r="I82" s="78"/>
      <c r="J82" s="78">
        <v>0</v>
      </c>
      <c r="K82" s="78">
        <v>27000000</v>
      </c>
      <c r="L82" s="78"/>
      <c r="M82" s="78">
        <v>0</v>
      </c>
      <c r="N82" s="78">
        <v>0</v>
      </c>
      <c r="O82" s="78">
        <v>0</v>
      </c>
      <c r="P82" s="78">
        <v>0</v>
      </c>
      <c r="Q82" s="78"/>
      <c r="R82" s="78"/>
      <c r="S82" s="78">
        <v>0</v>
      </c>
      <c r="T82" s="78"/>
      <c r="U82" s="78"/>
      <c r="V82" s="78">
        <v>0</v>
      </c>
      <c r="W82" s="78">
        <v>324000000</v>
      </c>
      <c r="X82" s="78">
        <v>0</v>
      </c>
      <c r="Y82" s="78">
        <v>51600000</v>
      </c>
      <c r="Z82" s="78">
        <v>0</v>
      </c>
      <c r="AA82" s="78">
        <v>30000000</v>
      </c>
      <c r="AB82" s="78">
        <v>244000000</v>
      </c>
      <c r="AC82" s="78">
        <v>62000000</v>
      </c>
      <c r="AD82" s="78">
        <v>0</v>
      </c>
      <c r="AE82" s="78">
        <v>0</v>
      </c>
      <c r="AF82" s="78">
        <v>0</v>
      </c>
      <c r="AG82" s="78">
        <v>0</v>
      </c>
      <c r="AH82" s="78"/>
      <c r="AI82" s="78">
        <v>0</v>
      </c>
      <c r="AJ82" s="78">
        <v>0</v>
      </c>
      <c r="AK82" s="78">
        <v>0</v>
      </c>
    </row>
    <row r="83" s="52" customFormat="1" spans="3:37">
      <c r="D83" s="78">
        <v>0</v>
      </c>
      <c r="E83" s="78">
        <v>69000000</v>
      </c>
      <c r="F83" s="78">
        <v>0</v>
      </c>
      <c r="G83" s="78">
        <v>0</v>
      </c>
      <c r="H83" s="78"/>
      <c r="I83" s="78"/>
      <c r="J83" s="78">
        <v>74000000</v>
      </c>
      <c r="K83" s="78">
        <v>52000000</v>
      </c>
      <c r="L83" s="78"/>
      <c r="M83" s="78">
        <v>0</v>
      </c>
      <c r="N83" s="78">
        <v>0</v>
      </c>
      <c r="O83" s="78">
        <v>0</v>
      </c>
      <c r="P83" s="78">
        <v>0</v>
      </c>
      <c r="Q83" s="78"/>
      <c r="R83" s="78"/>
      <c r="S83" s="78">
        <v>8000000</v>
      </c>
      <c r="T83" s="78"/>
      <c r="U83" s="78"/>
      <c r="V83" s="78">
        <v>0</v>
      </c>
      <c r="W83" s="78">
        <v>77100000</v>
      </c>
      <c r="X83" s="78">
        <v>90000000</v>
      </c>
      <c r="Y83" s="78">
        <v>5700000</v>
      </c>
      <c r="Z83" s="78">
        <v>600000</v>
      </c>
      <c r="AA83" s="78">
        <v>0</v>
      </c>
      <c r="AB83" s="78">
        <v>12900000</v>
      </c>
      <c r="AC83" s="78">
        <v>14000000</v>
      </c>
      <c r="AD83" s="78">
        <v>0</v>
      </c>
      <c r="AE83" s="78">
        <v>0</v>
      </c>
      <c r="AF83" s="78">
        <v>0</v>
      </c>
      <c r="AG83" s="78">
        <v>0</v>
      </c>
      <c r="AH83" s="78"/>
      <c r="AI83" s="78">
        <v>90000000</v>
      </c>
      <c r="AJ83" s="78">
        <v>0</v>
      </c>
      <c r="AK83" s="78">
        <v>0</v>
      </c>
    </row>
    <row r="84" s="52" customFormat="1"/>
    <row r="91" spans="3:37">
      <c r="H91" s="52"/>
      <c r="I91" s="52"/>
      <c r="J91" s="52"/>
      <c r="K91" s="52"/>
      <c r="L91" s="52"/>
    </row>
    <row r="92" spans="3:37">
      <c r="D92" s="52"/>
      <c r="H92" s="52"/>
      <c r="I92" s="52"/>
      <c r="J92" s="52"/>
      <c r="K92" s="52"/>
      <c r="L92" s="52"/>
    </row>
    <row r="93" spans="3:37">
      <c r="C93" s="52"/>
      <c r="D93" s="52"/>
      <c r="F93" s="52"/>
      <c r="H93" s="52"/>
      <c r="I93" s="52"/>
      <c r="J93" s="52"/>
      <c r="K93" s="52"/>
      <c r="L93" s="52"/>
    </row>
    <row r="94" spans="3:37">
      <c r="C94" s="52"/>
      <c r="D94" s="52"/>
      <c r="H94" s="52"/>
      <c r="I94" s="52"/>
      <c r="J94" s="52"/>
      <c r="K94" s="52"/>
      <c r="L94" s="52"/>
    </row>
    <row r="95" spans="3:37">
      <c r="C95" s="52"/>
      <c r="D95" s="52"/>
      <c r="F95" s="52"/>
      <c r="H95" s="52"/>
      <c r="I95" s="52"/>
      <c r="J95" s="52"/>
      <c r="K95" s="52"/>
      <c r="L95" s="52"/>
    </row>
    <row r="96" spans="3:37">
      <c r="C96" s="52"/>
      <c r="D96" s="52"/>
      <c r="H96" s="52"/>
      <c r="I96" s="52"/>
      <c r="J96" s="52"/>
      <c r="K96" s="52"/>
      <c r="L96" s="52"/>
    </row>
    <row r="97" spans="3:29">
      <c r="C97" s="52"/>
      <c r="D97" s="52"/>
      <c r="F97" s="52"/>
      <c r="H97" s="52"/>
      <c r="I97" s="52"/>
      <c r="J97" s="52"/>
      <c r="K97" s="52"/>
      <c r="L97" s="52"/>
    </row>
    <row r="98" spans="3:29">
      <c r="C98" s="52"/>
      <c r="D98" s="52"/>
      <c r="H98" s="52"/>
      <c r="I98" s="52"/>
      <c r="J98" s="52"/>
      <c r="K98" s="52"/>
      <c r="L98" s="52"/>
    </row>
    <row r="99" spans="3:29">
      <c r="C99" s="52"/>
      <c r="F99" s="52"/>
    </row>
    <row r="100" spans="3:29">
      <c r="C100" s="52"/>
      <c r="D100" s="52"/>
    </row>
    <row r="101" spans="3:29">
      <c r="C101" s="52"/>
      <c r="D101" s="79"/>
      <c r="E101" s="79"/>
      <c r="F101" s="79"/>
      <c r="G101" s="79"/>
    </row>
    <row r="102" spans="3:29">
      <c r="C102" s="52"/>
      <c r="D102" t="s">
        <v>114</v>
      </c>
      <c r="M102" s="52"/>
      <c r="N102" t="s">
        <v>114</v>
      </c>
      <c r="Y102" s="52"/>
      <c r="Z102" t="s">
        <v>114</v>
      </c>
    </row>
    <row r="103" spans="3:29">
      <c r="C103" s="52" t="s">
        <v>116</v>
      </c>
      <c r="D103" s="79" t="s">
        <v>64</v>
      </c>
      <c r="E103" s="79" t="s">
        <v>65</v>
      </c>
      <c r="F103" s="79" t="s">
        <v>11</v>
      </c>
      <c r="G103" s="79" t="s">
        <v>25</v>
      </c>
      <c r="L103" t="s">
        <v>41</v>
      </c>
      <c r="M103" s="52" t="s">
        <v>116</v>
      </c>
      <c r="N103" s="79" t="s">
        <v>64</v>
      </c>
      <c r="O103" s="79" t="s">
        <v>65</v>
      </c>
      <c r="P103" s="79" t="s">
        <v>11</v>
      </c>
      <c r="Q103" s="79" t="s">
        <v>25</v>
      </c>
      <c r="X103" t="s">
        <v>41</v>
      </c>
      <c r="Y103" s="52" t="s">
        <v>116</v>
      </c>
      <c r="Z103" s="79" t="s">
        <v>64</v>
      </c>
      <c r="AA103" s="79" t="s">
        <v>65</v>
      </c>
      <c r="AB103" s="79" t="s">
        <v>11</v>
      </c>
      <c r="AC103" s="79" t="s">
        <v>25</v>
      </c>
    </row>
    <row r="104" spans="3:29">
      <c r="C104" s="52" t="s">
        <v>185</v>
      </c>
      <c r="D104" s="79" t="s">
        <v>186</v>
      </c>
      <c r="E104" s="79">
        <v>7.11384396954065</v>
      </c>
      <c r="F104" s="80">
        <v>5.40179852616065</v>
      </c>
      <c r="G104" s="80">
        <v>8.85540744288872</v>
      </c>
      <c r="L104">
        <v>2050</v>
      </c>
      <c r="M104" s="52" t="s">
        <v>185</v>
      </c>
      <c r="N104" s="79" t="s">
        <v>186</v>
      </c>
      <c r="O104" s="79">
        <f>E104*0.313</f>
        <v>2.22663316246622</v>
      </c>
      <c r="P104" s="79">
        <f>F104*0.313</f>
        <v>1.69076293868828</v>
      </c>
      <c r="Q104" s="79">
        <f>G104*0.313</f>
        <v>2.77174252962417</v>
      </c>
      <c r="X104">
        <v>0</v>
      </c>
      <c r="Y104" s="52" t="s">
        <v>185</v>
      </c>
      <c r="Z104" s="79" t="s">
        <v>186</v>
      </c>
      <c r="AA104" s="79">
        <v>5</v>
      </c>
      <c r="AB104" s="79">
        <v>5</v>
      </c>
      <c r="AC104" s="79">
        <v>5</v>
      </c>
    </row>
    <row r="105" spans="3:29">
      <c r="C105" s="52" t="s">
        <v>185</v>
      </c>
      <c r="D105" s="79" t="s">
        <v>187</v>
      </c>
      <c r="E105" s="79">
        <v>7.11384396954065</v>
      </c>
      <c r="F105" s="80">
        <v>5.40179852616065</v>
      </c>
      <c r="G105" s="80">
        <v>8.85540744288872</v>
      </c>
      <c r="L105">
        <v>2050</v>
      </c>
      <c r="M105" s="52" t="s">
        <v>185</v>
      </c>
      <c r="N105" s="79" t="s">
        <v>187</v>
      </c>
      <c r="O105" s="79">
        <f t="shared" ref="O105:O124" si="13">E105*0.313</f>
        <v>2.22663316246622</v>
      </c>
      <c r="P105" s="79">
        <f t="shared" ref="P105:P124" si="14">F105*0.313</f>
        <v>1.69076293868828</v>
      </c>
      <c r="Q105" s="79">
        <f t="shared" ref="Q105:Q124" si="15">G105*0.313</f>
        <v>2.77174252962417</v>
      </c>
      <c r="X105">
        <v>0</v>
      </c>
      <c r="Y105" s="52" t="s">
        <v>185</v>
      </c>
      <c r="Z105" s="79" t="s">
        <v>187</v>
      </c>
      <c r="AA105" s="79">
        <v>5</v>
      </c>
      <c r="AB105" s="79">
        <v>5</v>
      </c>
      <c r="AC105" s="79">
        <v>5</v>
      </c>
    </row>
    <row r="106" spans="3:29">
      <c r="C106" s="52" t="s">
        <v>185</v>
      </c>
      <c r="D106" s="79" t="s">
        <v>188</v>
      </c>
      <c r="E106" s="79">
        <v>7.62975445836404</v>
      </c>
      <c r="F106" s="80">
        <v>5.79354797347089</v>
      </c>
      <c r="G106" s="80">
        <v>9.49761967575534</v>
      </c>
      <c r="L106">
        <v>2050</v>
      </c>
      <c r="M106" s="52" t="s">
        <v>185</v>
      </c>
      <c r="N106" s="79" t="s">
        <v>188</v>
      </c>
      <c r="O106" s="79">
        <f t="shared" si="13"/>
        <v>2.38811314546794</v>
      </c>
      <c r="P106" s="79">
        <f t="shared" si="14"/>
        <v>1.81338051569639</v>
      </c>
      <c r="Q106" s="79">
        <f t="shared" si="15"/>
        <v>2.97275495851142</v>
      </c>
      <c r="X106">
        <v>0</v>
      </c>
      <c r="Y106" s="52" t="s">
        <v>185</v>
      </c>
      <c r="Z106" s="79" t="s">
        <v>188</v>
      </c>
      <c r="AA106" s="79">
        <v>5</v>
      </c>
      <c r="AB106" s="79">
        <v>5</v>
      </c>
      <c r="AC106" s="79">
        <v>5</v>
      </c>
    </row>
    <row r="107" spans="3:29">
      <c r="C107" s="52" t="s">
        <v>185</v>
      </c>
      <c r="D107" s="79" t="s">
        <v>189</v>
      </c>
      <c r="E107" s="79">
        <v>7.47097081798084</v>
      </c>
      <c r="F107" s="80">
        <v>5.67297781871776</v>
      </c>
      <c r="G107" s="80">
        <v>9.29996366985999</v>
      </c>
      <c r="L107">
        <v>2050</v>
      </c>
      <c r="M107" s="52" t="s">
        <v>185</v>
      </c>
      <c r="N107" s="79" t="s">
        <v>189</v>
      </c>
      <c r="O107" s="79">
        <f t="shared" si="13"/>
        <v>2.338413866028</v>
      </c>
      <c r="P107" s="79">
        <f t="shared" si="14"/>
        <v>1.77564205725866</v>
      </c>
      <c r="Q107" s="79">
        <f t="shared" si="15"/>
        <v>2.91088862866618</v>
      </c>
      <c r="X107">
        <v>0</v>
      </c>
      <c r="Y107" s="52" t="s">
        <v>185</v>
      </c>
      <c r="Z107" s="79" t="s">
        <v>189</v>
      </c>
      <c r="AA107" s="79">
        <v>5</v>
      </c>
      <c r="AB107" s="79">
        <v>5</v>
      </c>
      <c r="AC107" s="79">
        <v>5</v>
      </c>
    </row>
    <row r="108" spans="3:29">
      <c r="C108" s="52" t="s">
        <v>185</v>
      </c>
      <c r="D108" s="79" t="s">
        <v>190</v>
      </c>
      <c r="E108" s="79">
        <v>7.51643520019651</v>
      </c>
      <c r="F108" s="80">
        <v>5.70750058953574</v>
      </c>
      <c r="G108" s="80">
        <v>9.35655836403832</v>
      </c>
      <c r="L108">
        <v>2050</v>
      </c>
      <c r="M108" s="52" t="s">
        <v>185</v>
      </c>
      <c r="N108" s="79" t="s">
        <v>190</v>
      </c>
      <c r="O108" s="79">
        <f t="shared" si="13"/>
        <v>2.35264421766151</v>
      </c>
      <c r="P108" s="79">
        <f t="shared" si="14"/>
        <v>1.78644768452469</v>
      </c>
      <c r="Q108" s="79">
        <f t="shared" si="15"/>
        <v>2.92860276794399</v>
      </c>
      <c r="X108">
        <v>0</v>
      </c>
      <c r="Y108" s="52" t="s">
        <v>185</v>
      </c>
      <c r="Z108" s="79" t="s">
        <v>190</v>
      </c>
      <c r="AA108" s="79">
        <v>5</v>
      </c>
      <c r="AB108" s="79">
        <v>5</v>
      </c>
      <c r="AC108" s="79">
        <v>5</v>
      </c>
    </row>
    <row r="109" spans="3:29">
      <c r="C109" s="52" t="s">
        <v>185</v>
      </c>
      <c r="D109" s="79" t="s">
        <v>191</v>
      </c>
      <c r="E109" s="79">
        <v>7.55036263817244</v>
      </c>
      <c r="F109" s="80">
        <v>5.73326293294031</v>
      </c>
      <c r="G109" s="80">
        <v>9.39879167280766</v>
      </c>
      <c r="L109">
        <v>2050</v>
      </c>
      <c r="M109" s="52" t="s">
        <v>185</v>
      </c>
      <c r="N109" s="79" t="s">
        <v>191</v>
      </c>
      <c r="O109" s="79">
        <f t="shared" si="13"/>
        <v>2.36326350574797</v>
      </c>
      <c r="P109" s="79">
        <f t="shared" si="14"/>
        <v>1.79451129801032</v>
      </c>
      <c r="Q109" s="79">
        <f t="shared" si="15"/>
        <v>2.9418217935888</v>
      </c>
      <c r="X109">
        <v>0</v>
      </c>
      <c r="Y109" s="52" t="s">
        <v>185</v>
      </c>
      <c r="Z109" s="79" t="s">
        <v>191</v>
      </c>
      <c r="AA109" s="79">
        <v>5</v>
      </c>
      <c r="AB109" s="79">
        <v>5</v>
      </c>
      <c r="AC109" s="79">
        <v>5</v>
      </c>
    </row>
    <row r="110" spans="3:29">
      <c r="C110" s="52" t="s">
        <v>185</v>
      </c>
      <c r="D110" s="79" t="s">
        <v>192</v>
      </c>
      <c r="E110" s="79">
        <v>7.62975445836404</v>
      </c>
      <c r="F110" s="80">
        <v>5.79354797347089</v>
      </c>
      <c r="G110" s="80">
        <v>9.49761967575534</v>
      </c>
      <c r="L110">
        <v>2050</v>
      </c>
      <c r="M110" s="52" t="s">
        <v>185</v>
      </c>
      <c r="N110" s="79" t="s">
        <v>192</v>
      </c>
      <c r="O110" s="79">
        <f t="shared" si="13"/>
        <v>2.38811314546794</v>
      </c>
      <c r="P110" s="79">
        <f t="shared" si="14"/>
        <v>1.81338051569639</v>
      </c>
      <c r="Q110" s="79">
        <f t="shared" si="15"/>
        <v>2.97275495851142</v>
      </c>
      <c r="X110">
        <v>0</v>
      </c>
      <c r="Y110" s="52" t="s">
        <v>185</v>
      </c>
      <c r="Z110" s="79" t="s">
        <v>192</v>
      </c>
      <c r="AA110" s="79">
        <v>5</v>
      </c>
      <c r="AB110" s="79">
        <v>5</v>
      </c>
      <c r="AC110" s="79">
        <v>5</v>
      </c>
    </row>
    <row r="111" spans="3:29">
      <c r="C111" s="52" t="s">
        <v>185</v>
      </c>
      <c r="D111" s="79" t="s">
        <v>193</v>
      </c>
      <c r="E111" s="79">
        <v>4.18384600835176</v>
      </c>
      <c r="F111" s="80">
        <v>3.17694532056006</v>
      </c>
      <c r="G111" s="80">
        <v>5.20810707442889</v>
      </c>
      <c r="L111">
        <v>2050</v>
      </c>
      <c r="M111" s="52" t="s">
        <v>185</v>
      </c>
      <c r="N111" s="79" t="s">
        <v>193</v>
      </c>
      <c r="O111" s="79">
        <f t="shared" si="13"/>
        <v>1.3095438006141</v>
      </c>
      <c r="P111" s="79">
        <f t="shared" si="14"/>
        <v>0.994383885335299</v>
      </c>
      <c r="Q111" s="79">
        <f t="shared" si="15"/>
        <v>1.63013751429624</v>
      </c>
      <c r="X111">
        <v>0</v>
      </c>
      <c r="Y111" s="52" t="s">
        <v>185</v>
      </c>
      <c r="Z111" s="79" t="s">
        <v>193</v>
      </c>
      <c r="AA111" s="79">
        <v>5</v>
      </c>
      <c r="AB111" s="79">
        <v>5</v>
      </c>
      <c r="AC111" s="79">
        <v>5</v>
      </c>
    </row>
    <row r="112" spans="3:29">
      <c r="C112" s="52" t="s">
        <v>185</v>
      </c>
      <c r="D112" s="79" t="s">
        <v>194</v>
      </c>
      <c r="E112" s="79">
        <v>4.18384600835176</v>
      </c>
      <c r="F112" s="80">
        <v>3.17694532056006</v>
      </c>
      <c r="G112" s="80">
        <v>5.20810707442889</v>
      </c>
      <c r="L112">
        <v>2050</v>
      </c>
      <c r="M112" s="52" t="s">
        <v>185</v>
      </c>
      <c r="N112" s="79" t="s">
        <v>194</v>
      </c>
      <c r="O112" s="79">
        <f t="shared" si="13"/>
        <v>1.3095438006141</v>
      </c>
      <c r="P112" s="79">
        <f t="shared" si="14"/>
        <v>0.994383885335299</v>
      </c>
      <c r="Q112" s="79">
        <f t="shared" si="15"/>
        <v>1.63013751429624</v>
      </c>
      <c r="X112">
        <v>0</v>
      </c>
      <c r="Y112" s="52" t="s">
        <v>185</v>
      </c>
      <c r="Z112" s="79" t="s">
        <v>194</v>
      </c>
      <c r="AA112" s="79">
        <v>5</v>
      </c>
      <c r="AB112" s="79">
        <v>5</v>
      </c>
      <c r="AC112" s="79">
        <v>5</v>
      </c>
    </row>
    <row r="113" spans="3:29">
      <c r="C113" s="52" t="s">
        <v>185</v>
      </c>
      <c r="D113" s="79" t="s">
        <v>195</v>
      </c>
      <c r="E113" s="79">
        <v>4.18384600835176</v>
      </c>
      <c r="F113" s="80">
        <v>3.17694532056006</v>
      </c>
      <c r="G113" s="80">
        <v>5.20810707442889</v>
      </c>
      <c r="L113">
        <v>2050</v>
      </c>
      <c r="M113" s="52" t="s">
        <v>185</v>
      </c>
      <c r="N113" s="79" t="s">
        <v>195</v>
      </c>
      <c r="O113" s="79">
        <f t="shared" si="13"/>
        <v>1.3095438006141</v>
      </c>
      <c r="P113" s="79">
        <f t="shared" si="14"/>
        <v>0.994383885335299</v>
      </c>
      <c r="Q113" s="79">
        <f t="shared" si="15"/>
        <v>1.63013751429624</v>
      </c>
      <c r="X113">
        <v>0</v>
      </c>
      <c r="Y113" s="52" t="s">
        <v>185</v>
      </c>
      <c r="Z113" s="79" t="s">
        <v>195</v>
      </c>
      <c r="AA113" s="79">
        <v>5</v>
      </c>
      <c r="AB113" s="79">
        <v>5</v>
      </c>
      <c r="AC113" s="79">
        <v>5</v>
      </c>
    </row>
    <row r="114" spans="3:29">
      <c r="C114" s="52" t="s">
        <v>185</v>
      </c>
      <c r="D114" s="79" t="s">
        <v>196</v>
      </c>
      <c r="E114" s="79">
        <v>4.18384600835176</v>
      </c>
      <c r="F114" s="80">
        <v>3.17694532056006</v>
      </c>
      <c r="G114" s="80">
        <v>5.20810707442889</v>
      </c>
      <c r="L114">
        <v>2050</v>
      </c>
      <c r="M114" s="52" t="s">
        <v>185</v>
      </c>
      <c r="N114" s="79" t="s">
        <v>196</v>
      </c>
      <c r="O114" s="79">
        <f t="shared" si="13"/>
        <v>1.3095438006141</v>
      </c>
      <c r="P114" s="79">
        <f t="shared" si="14"/>
        <v>0.994383885335299</v>
      </c>
      <c r="Q114" s="79">
        <f t="shared" si="15"/>
        <v>1.63013751429624</v>
      </c>
      <c r="X114">
        <v>0</v>
      </c>
      <c r="Y114" s="52" t="s">
        <v>185</v>
      </c>
      <c r="Z114" s="79" t="s">
        <v>196</v>
      </c>
      <c r="AA114" s="79">
        <v>5</v>
      </c>
      <c r="AB114" s="79">
        <v>5</v>
      </c>
      <c r="AC114" s="79">
        <v>5</v>
      </c>
    </row>
    <row r="115" spans="3:29">
      <c r="C115" s="52" t="s">
        <v>185</v>
      </c>
      <c r="D115" s="79" t="s">
        <v>197</v>
      </c>
      <c r="E115" s="79">
        <v>4.18384600835176</v>
      </c>
      <c r="F115" s="80">
        <v>3.17694532056006</v>
      </c>
      <c r="G115" s="80">
        <v>5.20810707442889</v>
      </c>
      <c r="L115">
        <v>2050</v>
      </c>
      <c r="M115" s="52" t="s">
        <v>185</v>
      </c>
      <c r="N115" s="79" t="s">
        <v>197</v>
      </c>
      <c r="O115" s="79">
        <f t="shared" si="13"/>
        <v>1.3095438006141</v>
      </c>
      <c r="P115" s="79">
        <f t="shared" si="14"/>
        <v>0.994383885335299</v>
      </c>
      <c r="Q115" s="79">
        <f t="shared" si="15"/>
        <v>1.63013751429624</v>
      </c>
      <c r="X115">
        <v>0</v>
      </c>
      <c r="Y115" s="52" t="s">
        <v>185</v>
      </c>
      <c r="Z115" s="79" t="s">
        <v>197</v>
      </c>
      <c r="AA115" s="79">
        <v>5</v>
      </c>
      <c r="AB115" s="79">
        <v>5</v>
      </c>
      <c r="AC115" s="79">
        <v>5</v>
      </c>
    </row>
    <row r="116" spans="3:29">
      <c r="C116" s="52" t="s">
        <v>185</v>
      </c>
      <c r="D116" s="79" t="s">
        <v>198</v>
      </c>
      <c r="E116" s="79">
        <v>4.18384600835176</v>
      </c>
      <c r="F116" s="80">
        <v>3.17694532056006</v>
      </c>
      <c r="G116" s="80">
        <v>5.20810707442889</v>
      </c>
      <c r="L116">
        <v>2050</v>
      </c>
      <c r="M116" s="52" t="s">
        <v>185</v>
      </c>
      <c r="N116" s="79" t="s">
        <v>198</v>
      </c>
      <c r="O116" s="79">
        <f t="shared" si="13"/>
        <v>1.3095438006141</v>
      </c>
      <c r="P116" s="79">
        <f t="shared" si="14"/>
        <v>0.994383885335299</v>
      </c>
      <c r="Q116" s="79">
        <f t="shared" si="15"/>
        <v>1.63013751429624</v>
      </c>
      <c r="X116">
        <v>0</v>
      </c>
      <c r="Y116" s="52" t="s">
        <v>185</v>
      </c>
      <c r="Z116" s="79" t="s">
        <v>198</v>
      </c>
      <c r="AA116" s="79">
        <v>5</v>
      </c>
      <c r="AB116" s="79">
        <v>5</v>
      </c>
      <c r="AC116" s="79">
        <v>5</v>
      </c>
    </row>
    <row r="117" spans="3:29">
      <c r="C117" s="52" t="s">
        <v>185</v>
      </c>
      <c r="D117" s="79" t="s">
        <v>199</v>
      </c>
      <c r="E117" s="79">
        <v>4.18384600835176</v>
      </c>
      <c r="F117" s="80">
        <v>3.17694532056006</v>
      </c>
      <c r="G117" s="80">
        <v>5.20810707442889</v>
      </c>
      <c r="L117">
        <v>2050</v>
      </c>
      <c r="M117" s="52" t="s">
        <v>185</v>
      </c>
      <c r="N117" s="79" t="s">
        <v>199</v>
      </c>
      <c r="O117" s="79">
        <f t="shared" si="13"/>
        <v>1.3095438006141</v>
      </c>
      <c r="P117" s="79">
        <f t="shared" si="14"/>
        <v>0.994383885335299</v>
      </c>
      <c r="Q117" s="79">
        <f t="shared" si="15"/>
        <v>1.63013751429624</v>
      </c>
      <c r="X117">
        <v>0</v>
      </c>
      <c r="Y117" s="52" t="s">
        <v>185</v>
      </c>
      <c r="Z117" s="79" t="s">
        <v>199</v>
      </c>
      <c r="AA117" s="79">
        <v>5</v>
      </c>
      <c r="AB117" s="79">
        <v>5</v>
      </c>
      <c r="AC117" s="79">
        <v>5</v>
      </c>
    </row>
    <row r="118" spans="3:29">
      <c r="C118" s="52" t="s">
        <v>185</v>
      </c>
      <c r="D118" s="79" t="s">
        <v>200</v>
      </c>
      <c r="E118" s="79">
        <v>3.56556266273643</v>
      </c>
      <c r="F118" s="80">
        <v>2.70746042741341</v>
      </c>
      <c r="G118" s="80">
        <v>4.4384597641857</v>
      </c>
      <c r="L118">
        <v>2050</v>
      </c>
      <c r="M118" s="52" t="s">
        <v>185</v>
      </c>
      <c r="N118" s="79" t="s">
        <v>200</v>
      </c>
      <c r="O118" s="79">
        <f t="shared" si="13"/>
        <v>1.1160211134365</v>
      </c>
      <c r="P118" s="79">
        <f t="shared" si="14"/>
        <v>0.847435113780397</v>
      </c>
      <c r="Q118" s="79">
        <f t="shared" si="15"/>
        <v>1.38923790619012</v>
      </c>
      <c r="X118">
        <v>0</v>
      </c>
      <c r="Y118" s="52" t="s">
        <v>185</v>
      </c>
      <c r="Z118" s="79" t="s">
        <v>200</v>
      </c>
      <c r="AA118" s="79">
        <v>5</v>
      </c>
      <c r="AB118" s="79">
        <v>5</v>
      </c>
      <c r="AC118" s="79">
        <v>5</v>
      </c>
    </row>
    <row r="119" spans="3:29">
      <c r="C119" s="52" t="s">
        <v>185</v>
      </c>
      <c r="D119" s="79" t="s">
        <v>201</v>
      </c>
      <c r="E119" s="79">
        <v>3.60087708179809</v>
      </c>
      <c r="F119" s="80">
        <v>2.73427597641857</v>
      </c>
      <c r="G119" s="80">
        <v>4.48241960206338</v>
      </c>
      <c r="L119">
        <v>2050</v>
      </c>
      <c r="M119" s="52" t="s">
        <v>185</v>
      </c>
      <c r="N119" s="79" t="s">
        <v>201</v>
      </c>
      <c r="O119" s="79">
        <f t="shared" si="13"/>
        <v>1.1270745266028</v>
      </c>
      <c r="P119" s="79">
        <f t="shared" si="14"/>
        <v>0.855828380619012</v>
      </c>
      <c r="Q119" s="79">
        <f t="shared" si="15"/>
        <v>1.40299733544584</v>
      </c>
      <c r="X119">
        <v>0</v>
      </c>
      <c r="Y119" s="52" t="s">
        <v>185</v>
      </c>
      <c r="Z119" s="79" t="s">
        <v>201</v>
      </c>
      <c r="AA119" s="79">
        <v>5</v>
      </c>
      <c r="AB119" s="79">
        <v>5</v>
      </c>
      <c r="AC119" s="79">
        <v>5</v>
      </c>
    </row>
    <row r="120" spans="3:29">
      <c r="C120" s="52" t="s">
        <v>185</v>
      </c>
      <c r="D120" s="79" t="s">
        <v>202</v>
      </c>
      <c r="E120" s="79">
        <v>3.56556266273643</v>
      </c>
      <c r="F120" s="80">
        <v>2.70746042741341</v>
      </c>
      <c r="G120" s="80">
        <v>4.4384597641857</v>
      </c>
      <c r="L120">
        <v>2050</v>
      </c>
      <c r="M120" s="52" t="s">
        <v>185</v>
      </c>
      <c r="N120" s="79" t="s">
        <v>202</v>
      </c>
      <c r="O120" s="79">
        <f t="shared" si="13"/>
        <v>1.1160211134365</v>
      </c>
      <c r="P120" s="79">
        <f t="shared" si="14"/>
        <v>0.847435113780397</v>
      </c>
      <c r="Q120" s="79">
        <f t="shared" si="15"/>
        <v>1.38923790619012</v>
      </c>
      <c r="X120">
        <v>0</v>
      </c>
      <c r="Y120" s="52" t="s">
        <v>185</v>
      </c>
      <c r="Z120" s="79" t="s">
        <v>202</v>
      </c>
      <c r="AA120" s="79">
        <v>5</v>
      </c>
      <c r="AB120" s="79">
        <v>5</v>
      </c>
      <c r="AC120" s="79">
        <v>5</v>
      </c>
    </row>
    <row r="121" spans="3:29">
      <c r="C121" s="52" t="s">
        <v>185</v>
      </c>
      <c r="D121" s="79" t="s">
        <v>203</v>
      </c>
      <c r="E121" s="79">
        <v>3.56645369688037</v>
      </c>
      <c r="F121" s="80">
        <v>2.70813706705969</v>
      </c>
      <c r="G121" s="80">
        <v>4.43956890198968</v>
      </c>
      <c r="L121">
        <v>2050</v>
      </c>
      <c r="M121" s="52" t="s">
        <v>185</v>
      </c>
      <c r="N121" s="79" t="s">
        <v>203</v>
      </c>
      <c r="O121" s="79">
        <f t="shared" si="13"/>
        <v>1.11630000712356</v>
      </c>
      <c r="P121" s="79">
        <f t="shared" si="14"/>
        <v>0.847646901989683</v>
      </c>
      <c r="Q121" s="79">
        <f t="shared" si="15"/>
        <v>1.38958506632277</v>
      </c>
      <c r="X121">
        <v>0</v>
      </c>
      <c r="Y121" s="52" t="s">
        <v>185</v>
      </c>
      <c r="Z121" s="79" t="s">
        <v>203</v>
      </c>
      <c r="AA121" s="79">
        <v>5</v>
      </c>
      <c r="AB121" s="79">
        <v>5</v>
      </c>
      <c r="AC121" s="79">
        <v>5</v>
      </c>
    </row>
    <row r="122" spans="3:29">
      <c r="C122" s="52" t="s">
        <v>185</v>
      </c>
      <c r="D122" s="79" t="s">
        <v>204</v>
      </c>
      <c r="E122" s="79">
        <v>3.56585961680177</v>
      </c>
      <c r="F122" s="80">
        <v>2.70768592483419</v>
      </c>
      <c r="G122" s="80">
        <v>4.43882940309506</v>
      </c>
      <c r="L122">
        <v>2050</v>
      </c>
      <c r="M122" s="52" t="s">
        <v>185</v>
      </c>
      <c r="N122" s="79" t="s">
        <v>204</v>
      </c>
      <c r="O122" s="79">
        <f t="shared" si="13"/>
        <v>1.11611406005895</v>
      </c>
      <c r="P122" s="79">
        <f t="shared" si="14"/>
        <v>0.847505694473101</v>
      </c>
      <c r="Q122" s="79">
        <f t="shared" si="15"/>
        <v>1.38935360316875</v>
      </c>
      <c r="X122">
        <v>0</v>
      </c>
      <c r="Y122" s="52" t="s">
        <v>185</v>
      </c>
      <c r="Z122" s="79" t="s">
        <v>204</v>
      </c>
      <c r="AA122" s="79">
        <v>5</v>
      </c>
      <c r="AB122" s="79">
        <v>5</v>
      </c>
      <c r="AC122" s="79">
        <v>5</v>
      </c>
    </row>
    <row r="123" spans="3:29">
      <c r="C123" s="52" t="s">
        <v>185</v>
      </c>
      <c r="D123" s="79" t="s">
        <v>205</v>
      </c>
      <c r="E123" s="79">
        <v>3.56556266273643</v>
      </c>
      <c r="F123" s="80">
        <v>2.70746042741341</v>
      </c>
      <c r="G123" s="80">
        <v>4.4384597641857</v>
      </c>
      <c r="L123">
        <v>2050</v>
      </c>
      <c r="M123" s="52" t="s">
        <v>185</v>
      </c>
      <c r="N123" s="79" t="s">
        <v>205</v>
      </c>
      <c r="O123" s="79">
        <f t="shared" si="13"/>
        <v>1.1160211134365</v>
      </c>
      <c r="P123" s="79">
        <f t="shared" si="14"/>
        <v>0.847435113780397</v>
      </c>
      <c r="Q123" s="79">
        <f t="shared" si="15"/>
        <v>1.38923790619012</v>
      </c>
      <c r="X123">
        <v>0</v>
      </c>
      <c r="Y123" s="52" t="s">
        <v>185</v>
      </c>
      <c r="Z123" s="79" t="s">
        <v>205</v>
      </c>
      <c r="AA123" s="79">
        <v>5</v>
      </c>
      <c r="AB123" s="79">
        <v>5</v>
      </c>
      <c r="AC123" s="79">
        <v>5</v>
      </c>
    </row>
    <row r="124" spans="3:29">
      <c r="C124" s="52" t="s">
        <v>185</v>
      </c>
      <c r="D124" s="81" t="s">
        <v>206</v>
      </c>
      <c r="E124" s="79">
        <v>3.56496890198968</v>
      </c>
      <c r="F124" s="80">
        <v>2.70700957995578</v>
      </c>
      <c r="G124" s="80">
        <v>4.43772063375092</v>
      </c>
      <c r="L124">
        <v>2050</v>
      </c>
      <c r="M124" s="52" t="s">
        <v>185</v>
      </c>
      <c r="N124" s="81" t="s">
        <v>206</v>
      </c>
      <c r="O124" s="79">
        <f t="shared" si="13"/>
        <v>1.11583526632277</v>
      </c>
      <c r="P124" s="79">
        <f t="shared" si="14"/>
        <v>0.847293998526159</v>
      </c>
      <c r="Q124" s="79">
        <f t="shared" si="15"/>
        <v>1.38900655836404</v>
      </c>
      <c r="X124">
        <v>0</v>
      </c>
      <c r="Y124" s="52" t="s">
        <v>185</v>
      </c>
      <c r="Z124" s="79" t="s">
        <v>206</v>
      </c>
      <c r="AA124" s="79">
        <v>5</v>
      </c>
      <c r="AB124" s="79">
        <v>5</v>
      </c>
      <c r="AC124" s="79">
        <v>5</v>
      </c>
    </row>
    <row r="132" spans="3:29">
      <c r="C132" s="52"/>
      <c r="D132" t="s">
        <v>114</v>
      </c>
      <c r="M132" s="52"/>
      <c r="Y132" s="52"/>
    </row>
    <row r="133" spans="3:29">
      <c r="C133" s="52" t="s">
        <v>116</v>
      </c>
      <c r="D133" s="79" t="s">
        <v>64</v>
      </c>
      <c r="E133" s="79" t="s">
        <v>65</v>
      </c>
      <c r="F133" s="79"/>
      <c r="G133" s="79"/>
      <c r="M133" s="52"/>
      <c r="N133" s="52"/>
      <c r="O133" s="52"/>
      <c r="P133" s="52"/>
      <c r="Q133" s="52"/>
      <c r="Y133" s="52"/>
      <c r="Z133" s="52"/>
      <c r="AA133" s="52"/>
      <c r="AB133" s="52"/>
      <c r="AC133" s="52"/>
    </row>
    <row r="134" spans="3:29">
      <c r="C134" s="52" t="s">
        <v>207</v>
      </c>
      <c r="D134" s="79" t="s">
        <v>186</v>
      </c>
      <c r="E134" s="79">
        <v>0.001</v>
      </c>
      <c r="F134" s="80"/>
      <c r="G134" s="80"/>
      <c r="M134" s="52"/>
      <c r="N134" s="52"/>
      <c r="O134" s="52"/>
      <c r="P134" s="52"/>
      <c r="Q134" s="52"/>
      <c r="Y134" s="52"/>
      <c r="Z134" s="52"/>
      <c r="AA134" s="52"/>
      <c r="AB134" s="52"/>
      <c r="AC134" s="52"/>
    </row>
    <row r="135" spans="3:29">
      <c r="C135" s="52" t="s">
        <v>207</v>
      </c>
      <c r="D135" s="79" t="s">
        <v>187</v>
      </c>
      <c r="E135" s="79">
        <f>E134</f>
        <v>0.001</v>
      </c>
      <c r="F135" s="80"/>
      <c r="G135" s="80"/>
      <c r="M135" s="52"/>
      <c r="N135" s="52"/>
      <c r="O135" s="52"/>
      <c r="P135" s="52"/>
      <c r="Q135" s="52"/>
      <c r="Y135" s="52"/>
      <c r="Z135" s="52"/>
      <c r="AA135" s="52"/>
      <c r="AB135" s="52"/>
      <c r="AC135" s="52"/>
    </row>
    <row r="136" spans="3:29">
      <c r="C136" s="52" t="s">
        <v>207</v>
      </c>
      <c r="D136" s="79" t="s">
        <v>188</v>
      </c>
      <c r="E136" s="79">
        <f t="shared" ref="E136:E154" si="16">E135</f>
        <v>0.001</v>
      </c>
      <c r="F136" s="80"/>
      <c r="G136" s="80"/>
      <c r="M136" s="52"/>
      <c r="N136" s="52"/>
      <c r="O136" s="52"/>
      <c r="P136" s="52"/>
      <c r="Q136" s="52"/>
      <c r="Y136" s="52"/>
      <c r="Z136" s="52"/>
      <c r="AA136" s="52"/>
      <c r="AB136" s="52"/>
      <c r="AC136" s="52"/>
    </row>
    <row r="137" spans="3:29">
      <c r="C137" s="52" t="s">
        <v>207</v>
      </c>
      <c r="D137" s="79" t="s">
        <v>189</v>
      </c>
      <c r="E137" s="79">
        <f t="shared" si="16"/>
        <v>0.001</v>
      </c>
      <c r="F137" s="80"/>
      <c r="G137" s="80"/>
      <c r="M137" s="52"/>
      <c r="N137" s="52"/>
      <c r="O137" s="52"/>
      <c r="P137" s="52"/>
      <c r="Q137" s="52"/>
      <c r="Y137" s="52"/>
      <c r="Z137" s="52"/>
      <c r="AA137" s="52"/>
      <c r="AB137" s="52"/>
      <c r="AC137" s="52"/>
    </row>
    <row r="138" spans="3:29">
      <c r="C138" s="52" t="s">
        <v>207</v>
      </c>
      <c r="D138" s="79" t="s">
        <v>190</v>
      </c>
      <c r="E138" s="79">
        <f t="shared" si="16"/>
        <v>0.001</v>
      </c>
      <c r="F138" s="80"/>
      <c r="G138" s="80"/>
      <c r="M138" s="52"/>
      <c r="N138" s="52"/>
      <c r="O138" s="52"/>
      <c r="P138" s="52"/>
      <c r="Q138" s="52"/>
      <c r="Y138" s="52"/>
      <c r="Z138" s="52"/>
      <c r="AA138" s="52"/>
      <c r="AB138" s="52"/>
      <c r="AC138" s="52"/>
    </row>
    <row r="139" spans="3:29">
      <c r="C139" s="52" t="s">
        <v>207</v>
      </c>
      <c r="D139" s="79" t="s">
        <v>191</v>
      </c>
      <c r="E139" s="79">
        <f t="shared" si="16"/>
        <v>0.001</v>
      </c>
      <c r="F139" s="80"/>
      <c r="G139" s="80"/>
      <c r="M139" s="52"/>
      <c r="N139" s="52"/>
      <c r="O139" s="52"/>
      <c r="P139" s="52"/>
      <c r="Q139" s="52"/>
      <c r="Y139" s="52"/>
      <c r="Z139" s="52"/>
      <c r="AA139" s="52"/>
      <c r="AB139" s="52"/>
      <c r="AC139" s="52"/>
    </row>
    <row r="140" spans="3:29">
      <c r="C140" s="52" t="s">
        <v>207</v>
      </c>
      <c r="D140" s="79" t="s">
        <v>192</v>
      </c>
      <c r="E140" s="79">
        <f t="shared" si="16"/>
        <v>0.001</v>
      </c>
      <c r="F140" s="80"/>
      <c r="G140" s="80"/>
      <c r="M140" s="52"/>
      <c r="N140" s="52"/>
      <c r="O140" s="52"/>
      <c r="P140" s="52"/>
      <c r="Q140" s="52"/>
      <c r="Y140" s="52"/>
      <c r="Z140" s="52"/>
      <c r="AA140" s="52"/>
      <c r="AB140" s="52"/>
      <c r="AC140" s="52"/>
    </row>
    <row r="141" spans="3:29">
      <c r="C141" s="52" t="s">
        <v>207</v>
      </c>
      <c r="D141" s="79" t="s">
        <v>193</v>
      </c>
      <c r="E141" s="79">
        <f t="shared" si="16"/>
        <v>0.001</v>
      </c>
      <c r="F141" s="80"/>
      <c r="G141" s="80"/>
      <c r="M141" s="52"/>
      <c r="N141" s="52"/>
      <c r="O141" s="52"/>
      <c r="P141" s="52"/>
      <c r="Q141" s="52"/>
      <c r="Y141" s="52"/>
      <c r="Z141" s="52"/>
      <c r="AA141" s="52"/>
      <c r="AB141" s="52"/>
      <c r="AC141" s="52"/>
    </row>
    <row r="142" spans="3:29">
      <c r="C142" s="52" t="s">
        <v>207</v>
      </c>
      <c r="D142" s="79" t="s">
        <v>194</v>
      </c>
      <c r="E142" s="79">
        <f t="shared" si="16"/>
        <v>0.001</v>
      </c>
      <c r="F142" s="80"/>
      <c r="G142" s="80"/>
      <c r="M142" s="52"/>
      <c r="N142" s="52"/>
      <c r="O142" s="52"/>
      <c r="P142" s="52"/>
      <c r="Q142" s="52"/>
      <c r="Y142" s="52"/>
      <c r="Z142" s="52"/>
      <c r="AA142" s="52"/>
      <c r="AB142" s="52"/>
      <c r="AC142" s="52"/>
    </row>
    <row r="143" spans="3:29">
      <c r="C143" s="52" t="s">
        <v>207</v>
      </c>
      <c r="D143" s="79" t="s">
        <v>195</v>
      </c>
      <c r="E143" s="79">
        <f t="shared" si="16"/>
        <v>0.001</v>
      </c>
      <c r="F143" s="80"/>
      <c r="G143" s="80"/>
      <c r="M143" s="52"/>
      <c r="N143" s="52"/>
      <c r="O143" s="52"/>
      <c r="P143" s="52"/>
      <c r="Q143" s="52"/>
      <c r="Y143" s="52"/>
      <c r="Z143" s="52"/>
      <c r="AA143" s="52"/>
      <c r="AB143" s="52"/>
      <c r="AC143" s="52"/>
    </row>
    <row r="144" spans="3:29">
      <c r="C144" s="52" t="s">
        <v>207</v>
      </c>
      <c r="D144" s="79" t="s">
        <v>196</v>
      </c>
      <c r="E144" s="79">
        <f t="shared" si="16"/>
        <v>0.001</v>
      </c>
      <c r="F144" s="80"/>
      <c r="G144" s="80"/>
      <c r="M144" s="52"/>
      <c r="N144" s="52"/>
      <c r="O144" s="52"/>
      <c r="P144" s="52"/>
      <c r="Q144" s="52"/>
      <c r="Y144" s="52"/>
      <c r="Z144" s="52"/>
      <c r="AA144" s="52"/>
      <c r="AB144" s="52"/>
      <c r="AC144" s="52"/>
    </row>
    <row r="145" spans="3:29">
      <c r="C145" s="52" t="s">
        <v>207</v>
      </c>
      <c r="D145" s="79" t="s">
        <v>197</v>
      </c>
      <c r="E145" s="79">
        <f t="shared" si="16"/>
        <v>0.001</v>
      </c>
      <c r="F145" s="80"/>
      <c r="G145" s="80"/>
      <c r="M145" s="52"/>
      <c r="N145" s="52"/>
      <c r="O145" s="52"/>
      <c r="P145" s="52"/>
      <c r="Q145" s="52"/>
      <c r="Y145" s="52"/>
      <c r="Z145" s="52"/>
      <c r="AA145" s="52"/>
      <c r="AB145" s="52"/>
      <c r="AC145" s="52"/>
    </row>
    <row r="146" spans="3:29">
      <c r="C146" s="52" t="s">
        <v>207</v>
      </c>
      <c r="D146" s="79" t="s">
        <v>198</v>
      </c>
      <c r="E146" s="79">
        <f t="shared" si="16"/>
        <v>0.001</v>
      </c>
      <c r="F146" s="80"/>
      <c r="G146" s="80"/>
      <c r="M146" s="52"/>
      <c r="N146" s="52"/>
      <c r="O146" s="52"/>
      <c r="P146" s="52"/>
      <c r="Q146" s="52"/>
      <c r="Y146" s="52"/>
      <c r="Z146" s="52"/>
      <c r="AA146" s="52"/>
      <c r="AB146" s="52"/>
      <c r="AC146" s="52"/>
    </row>
    <row r="147" spans="3:29">
      <c r="C147" s="52" t="s">
        <v>207</v>
      </c>
      <c r="D147" s="79" t="s">
        <v>199</v>
      </c>
      <c r="E147" s="79">
        <f t="shared" si="16"/>
        <v>0.001</v>
      </c>
      <c r="F147" s="80"/>
      <c r="G147" s="80"/>
      <c r="M147" s="52"/>
      <c r="N147" s="52"/>
      <c r="O147" s="52"/>
      <c r="P147" s="52"/>
      <c r="Q147" s="52"/>
      <c r="Y147" s="52"/>
      <c r="Z147" s="52"/>
      <c r="AA147" s="52"/>
      <c r="AB147" s="52"/>
      <c r="AC147" s="52"/>
    </row>
    <row r="148" spans="3:29">
      <c r="C148" s="52" t="s">
        <v>207</v>
      </c>
      <c r="D148" s="79" t="s">
        <v>200</v>
      </c>
      <c r="E148" s="79">
        <f t="shared" si="16"/>
        <v>0.001</v>
      </c>
      <c r="F148" s="80"/>
      <c r="G148" s="80"/>
      <c r="M148" s="52"/>
      <c r="N148" s="52"/>
      <c r="O148" s="52"/>
      <c r="P148" s="52"/>
      <c r="Q148" s="52"/>
      <c r="Y148" s="52"/>
      <c r="Z148" s="52"/>
      <c r="AA148" s="52"/>
      <c r="AB148" s="52"/>
      <c r="AC148" s="52"/>
    </row>
    <row r="149" spans="3:29">
      <c r="C149" s="52" t="s">
        <v>207</v>
      </c>
      <c r="D149" s="79" t="s">
        <v>201</v>
      </c>
      <c r="E149" s="79">
        <f t="shared" si="16"/>
        <v>0.001</v>
      </c>
      <c r="F149" s="80"/>
      <c r="G149" s="80"/>
      <c r="M149" s="52"/>
      <c r="N149" s="52"/>
      <c r="O149" s="52"/>
      <c r="P149" s="52"/>
      <c r="Q149" s="52"/>
      <c r="Y149" s="52"/>
      <c r="Z149" s="52"/>
      <c r="AA149" s="52"/>
      <c r="AB149" s="52"/>
      <c r="AC149" s="52"/>
    </row>
    <row r="150" spans="3:29">
      <c r="C150" s="52" t="s">
        <v>207</v>
      </c>
      <c r="D150" s="79" t="s">
        <v>202</v>
      </c>
      <c r="E150" s="79">
        <f t="shared" si="16"/>
        <v>0.001</v>
      </c>
      <c r="F150" s="80"/>
      <c r="G150" s="80"/>
      <c r="M150" s="52"/>
      <c r="N150" s="52"/>
      <c r="O150" s="52"/>
      <c r="P150" s="52"/>
      <c r="Q150" s="52"/>
      <c r="Y150" s="52"/>
      <c r="Z150" s="52"/>
      <c r="AA150" s="52"/>
      <c r="AB150" s="52"/>
      <c r="AC150" s="52"/>
    </row>
    <row r="151" spans="3:29">
      <c r="C151" s="52" t="s">
        <v>207</v>
      </c>
      <c r="D151" s="79" t="s">
        <v>203</v>
      </c>
      <c r="E151" s="79">
        <f t="shared" si="16"/>
        <v>0.001</v>
      </c>
      <c r="F151" s="80"/>
      <c r="G151" s="80"/>
      <c r="M151" s="52"/>
      <c r="N151" s="52"/>
      <c r="O151" s="52"/>
      <c r="P151" s="52"/>
      <c r="Q151" s="52"/>
      <c r="Y151" s="52"/>
      <c r="Z151" s="52"/>
      <c r="AA151" s="52"/>
      <c r="AB151" s="52"/>
      <c r="AC151" s="52"/>
    </row>
    <row r="152" spans="3:29">
      <c r="C152" s="52" t="s">
        <v>207</v>
      </c>
      <c r="D152" s="79" t="s">
        <v>204</v>
      </c>
      <c r="E152" s="79">
        <f t="shared" si="16"/>
        <v>0.001</v>
      </c>
      <c r="F152" s="80"/>
      <c r="G152" s="80"/>
      <c r="M152" s="52"/>
      <c r="N152" s="52"/>
      <c r="O152" s="52"/>
      <c r="P152" s="52"/>
      <c r="Q152" s="52"/>
      <c r="Y152" s="52"/>
      <c r="Z152" s="52"/>
      <c r="AA152" s="52"/>
      <c r="AB152" s="52"/>
      <c r="AC152" s="52"/>
    </row>
    <row r="153" spans="3:29">
      <c r="C153" s="52" t="s">
        <v>207</v>
      </c>
      <c r="D153" s="79" t="s">
        <v>205</v>
      </c>
      <c r="E153" s="79">
        <f t="shared" si="16"/>
        <v>0.001</v>
      </c>
      <c r="F153" s="80"/>
      <c r="G153" s="80"/>
      <c r="M153" s="52"/>
      <c r="N153" s="52"/>
      <c r="O153" s="52"/>
      <c r="P153" s="52"/>
      <c r="Q153" s="52"/>
      <c r="Y153" s="52"/>
      <c r="Z153" s="52"/>
      <c r="AA153" s="52"/>
      <c r="AB153" s="52"/>
      <c r="AC153" s="52"/>
    </row>
    <row r="154" spans="3:29">
      <c r="C154" s="52" t="s">
        <v>207</v>
      </c>
      <c r="D154" s="81" t="s">
        <v>206</v>
      </c>
      <c r="E154" s="79">
        <f t="shared" si="16"/>
        <v>0.001</v>
      </c>
      <c r="F154" s="80"/>
      <c r="G154" s="8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T9" sqref="T9"/>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208</v>
      </c>
      <c r="F1" t="s">
        <v>209</v>
      </c>
      <c r="G1" t="s">
        <v>41</v>
      </c>
      <c r="H1" t="s">
        <v>210</v>
      </c>
      <c r="I1" t="s">
        <v>211</v>
      </c>
      <c r="J1" t="s">
        <v>212</v>
      </c>
      <c r="K1" t="s">
        <v>213</v>
      </c>
      <c r="L1" t="s">
        <v>214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0" width="27.4545454545455" style="2" customWidth="1"/>
    <col min="31"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215</v>
      </c>
      <c r="M4" s="29"/>
      <c r="N4" s="30"/>
      <c r="O4" s="30"/>
      <c r="P4" s="30"/>
      <c r="Q4" s="30"/>
      <c r="R4" s="22" t="s">
        <v>215</v>
      </c>
      <c r="S4" s="30"/>
      <c r="T4" s="30"/>
      <c r="U4" s="30"/>
      <c r="V4" s="30"/>
      <c r="W4" s="30"/>
      <c r="X4" s="22" t="s">
        <v>215</v>
      </c>
      <c r="Y4" s="30"/>
      <c r="Z4" s="30"/>
      <c r="AA4" s="30"/>
      <c r="AB4" s="30"/>
      <c r="AC4" s="30"/>
      <c r="AD4" s="22" t="s">
        <v>215</v>
      </c>
      <c r="AE4" s="30"/>
      <c r="AF4" s="30"/>
      <c r="AG4" s="30"/>
      <c r="AH4" s="30"/>
      <c r="AI4" s="30"/>
      <c r="AJ4" s="22" t="s">
        <v>215</v>
      </c>
      <c r="AK4" s="30"/>
      <c r="AL4" s="30"/>
      <c r="AM4" s="30"/>
      <c r="AN4" s="30"/>
      <c r="AO4" s="30"/>
      <c r="AP4" s="22" t="s">
        <v>215</v>
      </c>
      <c r="AQ4" s="30"/>
      <c r="AT4" s="30"/>
      <c r="AU4" s="30"/>
      <c r="AV4" s="22" t="s">
        <v>215</v>
      </c>
      <c r="AW4" s="30"/>
      <c r="AZ4" s="2"/>
      <c r="BA4" s="2"/>
      <c r="BB4" s="2"/>
      <c r="BC4" s="2"/>
    </row>
    <row r="5" s="27" customFormat="1" ht="14.5" spans="4:55">
      <c r="D5" s="29"/>
      <c r="E5" s="29"/>
      <c r="F5" s="31"/>
      <c r="G5" s="29"/>
      <c r="H5" s="30"/>
      <c r="I5" s="30"/>
      <c r="J5" s="22" t="s">
        <v>120</v>
      </c>
      <c r="K5" s="22" t="s">
        <v>64</v>
      </c>
      <c r="L5" s="22" t="s">
        <v>95</v>
      </c>
      <c r="M5" s="22" t="s">
        <v>25</v>
      </c>
      <c r="N5" s="30" t="s">
        <v>41</v>
      </c>
      <c r="O5" s="30"/>
      <c r="P5" s="22" t="s">
        <v>120</v>
      </c>
      <c r="Q5" s="22" t="s">
        <v>64</v>
      </c>
      <c r="R5" s="22" t="s">
        <v>95</v>
      </c>
      <c r="S5" s="22" t="s">
        <v>25</v>
      </c>
      <c r="T5" s="30" t="s">
        <v>41</v>
      </c>
      <c r="U5" s="30"/>
      <c r="V5" s="22" t="s">
        <v>120</v>
      </c>
      <c r="W5" s="22" t="s">
        <v>64</v>
      </c>
      <c r="X5" s="22" t="s">
        <v>95</v>
      </c>
      <c r="Y5" s="22" t="s">
        <v>25</v>
      </c>
      <c r="Z5" s="30" t="s">
        <v>41</v>
      </c>
      <c r="AA5" s="30"/>
      <c r="AB5" s="22" t="s">
        <v>120</v>
      </c>
      <c r="AC5" s="22" t="s">
        <v>64</v>
      </c>
      <c r="AD5" s="22" t="s">
        <v>95</v>
      </c>
      <c r="AE5" s="22" t="s">
        <v>25</v>
      </c>
      <c r="AF5" s="30" t="s">
        <v>41</v>
      </c>
      <c r="AG5" s="30"/>
      <c r="AH5" s="22" t="s">
        <v>120</v>
      </c>
      <c r="AI5" s="22" t="s">
        <v>64</v>
      </c>
      <c r="AJ5" s="22" t="s">
        <v>95</v>
      </c>
      <c r="AK5" s="22" t="s">
        <v>25</v>
      </c>
      <c r="AL5" s="30" t="s">
        <v>41</v>
      </c>
      <c r="AM5" s="30"/>
      <c r="AN5" s="22" t="s">
        <v>120</v>
      </c>
      <c r="AO5" s="22" t="s">
        <v>64</v>
      </c>
      <c r="AP5" s="22" t="s">
        <v>95</v>
      </c>
      <c r="AQ5" s="22" t="s">
        <v>25</v>
      </c>
      <c r="AR5" s="30" t="s">
        <v>41</v>
      </c>
      <c r="AT5" s="22" t="s">
        <v>120</v>
      </c>
      <c r="AU5" s="22" t="s">
        <v>64</v>
      </c>
      <c r="AV5" s="22" t="s">
        <v>95</v>
      </c>
      <c r="AW5" s="22" t="s">
        <v>25</v>
      </c>
      <c r="AX5" s="30" t="s">
        <v>41</v>
      </c>
      <c r="AZ5" s="2"/>
      <c r="BA5" s="2"/>
      <c r="BB5" s="2"/>
      <c r="BC5" s="2"/>
    </row>
    <row r="6" s="27" customFormat="1" ht="16" spans="4:55">
      <c r="D6" s="29"/>
      <c r="E6" s="32"/>
      <c r="F6" s="31"/>
      <c r="G6" s="33"/>
      <c r="H6" s="30"/>
      <c r="I6" s="30"/>
      <c r="J6" s="29" t="s">
        <v>124</v>
      </c>
      <c r="K6" s="32" t="s">
        <v>216</v>
      </c>
      <c r="L6" s="24" t="s">
        <v>217</v>
      </c>
      <c r="M6" s="34">
        <f t="shared" ref="M6:M9" si="0">M16/1000</f>
        <v>0.0768000000000001</v>
      </c>
      <c r="N6" s="30">
        <v>2020</v>
      </c>
      <c r="O6" s="30"/>
      <c r="P6" s="29" t="s">
        <v>124</v>
      </c>
      <c r="Q6" s="32" t="s">
        <v>218</v>
      </c>
      <c r="R6" s="24" t="s">
        <v>217</v>
      </c>
      <c r="S6" s="34">
        <f t="shared" ref="S6:S9" si="1">S16/1000</f>
        <v>0.0713</v>
      </c>
      <c r="T6" s="30">
        <v>2020</v>
      </c>
      <c r="U6" s="30"/>
      <c r="V6" s="29" t="s">
        <v>124</v>
      </c>
      <c r="W6" s="32" t="s">
        <v>219</v>
      </c>
      <c r="X6" s="24" t="s">
        <v>217</v>
      </c>
      <c r="Y6" s="34">
        <f t="shared" ref="Y6:Y9" si="2">Y16/1000</f>
        <v>0.0712</v>
      </c>
      <c r="Z6" s="30">
        <v>2020</v>
      </c>
      <c r="AA6" s="30"/>
      <c r="AB6" s="29" t="s">
        <v>124</v>
      </c>
      <c r="AC6" s="32" t="s">
        <v>220</v>
      </c>
      <c r="AD6" s="24" t="s">
        <v>217</v>
      </c>
      <c r="AE6" s="34">
        <f t="shared" ref="AE6:AE9" si="3">AE16/1000</f>
        <v>0.0725</v>
      </c>
      <c r="AF6" s="30">
        <v>2020</v>
      </c>
      <c r="AG6" s="30"/>
      <c r="AH6" s="29" t="s">
        <v>124</v>
      </c>
      <c r="AI6" s="32" t="s">
        <v>221</v>
      </c>
      <c r="AJ6" s="24" t="s">
        <v>217</v>
      </c>
      <c r="AK6" s="34">
        <f t="shared" ref="AK6:AK9" si="4">AK16/1000</f>
        <v>0.077</v>
      </c>
      <c r="AL6" s="30">
        <v>2020</v>
      </c>
      <c r="AM6" s="30"/>
      <c r="AN6" s="29" t="s">
        <v>124</v>
      </c>
      <c r="AO6" s="32" t="s">
        <v>222</v>
      </c>
      <c r="AP6" s="24" t="s">
        <v>217</v>
      </c>
      <c r="AQ6" s="34">
        <f t="shared" ref="AQ6:AQ9" si="5">AQ16/1000</f>
        <v>0.0424</v>
      </c>
      <c r="AR6" s="30">
        <v>2020</v>
      </c>
      <c r="AT6" s="29" t="s">
        <v>124</v>
      </c>
      <c r="AU6" s="32" t="s">
        <v>223</v>
      </c>
      <c r="AV6" s="24" t="s">
        <v>217</v>
      </c>
      <c r="AW6" s="34">
        <f t="shared" ref="AW6:AW9" si="6">AW16/1000</f>
        <v>0.0472</v>
      </c>
      <c r="AX6" s="30">
        <v>2020</v>
      </c>
      <c r="AZ6" s="2"/>
      <c r="BA6" s="2"/>
      <c r="BB6" s="2"/>
      <c r="BC6" s="2"/>
    </row>
    <row r="7" s="27" customFormat="1" ht="16" spans="4:55">
      <c r="D7" s="29"/>
      <c r="E7" s="32"/>
      <c r="F7" s="31"/>
      <c r="G7" s="33"/>
      <c r="H7" s="30"/>
      <c r="I7" s="30"/>
      <c r="J7" s="29" t="s">
        <v>124</v>
      </c>
      <c r="K7" s="32" t="s">
        <v>216</v>
      </c>
      <c r="L7" s="24" t="s">
        <v>224</v>
      </c>
      <c r="M7" s="34">
        <f t="shared" si="0"/>
        <v>0.2026</v>
      </c>
      <c r="N7" s="30">
        <v>2020</v>
      </c>
      <c r="O7" s="30"/>
      <c r="P7" s="29" t="s">
        <v>124</v>
      </c>
      <c r="Q7" s="32" t="s">
        <v>218</v>
      </c>
      <c r="R7" s="24" t="s">
        <v>224</v>
      </c>
      <c r="S7" s="34">
        <f t="shared" si="1"/>
        <v>0.1913</v>
      </c>
      <c r="T7" s="30">
        <v>2020</v>
      </c>
      <c r="U7" s="30"/>
      <c r="V7" s="29" t="s">
        <v>124</v>
      </c>
      <c r="W7" s="32" t="s">
        <v>219</v>
      </c>
      <c r="X7" s="24" t="s">
        <v>224</v>
      </c>
      <c r="Y7" s="34">
        <f t="shared" si="2"/>
        <v>0.1915</v>
      </c>
      <c r="Z7" s="30">
        <v>2020</v>
      </c>
      <c r="AA7" s="30"/>
      <c r="AB7" s="29" t="s">
        <v>124</v>
      </c>
      <c r="AC7" s="32" t="s">
        <v>220</v>
      </c>
      <c r="AD7" s="24" t="s">
        <v>224</v>
      </c>
      <c r="AE7" s="34">
        <f t="shared" si="3"/>
        <v>0.1859</v>
      </c>
      <c r="AF7" s="30">
        <v>2020</v>
      </c>
      <c r="AG7" s="30"/>
      <c r="AH7" s="29" t="s">
        <v>124</v>
      </c>
      <c r="AI7" s="32" t="s">
        <v>221</v>
      </c>
      <c r="AJ7" s="24" t="s">
        <v>224</v>
      </c>
      <c r="AK7" s="34">
        <f t="shared" si="4"/>
        <v>0.1982</v>
      </c>
      <c r="AL7" s="30">
        <v>2020</v>
      </c>
      <c r="AM7" s="30"/>
      <c r="AN7" s="29" t="s">
        <v>124</v>
      </c>
      <c r="AO7" s="32" t="s">
        <v>222</v>
      </c>
      <c r="AP7" s="24" t="s">
        <v>224</v>
      </c>
      <c r="AQ7" s="34">
        <f t="shared" si="5"/>
        <v>0.0768</v>
      </c>
      <c r="AR7" s="30">
        <v>2020</v>
      </c>
      <c r="AT7" s="29" t="s">
        <v>124</v>
      </c>
      <c r="AU7" s="32" t="s">
        <v>223</v>
      </c>
      <c r="AV7" s="24" t="s">
        <v>224</v>
      </c>
      <c r="AW7" s="34">
        <f t="shared" si="6"/>
        <v>0.1555</v>
      </c>
      <c r="AX7" s="30">
        <v>2020</v>
      </c>
      <c r="AZ7" s="2"/>
      <c r="BA7" s="2"/>
      <c r="BB7" s="2"/>
      <c r="BC7" s="2"/>
    </row>
    <row r="8" s="27" customFormat="1" ht="14.5" customHeight="1" spans="4:55">
      <c r="D8" s="29"/>
      <c r="E8" s="32"/>
      <c r="F8" s="31"/>
      <c r="G8" s="33"/>
      <c r="H8" s="30"/>
      <c r="I8" s="30"/>
      <c r="J8" s="29" t="s">
        <v>124</v>
      </c>
      <c r="K8" s="32" t="s">
        <v>216</v>
      </c>
      <c r="L8" s="24" t="s">
        <v>225</v>
      </c>
      <c r="M8" s="34">
        <f t="shared" si="0"/>
        <v>0.5838</v>
      </c>
      <c r="N8" s="30">
        <v>2020</v>
      </c>
      <c r="O8" s="30"/>
      <c r="P8" s="29" t="s">
        <v>124</v>
      </c>
      <c r="Q8" s="32" t="s">
        <v>218</v>
      </c>
      <c r="R8" s="24" t="s">
        <v>225</v>
      </c>
      <c r="S8" s="34">
        <f t="shared" si="1"/>
        <v>0.5561</v>
      </c>
      <c r="T8" s="30">
        <v>2020</v>
      </c>
      <c r="U8" s="30"/>
      <c r="V8" s="29" t="s">
        <v>124</v>
      </c>
      <c r="W8" s="32" t="s">
        <v>219</v>
      </c>
      <c r="X8" s="24" t="s">
        <v>225</v>
      </c>
      <c r="Y8" s="34">
        <f t="shared" si="2"/>
        <v>0.5579</v>
      </c>
      <c r="Z8" s="30">
        <v>2020</v>
      </c>
      <c r="AA8" s="30"/>
      <c r="AB8" s="29" t="s">
        <v>124</v>
      </c>
      <c r="AC8" s="32" t="s">
        <v>220</v>
      </c>
      <c r="AD8" s="24" t="s">
        <v>225</v>
      </c>
      <c r="AE8" s="34">
        <f t="shared" si="3"/>
        <v>0.5505</v>
      </c>
      <c r="AF8" s="30">
        <v>2020</v>
      </c>
      <c r="AG8" s="30"/>
      <c r="AH8" s="29" t="s">
        <v>124</v>
      </c>
      <c r="AI8" s="32" t="s">
        <v>221</v>
      </c>
      <c r="AJ8" s="24" t="s">
        <v>225</v>
      </c>
      <c r="AK8" s="34">
        <f t="shared" si="4"/>
        <v>0.5942</v>
      </c>
      <c r="AL8" s="30">
        <v>2020</v>
      </c>
      <c r="AM8" s="30"/>
      <c r="AN8" s="29" t="s">
        <v>124</v>
      </c>
      <c r="AO8" s="32" t="s">
        <v>222</v>
      </c>
      <c r="AP8" s="24" t="s">
        <v>225</v>
      </c>
      <c r="AQ8" s="34">
        <f t="shared" si="5"/>
        <v>0.4099</v>
      </c>
      <c r="AR8" s="30">
        <v>2020</v>
      </c>
      <c r="AT8" s="29" t="s">
        <v>124</v>
      </c>
      <c r="AU8" s="32" t="s">
        <v>223</v>
      </c>
      <c r="AV8" s="24" t="s">
        <v>225</v>
      </c>
      <c r="AW8" s="34">
        <f t="shared" si="6"/>
        <v>0.477</v>
      </c>
      <c r="AX8" s="30">
        <v>2020</v>
      </c>
      <c r="AZ8" s="2"/>
      <c r="BA8" s="2"/>
      <c r="BB8" s="2"/>
      <c r="BC8" s="2"/>
    </row>
    <row r="9" s="27" customFormat="1" ht="16" spans="4:55">
      <c r="D9" s="29"/>
      <c r="E9" s="32"/>
      <c r="F9" s="31"/>
      <c r="G9" s="33"/>
      <c r="H9" s="30"/>
      <c r="I9" s="30"/>
      <c r="J9" s="29" t="s">
        <v>124</v>
      </c>
      <c r="K9" s="32" t="s">
        <v>216</v>
      </c>
      <c r="L9" s="24" t="s">
        <v>226</v>
      </c>
      <c r="M9" s="34">
        <f t="shared" si="0"/>
        <v>0.1275</v>
      </c>
      <c r="N9" s="30">
        <v>2020</v>
      </c>
      <c r="O9" s="30"/>
      <c r="P9" s="29" t="s">
        <v>124</v>
      </c>
      <c r="Q9" s="32" t="s">
        <v>218</v>
      </c>
      <c r="R9" s="24" t="s">
        <v>226</v>
      </c>
      <c r="S9" s="34">
        <f t="shared" si="1"/>
        <v>0.1337</v>
      </c>
      <c r="T9" s="30">
        <v>2020</v>
      </c>
      <c r="U9" s="30"/>
      <c r="V9" s="29" t="s">
        <v>124</v>
      </c>
      <c r="W9" s="32" t="s">
        <v>219</v>
      </c>
      <c r="X9" s="24" t="s">
        <v>226</v>
      </c>
      <c r="Y9" s="34">
        <f t="shared" si="2"/>
        <v>0.1403</v>
      </c>
      <c r="Z9" s="30">
        <v>2020</v>
      </c>
      <c r="AA9" s="30"/>
      <c r="AB9" s="29" t="s">
        <v>124</v>
      </c>
      <c r="AC9" s="32" t="s">
        <v>220</v>
      </c>
      <c r="AD9" s="24" t="s">
        <v>226</v>
      </c>
      <c r="AE9" s="34">
        <f t="shared" si="3"/>
        <v>0.1499</v>
      </c>
      <c r="AF9" s="30">
        <v>2020</v>
      </c>
      <c r="AG9" s="30"/>
      <c r="AH9" s="29" t="s">
        <v>124</v>
      </c>
      <c r="AI9" s="32" t="s">
        <v>221</v>
      </c>
      <c r="AJ9" s="24" t="s">
        <v>226</v>
      </c>
      <c r="AK9" s="34">
        <f t="shared" si="4"/>
        <v>0.1608</v>
      </c>
      <c r="AL9" s="30">
        <v>2020</v>
      </c>
      <c r="AM9" s="30"/>
      <c r="AN9" s="29" t="s">
        <v>124</v>
      </c>
      <c r="AO9" s="32" t="s">
        <v>222</v>
      </c>
      <c r="AP9" s="24" t="s">
        <v>226</v>
      </c>
      <c r="AQ9" s="34">
        <f t="shared" si="5"/>
        <v>0.057</v>
      </c>
      <c r="AR9" s="30">
        <v>2020</v>
      </c>
      <c r="AT9" s="29" t="s">
        <v>124</v>
      </c>
      <c r="AU9" s="32" t="s">
        <v>223</v>
      </c>
      <c r="AV9" s="24" t="s">
        <v>226</v>
      </c>
      <c r="AW9" s="34">
        <f t="shared" si="6"/>
        <v>0.0952</v>
      </c>
      <c r="AX9" s="30">
        <v>2020</v>
      </c>
      <c r="AZ9" s="2"/>
      <c r="BA9" s="2"/>
      <c r="BB9" s="2"/>
      <c r="BC9" s="2"/>
    </row>
    <row r="10" s="27" customFormat="1" ht="16" spans="4:55">
      <c r="D10" s="30"/>
      <c r="E10" s="32"/>
      <c r="G10" s="33"/>
      <c r="H10" s="30"/>
      <c r="I10" s="30"/>
    </row>
    <row r="13" s="28" customFormat="1"/>
    <row r="14" s="1" customFormat="1" ht="14.5" spans="4:55">
      <c r="D14" s="35"/>
      <c r="E14" s="35"/>
      <c r="F14" s="35"/>
      <c r="G14" s="35"/>
      <c r="H14" s="36"/>
      <c r="I14" s="36"/>
      <c r="J14" s="35"/>
      <c r="K14" s="35"/>
      <c r="L14" s="2"/>
      <c r="M14" s="35"/>
      <c r="N14" s="36"/>
      <c r="O14" s="36"/>
      <c r="P14" s="36"/>
      <c r="Q14" s="36"/>
      <c r="R14" s="2"/>
      <c r="S14" s="36"/>
      <c r="T14" s="36"/>
      <c r="U14" s="36"/>
      <c r="V14" s="36"/>
      <c r="W14" s="36"/>
      <c r="X14" s="2"/>
      <c r="Y14" s="36"/>
      <c r="Z14" s="36"/>
      <c r="AA14" s="36"/>
      <c r="AB14" s="36"/>
      <c r="AC14" s="36"/>
      <c r="AD14" s="2"/>
      <c r="AE14" s="36"/>
      <c r="AF14" s="36"/>
      <c r="AG14" s="36"/>
      <c r="AH14" s="36"/>
      <c r="AI14" s="36"/>
      <c r="AJ14" s="2"/>
      <c r="AK14" s="36"/>
      <c r="AL14" s="36"/>
      <c r="AM14" s="36"/>
      <c r="AN14" s="36"/>
      <c r="AO14" s="36"/>
      <c r="AP14" s="2"/>
      <c r="AQ14" s="36"/>
      <c r="AT14" s="36"/>
      <c r="AU14" s="36"/>
      <c r="AV14" s="2"/>
      <c r="AW14" s="36"/>
    </row>
    <row r="15" s="1" customFormat="1" ht="14.5" spans="4:55">
      <c r="D15" s="35"/>
      <c r="E15" s="35"/>
      <c r="F15" s="19"/>
      <c r="G15" s="35"/>
      <c r="H15" s="36"/>
      <c r="I15" s="36"/>
      <c r="J15" s="2"/>
      <c r="K15" s="2"/>
      <c r="L15" s="2"/>
      <c r="M15" s="2"/>
      <c r="N15" s="36"/>
      <c r="O15" s="36"/>
      <c r="P15" s="2"/>
      <c r="Q15" s="2"/>
      <c r="R15" s="2"/>
      <c r="S15" s="2"/>
      <c r="T15" s="36"/>
      <c r="U15" s="36"/>
      <c r="V15" s="2"/>
      <c r="W15" s="2"/>
      <c r="X15" s="2"/>
      <c r="Y15" s="2"/>
      <c r="Z15" s="36"/>
      <c r="AA15" s="36"/>
      <c r="AB15" s="2"/>
      <c r="AC15" s="2"/>
      <c r="AD15" s="2"/>
      <c r="AE15" s="2"/>
      <c r="AF15" s="36"/>
      <c r="AG15" s="36"/>
      <c r="AH15" s="2"/>
      <c r="AI15" s="2"/>
      <c r="AJ15" s="2"/>
      <c r="AK15" s="2"/>
      <c r="AL15" s="36"/>
      <c r="AM15" s="36"/>
      <c r="AN15" s="2"/>
      <c r="AO15" s="2"/>
      <c r="AP15" s="2"/>
      <c r="AQ15" s="2"/>
      <c r="AT15" s="2"/>
      <c r="AU15" s="2"/>
      <c r="AV15" s="2"/>
      <c r="AW15" s="2"/>
    </row>
    <row r="16" s="28" customFormat="1" ht="16" spans="4:55">
      <c r="J16" s="35"/>
      <c r="K16" s="37"/>
      <c r="L16" s="19"/>
      <c r="M16" s="33">
        <f t="shared" ref="M16:M19" si="7">T65</f>
        <v>76.8000000000001</v>
      </c>
      <c r="N16" s="36"/>
      <c r="O16" s="36"/>
      <c r="P16" s="35"/>
      <c r="Q16" s="37"/>
      <c r="R16" s="19"/>
      <c r="S16" s="38">
        <f t="shared" ref="S16:S19" si="8">U65</f>
        <v>71.3</v>
      </c>
      <c r="T16" s="36"/>
      <c r="U16" s="36"/>
      <c r="V16" s="35"/>
      <c r="W16" s="37"/>
      <c r="X16" s="19"/>
      <c r="Y16" s="38">
        <f t="shared" ref="Y16:Y19" si="9">V65</f>
        <v>71.2</v>
      </c>
      <c r="Z16" s="36"/>
      <c r="AA16" s="36"/>
      <c r="AB16" s="35"/>
      <c r="AC16" s="37"/>
      <c r="AD16" s="19"/>
      <c r="AE16" s="38">
        <f t="shared" ref="AE16:AE19" si="10">W65</f>
        <v>72.5</v>
      </c>
      <c r="AF16" s="36"/>
      <c r="AG16" s="36"/>
      <c r="AH16" s="35"/>
      <c r="AI16" s="37"/>
      <c r="AJ16" s="19"/>
      <c r="AK16" s="38">
        <f t="shared" ref="AK16:AK19" si="11">X65</f>
        <v>77</v>
      </c>
      <c r="AL16" s="36"/>
      <c r="AM16" s="36"/>
      <c r="AN16" s="35"/>
      <c r="AO16" s="37"/>
      <c r="AP16" s="19"/>
      <c r="AQ16" s="38">
        <f t="shared" ref="AQ16:AQ19" si="12">Y65</f>
        <v>42.4</v>
      </c>
      <c r="AR16" s="1"/>
      <c r="AS16" s="1"/>
      <c r="AT16" s="35"/>
      <c r="AU16" s="37"/>
      <c r="AV16" s="19"/>
      <c r="AW16" s="38">
        <f t="shared" ref="AW16:AW19" si="13">Z65</f>
        <v>47.2</v>
      </c>
    </row>
    <row r="17" s="28" customFormat="1" ht="16" spans="4:55">
      <c r="J17" s="35"/>
      <c r="K17" s="37"/>
      <c r="L17" s="19"/>
      <c r="M17" s="33">
        <f t="shared" si="7"/>
        <v>202.6</v>
      </c>
      <c r="N17" s="36"/>
      <c r="O17" s="36"/>
      <c r="P17" s="35"/>
      <c r="Q17" s="37"/>
      <c r="R17" s="19"/>
      <c r="S17" s="38">
        <f t="shared" si="8"/>
        <v>191.3</v>
      </c>
      <c r="T17" s="36"/>
      <c r="U17" s="36"/>
      <c r="V17" s="35"/>
      <c r="W17" s="37"/>
      <c r="X17" s="19"/>
      <c r="Y17" s="38">
        <f t="shared" si="9"/>
        <v>191.5</v>
      </c>
      <c r="Z17" s="36"/>
      <c r="AA17" s="36"/>
      <c r="AB17" s="35"/>
      <c r="AC17" s="37"/>
      <c r="AD17" s="19"/>
      <c r="AE17" s="38">
        <f t="shared" si="10"/>
        <v>185.9</v>
      </c>
      <c r="AF17" s="36"/>
      <c r="AG17" s="36"/>
      <c r="AH17" s="35"/>
      <c r="AI17" s="37"/>
      <c r="AJ17" s="19"/>
      <c r="AK17" s="38">
        <f t="shared" si="11"/>
        <v>198.2</v>
      </c>
      <c r="AL17" s="36"/>
      <c r="AM17" s="36"/>
      <c r="AN17" s="35"/>
      <c r="AO17" s="37"/>
      <c r="AP17" s="19"/>
      <c r="AQ17" s="38">
        <f t="shared" si="12"/>
        <v>76.8</v>
      </c>
      <c r="AR17" s="1"/>
      <c r="AS17" s="1"/>
      <c r="AT17" s="35"/>
      <c r="AU17" s="37"/>
      <c r="AV17" s="19"/>
      <c r="AW17" s="38">
        <f t="shared" si="13"/>
        <v>155.5</v>
      </c>
    </row>
    <row r="18" s="28" customFormat="1" ht="16" spans="4:55">
      <c r="J18" s="35"/>
      <c r="K18" s="37"/>
      <c r="L18" s="19"/>
      <c r="M18" s="33">
        <f t="shared" si="7"/>
        <v>583.8</v>
      </c>
      <c r="N18" s="36"/>
      <c r="O18" s="36"/>
      <c r="P18" s="35"/>
      <c r="Q18" s="37"/>
      <c r="R18" s="19"/>
      <c r="S18" s="38">
        <f t="shared" si="8"/>
        <v>556.1</v>
      </c>
      <c r="T18" s="36"/>
      <c r="U18" s="36"/>
      <c r="V18" s="35"/>
      <c r="W18" s="37"/>
      <c r="X18" s="19"/>
      <c r="Y18" s="38">
        <f t="shared" si="9"/>
        <v>557.9</v>
      </c>
      <c r="Z18" s="36"/>
      <c r="AA18" s="36"/>
      <c r="AB18" s="35"/>
      <c r="AC18" s="37"/>
      <c r="AD18" s="19"/>
      <c r="AE18" s="38">
        <f t="shared" si="10"/>
        <v>550.5</v>
      </c>
      <c r="AF18" s="36"/>
      <c r="AG18" s="36"/>
      <c r="AH18" s="35"/>
      <c r="AI18" s="37"/>
      <c r="AJ18" s="19"/>
      <c r="AK18" s="38">
        <f t="shared" si="11"/>
        <v>594.2</v>
      </c>
      <c r="AL18" s="36"/>
      <c r="AM18" s="36"/>
      <c r="AN18" s="35"/>
      <c r="AO18" s="37"/>
      <c r="AP18" s="19"/>
      <c r="AQ18" s="38">
        <f t="shared" si="12"/>
        <v>409.9</v>
      </c>
      <c r="AR18" s="1"/>
      <c r="AS18" s="1"/>
      <c r="AT18" s="35"/>
      <c r="AU18" s="37"/>
      <c r="AV18" s="19"/>
      <c r="AW18" s="38">
        <f t="shared" si="13"/>
        <v>477</v>
      </c>
    </row>
    <row r="19" s="28" customFormat="1" ht="16" spans="4:55">
      <c r="J19" s="35"/>
      <c r="K19" s="37"/>
      <c r="L19" s="19"/>
      <c r="M19" s="33">
        <f t="shared" si="7"/>
        <v>127.5</v>
      </c>
      <c r="N19" s="36"/>
      <c r="O19" s="36"/>
      <c r="P19" s="35"/>
      <c r="Q19" s="37"/>
      <c r="R19" s="19"/>
      <c r="S19" s="38">
        <f t="shared" si="8"/>
        <v>133.7</v>
      </c>
      <c r="T19" s="36"/>
      <c r="U19" s="36"/>
      <c r="V19" s="35"/>
      <c r="W19" s="37"/>
      <c r="X19" s="19"/>
      <c r="Y19" s="38">
        <f t="shared" si="9"/>
        <v>140.3</v>
      </c>
      <c r="Z19" s="36"/>
      <c r="AA19" s="36"/>
      <c r="AB19" s="35"/>
      <c r="AC19" s="37"/>
      <c r="AD19" s="19"/>
      <c r="AE19" s="38">
        <f t="shared" si="10"/>
        <v>149.9</v>
      </c>
      <c r="AF19" s="36"/>
      <c r="AG19" s="36"/>
      <c r="AH19" s="35"/>
      <c r="AI19" s="37"/>
      <c r="AJ19" s="19"/>
      <c r="AK19" s="38">
        <f t="shared" si="11"/>
        <v>160.8</v>
      </c>
      <c r="AL19" s="36"/>
      <c r="AM19" s="36"/>
      <c r="AN19" s="35"/>
      <c r="AO19" s="37"/>
      <c r="AP19" s="19"/>
      <c r="AQ19" s="38">
        <f t="shared" si="12"/>
        <v>57</v>
      </c>
      <c r="AR19" s="1"/>
      <c r="AS19" s="1"/>
      <c r="AT19" s="35"/>
      <c r="AU19" s="37"/>
      <c r="AV19" s="19"/>
      <c r="AW19" s="38">
        <f t="shared" si="13"/>
        <v>95.2</v>
      </c>
    </row>
    <row r="20" s="28" customFormat="1"/>
    <row r="21" s="28" customFormat="1"/>
    <row r="24" s="27" customFormat="1" ht="14.5" spans="4:55">
      <c r="D24" s="29"/>
      <c r="E24" s="29"/>
      <c r="F24" s="29"/>
      <c r="G24" s="29"/>
      <c r="H24" s="30"/>
      <c r="I24" s="30"/>
      <c r="J24" s="29"/>
      <c r="K24" s="29"/>
      <c r="L24" s="22" t="s">
        <v>215</v>
      </c>
      <c r="M24" s="29"/>
      <c r="N24" s="30"/>
      <c r="O24" s="30"/>
      <c r="P24" s="30"/>
      <c r="Q24" s="30"/>
      <c r="R24" s="22" t="s">
        <v>215</v>
      </c>
      <c r="S24" s="30"/>
      <c r="T24" s="30"/>
      <c r="U24" s="30"/>
      <c r="V24" s="30"/>
      <c r="W24" s="30"/>
      <c r="X24" s="22" t="s">
        <v>215</v>
      </c>
      <c r="Y24" s="30"/>
      <c r="Z24" s="30"/>
      <c r="AA24" s="30"/>
      <c r="AB24" s="30"/>
      <c r="AC24" s="30"/>
      <c r="AD24" s="22" t="s">
        <v>215</v>
      </c>
      <c r="AE24" s="30"/>
      <c r="AF24" s="30"/>
      <c r="AG24" s="30"/>
      <c r="AH24" s="30"/>
      <c r="AI24" s="30"/>
      <c r="AJ24" s="22" t="s">
        <v>215</v>
      </c>
      <c r="AK24" s="30"/>
      <c r="AL24" s="30"/>
      <c r="AM24" s="30"/>
      <c r="AN24" s="30"/>
      <c r="AO24" s="30"/>
      <c r="AP24" s="22" t="s">
        <v>215</v>
      </c>
      <c r="AQ24" s="30"/>
      <c r="AT24" s="30"/>
      <c r="AU24" s="30"/>
      <c r="AV24" s="22" t="s">
        <v>215</v>
      </c>
      <c r="AW24" s="30"/>
      <c r="AZ24" s="2"/>
      <c r="BA24" s="2"/>
      <c r="BB24" s="2"/>
      <c r="BC24" s="2"/>
    </row>
    <row r="25" s="27" customFormat="1" ht="14.5" spans="4:55">
      <c r="D25" s="29"/>
      <c r="E25" s="29"/>
      <c r="F25" s="31"/>
      <c r="G25" s="29"/>
      <c r="H25" s="30"/>
      <c r="I25" s="30"/>
      <c r="J25" s="22" t="s">
        <v>120</v>
      </c>
      <c r="K25" s="22" t="s">
        <v>64</v>
      </c>
      <c r="L25" s="22" t="s">
        <v>95</v>
      </c>
      <c r="M25" s="22" t="s">
        <v>11</v>
      </c>
      <c r="N25" s="30" t="s">
        <v>41</v>
      </c>
      <c r="O25" s="30"/>
      <c r="P25" s="22" t="s">
        <v>120</v>
      </c>
      <c r="Q25" s="22" t="s">
        <v>64</v>
      </c>
      <c r="R25" s="22" t="s">
        <v>95</v>
      </c>
      <c r="S25" s="22" t="s">
        <v>11</v>
      </c>
      <c r="T25" s="30" t="s">
        <v>41</v>
      </c>
      <c r="U25" s="30"/>
      <c r="V25" s="22" t="s">
        <v>120</v>
      </c>
      <c r="W25" s="22" t="s">
        <v>64</v>
      </c>
      <c r="X25" s="22" t="s">
        <v>95</v>
      </c>
      <c r="Y25" s="22" t="s">
        <v>11</v>
      </c>
      <c r="Z25" s="30" t="s">
        <v>41</v>
      </c>
      <c r="AA25" s="30"/>
      <c r="AB25" s="22" t="s">
        <v>120</v>
      </c>
      <c r="AC25" s="22" t="s">
        <v>64</v>
      </c>
      <c r="AD25" s="22" t="s">
        <v>95</v>
      </c>
      <c r="AE25" s="22" t="s">
        <v>11</v>
      </c>
      <c r="AF25" s="30" t="s">
        <v>41</v>
      </c>
      <c r="AG25" s="30"/>
      <c r="AH25" s="22" t="s">
        <v>120</v>
      </c>
      <c r="AI25" s="22" t="s">
        <v>64</v>
      </c>
      <c r="AJ25" s="22" t="s">
        <v>95</v>
      </c>
      <c r="AK25" s="22" t="s">
        <v>11</v>
      </c>
      <c r="AL25" s="30" t="s">
        <v>41</v>
      </c>
      <c r="AM25" s="30"/>
      <c r="AN25" s="22" t="s">
        <v>120</v>
      </c>
      <c r="AO25" s="22" t="s">
        <v>64</v>
      </c>
      <c r="AP25" s="22" t="s">
        <v>95</v>
      </c>
      <c r="AQ25" s="22" t="s">
        <v>11</v>
      </c>
      <c r="AR25" s="30" t="s">
        <v>41</v>
      </c>
      <c r="AT25" s="22" t="s">
        <v>120</v>
      </c>
      <c r="AU25" s="22" t="s">
        <v>64</v>
      </c>
      <c r="AV25" s="22" t="s">
        <v>95</v>
      </c>
      <c r="AW25" s="22" t="s">
        <v>11</v>
      </c>
      <c r="AX25" s="30" t="s">
        <v>41</v>
      </c>
      <c r="AZ25" s="2"/>
      <c r="BA25" s="2"/>
      <c r="BB25" s="2"/>
      <c r="BC25" s="2"/>
    </row>
    <row r="26" ht="16" spans="4:55">
      <c r="J26" s="29" t="s">
        <v>124</v>
      </c>
      <c r="K26" s="32" t="str">
        <f t="shared" ref="K26:K29" si="14">K6</f>
        <v>Tra_EV_Batt-NMC111_virgin</v>
      </c>
      <c r="L26" s="24" t="s">
        <v>217</v>
      </c>
      <c r="M26" s="33">
        <f t="shared" ref="M26:M29" si="15">T73/1000</f>
        <v>0.0774</v>
      </c>
      <c r="N26" s="30">
        <v>2020</v>
      </c>
      <c r="O26" s="30"/>
      <c r="P26" s="29" t="s">
        <v>124</v>
      </c>
      <c r="Q26" s="32" t="str">
        <f t="shared" ref="Q26:Q29" si="16">Q6</f>
        <v>Tra_EV_Batt-NMC532_virgin</v>
      </c>
      <c r="R26" s="24" t="s">
        <v>217</v>
      </c>
      <c r="S26" s="39">
        <f t="shared" ref="S26:S29" si="17">S32/1000</f>
        <v>0.072</v>
      </c>
      <c r="T26" s="30">
        <v>2020</v>
      </c>
      <c r="U26" s="30"/>
      <c r="V26" s="29" t="s">
        <v>124</v>
      </c>
      <c r="W26" s="32" t="str">
        <f t="shared" ref="W26:W29" si="18">W6</f>
        <v>Tra_EV_Batt-NMC622_virgin</v>
      </c>
      <c r="X26" s="24" t="s">
        <v>217</v>
      </c>
      <c r="Y26" s="39">
        <f t="shared" ref="Y26:Y29" si="19">Y32/1000</f>
        <v>0.0719</v>
      </c>
      <c r="Z26" s="30">
        <v>2020</v>
      </c>
      <c r="AA26" s="30"/>
      <c r="AB26" s="29" t="s">
        <v>124</v>
      </c>
      <c r="AC26" s="32" t="str">
        <f t="shared" ref="AC26:AC29" si="20">AC6</f>
        <v>Tra_EV_Batt-NMC811_virgin</v>
      </c>
      <c r="AD26" s="24" t="s">
        <v>217</v>
      </c>
      <c r="AE26" s="39">
        <f t="shared" ref="AE26:AE29" si="21">AE32/1000</f>
        <v>0.0731</v>
      </c>
      <c r="AF26" s="30">
        <v>2020</v>
      </c>
      <c r="AG26" s="30"/>
      <c r="AH26" s="29" t="s">
        <v>124</v>
      </c>
      <c r="AI26" s="32" t="str">
        <f t="shared" ref="AI26:AI29" si="22">AI6</f>
        <v>Tra_EV_Batt-NCA_virgin</v>
      </c>
      <c r="AJ26" s="24" t="s">
        <v>217</v>
      </c>
      <c r="AK26" s="39">
        <f t="shared" ref="AK26:AK29" si="23">AK32/1000</f>
        <v>0.0776999999999999</v>
      </c>
      <c r="AL26" s="30">
        <v>2020</v>
      </c>
      <c r="AM26" s="30"/>
      <c r="AN26" s="29" t="s">
        <v>124</v>
      </c>
      <c r="AO26" s="32" t="str">
        <f t="shared" ref="AO26:AO29" si="24">AO6</f>
        <v>Tra_EV_Batt-LMO_virgin</v>
      </c>
      <c r="AP26" s="24" t="s">
        <v>217</v>
      </c>
      <c r="AQ26" s="39">
        <f t="shared" ref="AQ26:AQ29" si="25">AQ32/1000</f>
        <v>0.0431</v>
      </c>
      <c r="AR26" s="30">
        <v>2020</v>
      </c>
      <c r="AS26" s="27"/>
      <c r="AT26" s="29" t="s">
        <v>124</v>
      </c>
      <c r="AU26" s="32" t="str">
        <f t="shared" ref="AU26:AU29" si="26">AU6</f>
        <v>Tra_EV_Batt-LFP_virgin</v>
      </c>
      <c r="AV26" s="24" t="s">
        <v>217</v>
      </c>
      <c r="AW26" s="39">
        <f t="shared" ref="AW26:AW29" si="27">AW32/1000</f>
        <v>0.0478</v>
      </c>
      <c r="AX26" s="30">
        <v>2020</v>
      </c>
    </row>
    <row r="27" ht="16" spans="4:55">
      <c r="J27" s="29" t="s">
        <v>124</v>
      </c>
      <c r="K27" s="32" t="str">
        <f t="shared" si="14"/>
        <v>Tra_EV_Batt-NMC111_virgin</v>
      </c>
      <c r="L27" s="24" t="s">
        <v>224</v>
      </c>
      <c r="M27" s="33">
        <f t="shared" si="15"/>
        <v>0.2366</v>
      </c>
      <c r="N27" s="30">
        <v>2020</v>
      </c>
      <c r="O27" s="30"/>
      <c r="P27" s="29" t="s">
        <v>124</v>
      </c>
      <c r="Q27" s="32" t="str">
        <f t="shared" si="16"/>
        <v>Tra_EV_Batt-NMC532_virgin</v>
      </c>
      <c r="R27" s="24" t="s">
        <v>224</v>
      </c>
      <c r="S27" s="39">
        <f t="shared" si="17"/>
        <v>0.2252</v>
      </c>
      <c r="T27" s="30">
        <v>2020</v>
      </c>
      <c r="U27" s="30"/>
      <c r="V27" s="29" t="s">
        <v>124</v>
      </c>
      <c r="W27" s="32" t="str">
        <f t="shared" si="18"/>
        <v>Tra_EV_Batt-NMC622_virgin</v>
      </c>
      <c r="X27" s="24" t="s">
        <v>224</v>
      </c>
      <c r="Y27" s="39">
        <f t="shared" si="19"/>
        <v>0.2255</v>
      </c>
      <c r="Z27" s="30">
        <v>2020</v>
      </c>
      <c r="AA27" s="30"/>
      <c r="AB27" s="29" t="s">
        <v>124</v>
      </c>
      <c r="AC27" s="32" t="str">
        <f t="shared" si="20"/>
        <v>Tra_EV_Batt-NMC811_virgin</v>
      </c>
      <c r="AD27" s="24" t="s">
        <v>224</v>
      </c>
      <c r="AE27" s="39">
        <f t="shared" si="21"/>
        <v>0.2198</v>
      </c>
      <c r="AF27" s="30">
        <v>2020</v>
      </c>
      <c r="AG27" s="30"/>
      <c r="AH27" s="29" t="s">
        <v>124</v>
      </c>
      <c r="AI27" s="32" t="str">
        <f t="shared" si="22"/>
        <v>Tra_EV_Batt-NCA_virgin</v>
      </c>
      <c r="AJ27" s="24" t="s">
        <v>224</v>
      </c>
      <c r="AK27" s="39">
        <f t="shared" si="23"/>
        <v>0.2322</v>
      </c>
      <c r="AL27" s="30">
        <v>2020</v>
      </c>
      <c r="AM27" s="30"/>
      <c r="AN27" s="29" t="s">
        <v>124</v>
      </c>
      <c r="AO27" s="32" t="str">
        <f t="shared" si="24"/>
        <v>Tra_EV_Batt-LMO_virgin</v>
      </c>
      <c r="AP27" s="24" t="s">
        <v>224</v>
      </c>
      <c r="AQ27" s="39">
        <f t="shared" si="25"/>
        <v>0.1108</v>
      </c>
      <c r="AR27" s="30">
        <v>2020</v>
      </c>
      <c r="AS27" s="27"/>
      <c r="AT27" s="29" t="s">
        <v>124</v>
      </c>
      <c r="AU27" s="32" t="str">
        <f t="shared" si="26"/>
        <v>Tra_EV_Batt-LFP_virgin</v>
      </c>
      <c r="AV27" s="24" t="s">
        <v>224</v>
      </c>
      <c r="AW27" s="39">
        <f t="shared" si="27"/>
        <v>0.1895</v>
      </c>
      <c r="AX27" s="30">
        <v>2020</v>
      </c>
    </row>
    <row r="28" ht="16" spans="4:55">
      <c r="J28" s="29" t="s">
        <v>124</v>
      </c>
      <c r="K28" s="32" t="str">
        <f t="shared" si="14"/>
        <v>Tra_EV_Batt-NMC111_virgin</v>
      </c>
      <c r="L28" s="24" t="s">
        <v>225</v>
      </c>
      <c r="M28" s="33">
        <f t="shared" si="15"/>
        <v>0.5598</v>
      </c>
      <c r="N28" s="30">
        <v>2020</v>
      </c>
      <c r="O28" s="30"/>
      <c r="P28" s="29" t="s">
        <v>124</v>
      </c>
      <c r="Q28" s="32" t="str">
        <f t="shared" si="16"/>
        <v>Tra_EV_Batt-NMC532_virgin</v>
      </c>
      <c r="R28" s="24" t="s">
        <v>225</v>
      </c>
      <c r="S28" s="39">
        <f t="shared" si="17"/>
        <v>0.5321</v>
      </c>
      <c r="T28" s="30">
        <v>2020</v>
      </c>
      <c r="U28" s="30"/>
      <c r="V28" s="29" t="s">
        <v>124</v>
      </c>
      <c r="W28" s="32" t="str">
        <f t="shared" si="18"/>
        <v>Tra_EV_Batt-NMC622_virgin</v>
      </c>
      <c r="X28" s="24" t="s">
        <v>225</v>
      </c>
      <c r="Y28" s="39">
        <f t="shared" si="19"/>
        <v>0.5339</v>
      </c>
      <c r="Z28" s="30">
        <v>2020</v>
      </c>
      <c r="AA28" s="30"/>
      <c r="AB28" s="29" t="s">
        <v>124</v>
      </c>
      <c r="AC28" s="32" t="str">
        <f t="shared" si="20"/>
        <v>Tra_EV_Batt-NMC811_virgin</v>
      </c>
      <c r="AD28" s="24" t="s">
        <v>225</v>
      </c>
      <c r="AE28" s="39">
        <f t="shared" si="21"/>
        <v>0.5264</v>
      </c>
      <c r="AF28" s="30">
        <v>2020</v>
      </c>
      <c r="AG28" s="30"/>
      <c r="AH28" s="29" t="s">
        <v>124</v>
      </c>
      <c r="AI28" s="32" t="str">
        <f t="shared" si="22"/>
        <v>Tra_EV_Batt-NCA_virgin</v>
      </c>
      <c r="AJ28" s="24" t="s">
        <v>225</v>
      </c>
      <c r="AK28" s="39">
        <f t="shared" si="23"/>
        <v>0.5702</v>
      </c>
      <c r="AL28" s="30">
        <v>2020</v>
      </c>
      <c r="AM28" s="30"/>
      <c r="AN28" s="29" t="s">
        <v>124</v>
      </c>
      <c r="AO28" s="32" t="str">
        <f t="shared" si="24"/>
        <v>Tra_EV_Batt-LMO_virgin</v>
      </c>
      <c r="AP28" s="24" t="s">
        <v>225</v>
      </c>
      <c r="AQ28" s="39">
        <f t="shared" si="25"/>
        <v>0.3858</v>
      </c>
      <c r="AR28" s="30">
        <v>2020</v>
      </c>
      <c r="AS28" s="27"/>
      <c r="AT28" s="29" t="s">
        <v>124</v>
      </c>
      <c r="AU28" s="32" t="str">
        <f t="shared" si="26"/>
        <v>Tra_EV_Batt-LFP_virgin</v>
      </c>
      <c r="AV28" s="24" t="s">
        <v>225</v>
      </c>
      <c r="AW28" s="39">
        <f t="shared" si="27"/>
        <v>0.453</v>
      </c>
      <c r="AX28" s="30">
        <v>2020</v>
      </c>
    </row>
    <row r="29" ht="16" spans="4:55">
      <c r="J29" s="29" t="s">
        <v>124</v>
      </c>
      <c r="K29" s="32" t="str">
        <f t="shared" si="14"/>
        <v>Tra_EV_Batt-NMC111_virgin</v>
      </c>
      <c r="L29" s="24" t="s">
        <v>226</v>
      </c>
      <c r="M29" s="33">
        <f t="shared" si="15"/>
        <v>0.1277</v>
      </c>
      <c r="N29" s="30">
        <v>2020</v>
      </c>
      <c r="O29" s="30"/>
      <c r="P29" s="29" t="s">
        <v>124</v>
      </c>
      <c r="Q29" s="32" t="str">
        <f t="shared" si="16"/>
        <v>Tra_EV_Batt-NMC532_virgin</v>
      </c>
      <c r="R29" s="24" t="s">
        <v>226</v>
      </c>
      <c r="S29" s="39">
        <f t="shared" si="17"/>
        <v>0.134</v>
      </c>
      <c r="T29" s="30">
        <v>2020</v>
      </c>
      <c r="U29" s="30"/>
      <c r="V29" s="29" t="s">
        <v>124</v>
      </c>
      <c r="W29" s="32" t="str">
        <f t="shared" si="18"/>
        <v>Tra_EV_Batt-NMC622_virgin</v>
      </c>
      <c r="X29" s="24" t="s">
        <v>226</v>
      </c>
      <c r="Y29" s="39">
        <f t="shared" si="19"/>
        <v>0.1406</v>
      </c>
      <c r="Z29" s="30">
        <v>2020</v>
      </c>
      <c r="AA29" s="30"/>
      <c r="AB29" s="29" t="s">
        <v>124</v>
      </c>
      <c r="AC29" s="32" t="str">
        <f t="shared" si="20"/>
        <v>Tra_EV_Batt-NMC811_virgin</v>
      </c>
      <c r="AD29" s="24" t="s">
        <v>226</v>
      </c>
      <c r="AE29" s="39">
        <f t="shared" si="21"/>
        <v>0.1502</v>
      </c>
      <c r="AF29" s="30">
        <v>2020</v>
      </c>
      <c r="AG29" s="30"/>
      <c r="AH29" s="29" t="s">
        <v>124</v>
      </c>
      <c r="AI29" s="32" t="str">
        <f t="shared" si="22"/>
        <v>Tra_EV_Batt-NCA_virgin</v>
      </c>
      <c r="AJ29" s="24" t="s">
        <v>226</v>
      </c>
      <c r="AK29" s="39">
        <f t="shared" si="23"/>
        <v>0.1611</v>
      </c>
      <c r="AL29" s="30">
        <v>2020</v>
      </c>
      <c r="AM29" s="30"/>
      <c r="AN29" s="29" t="s">
        <v>124</v>
      </c>
      <c r="AO29" s="32" t="str">
        <f t="shared" si="24"/>
        <v>Tra_EV_Batt-LMO_virgin</v>
      </c>
      <c r="AP29" s="24" t="s">
        <v>226</v>
      </c>
      <c r="AQ29" s="39">
        <f t="shared" si="25"/>
        <v>0.0572</v>
      </c>
      <c r="AR29" s="30">
        <v>2020</v>
      </c>
      <c r="AS29" s="27"/>
      <c r="AT29" s="29" t="s">
        <v>124</v>
      </c>
      <c r="AU29" s="32" t="str">
        <f t="shared" si="26"/>
        <v>Tra_EV_Batt-LFP_virgin</v>
      </c>
      <c r="AV29" s="24" t="s">
        <v>226</v>
      </c>
      <c r="AW29" s="39">
        <f t="shared" si="27"/>
        <v>0.0955</v>
      </c>
      <c r="AX29" s="30">
        <v>2020</v>
      </c>
    </row>
    <row r="32" ht="14.5" spans="4:55">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7:49">
      <c r="S33" s="38">
        <f t="shared" si="28"/>
        <v>225.2</v>
      </c>
      <c r="Y33" s="38">
        <f t="shared" si="29"/>
        <v>225.5</v>
      </c>
      <c r="AE33" s="38">
        <f t="shared" si="30"/>
        <v>219.8</v>
      </c>
      <c r="AK33" s="38">
        <f t="shared" si="31"/>
        <v>232.2</v>
      </c>
      <c r="AQ33" s="38">
        <f t="shared" si="32"/>
        <v>110.8</v>
      </c>
      <c r="AW33" s="38">
        <f t="shared" si="33"/>
        <v>189.5</v>
      </c>
    </row>
    <row r="34" ht="14.5" spans="17:49">
      <c r="S34" s="38">
        <f t="shared" si="28"/>
        <v>532.1</v>
      </c>
      <c r="Y34" s="38">
        <f t="shared" si="29"/>
        <v>533.9</v>
      </c>
      <c r="AE34" s="38">
        <f t="shared" si="30"/>
        <v>526.4</v>
      </c>
      <c r="AK34" s="38">
        <f t="shared" si="31"/>
        <v>570.2</v>
      </c>
      <c r="AQ34" s="38">
        <f t="shared" si="32"/>
        <v>385.8</v>
      </c>
      <c r="AW34" s="38">
        <f t="shared" si="33"/>
        <v>453</v>
      </c>
    </row>
    <row r="35" ht="14.5" spans="17:49">
      <c r="S35" s="38">
        <f t="shared" si="28"/>
        <v>134</v>
      </c>
      <c r="Y35" s="38">
        <f t="shared" si="29"/>
        <v>140.6</v>
      </c>
      <c r="AE35" s="38">
        <f t="shared" si="30"/>
        <v>150.2</v>
      </c>
      <c r="AK35" s="38">
        <f t="shared" si="31"/>
        <v>161.1</v>
      </c>
      <c r="AQ35" s="38">
        <f t="shared" si="32"/>
        <v>57.2</v>
      </c>
      <c r="AW35" s="38">
        <f t="shared" si="33"/>
        <v>95.5</v>
      </c>
    </row>
    <row r="42" ht="14.5" spans="17:49">
      <c r="Q42" s="1" t="s">
        <v>227</v>
      </c>
      <c r="R42" s="1"/>
      <c r="S42" s="1"/>
      <c r="T42" s="1"/>
      <c r="U42" s="1"/>
      <c r="V42" s="1"/>
      <c r="W42" s="1"/>
      <c r="X42" s="1"/>
      <c r="Y42" s="1"/>
      <c r="Z42" s="1"/>
    </row>
    <row r="43" ht="15.5" spans="17:49">
      <c r="Q43" s="40" t="s">
        <v>228</v>
      </c>
      <c r="R43" s="40" t="s">
        <v>229</v>
      </c>
      <c r="S43" s="41" t="s">
        <v>230</v>
      </c>
      <c r="T43" s="41"/>
      <c r="U43" s="41"/>
      <c r="V43" s="41"/>
      <c r="W43" s="41"/>
      <c r="X43" s="41"/>
      <c r="Y43" s="41"/>
      <c r="Z43" s="41"/>
    </row>
    <row r="44" ht="15.5" spans="17:49">
      <c r="Q44" s="40"/>
      <c r="R44" s="40"/>
      <c r="S44" s="41" t="s">
        <v>231</v>
      </c>
      <c r="T44" s="41" t="s">
        <v>232</v>
      </c>
      <c r="U44" s="41" t="s">
        <v>233</v>
      </c>
      <c r="V44" s="41" t="s">
        <v>234</v>
      </c>
      <c r="W44" s="41" t="s">
        <v>235</v>
      </c>
      <c r="X44" s="41" t="s">
        <v>236</v>
      </c>
      <c r="Y44" s="41" t="s">
        <v>237</v>
      </c>
      <c r="Z44" s="41" t="s">
        <v>238</v>
      </c>
    </row>
    <row r="45" ht="15.5" spans="17:49">
      <c r="Q45" s="40" t="s">
        <v>239</v>
      </c>
      <c r="R45" s="42" t="s">
        <v>240</v>
      </c>
      <c r="S45" s="43">
        <v>1211.3</v>
      </c>
      <c r="T45" s="43">
        <v>990.7</v>
      </c>
      <c r="U45" s="43">
        <v>952.4</v>
      </c>
      <c r="V45" s="43">
        <v>961</v>
      </c>
      <c r="W45" s="43">
        <v>958.7</v>
      </c>
      <c r="X45" s="43">
        <v>1030.2</v>
      </c>
      <c r="Y45" s="43">
        <v>586.1</v>
      </c>
      <c r="Z45" s="43">
        <v>775</v>
      </c>
    </row>
    <row r="46" ht="15.5" spans="17:49">
      <c r="Q46" s="40"/>
      <c r="R46" s="42" t="s">
        <v>241</v>
      </c>
      <c r="S46" s="43">
        <v>1103.7</v>
      </c>
      <c r="T46" s="43">
        <v>913.9</v>
      </c>
      <c r="U46" s="43">
        <v>881.1</v>
      </c>
      <c r="V46" s="43">
        <v>889.8</v>
      </c>
      <c r="W46" s="43">
        <v>886.2</v>
      </c>
      <c r="X46" s="43">
        <v>953.2</v>
      </c>
      <c r="Y46" s="43">
        <v>543.7</v>
      </c>
      <c r="Z46" s="43">
        <v>727.8</v>
      </c>
    </row>
    <row r="47" ht="15.5" spans="17:49">
      <c r="Q47" s="40"/>
      <c r="R47" s="42" t="s">
        <v>242</v>
      </c>
      <c r="S47" s="43">
        <v>267.3</v>
      </c>
      <c r="T47" s="43">
        <v>202.6</v>
      </c>
      <c r="U47" s="43">
        <v>191.3</v>
      </c>
      <c r="V47" s="43">
        <v>191.5</v>
      </c>
      <c r="W47" s="43">
        <v>185.9</v>
      </c>
      <c r="X47" s="43">
        <v>198.2</v>
      </c>
      <c r="Y47" s="43">
        <v>76.8</v>
      </c>
      <c r="Z47" s="43">
        <v>155.5</v>
      </c>
    </row>
    <row r="48" ht="15.5" spans="17:49">
      <c r="Q48" s="40"/>
      <c r="R48" s="42" t="s">
        <v>243</v>
      </c>
      <c r="S48" s="43">
        <v>692.5</v>
      </c>
      <c r="T48" s="43">
        <v>583.8</v>
      </c>
      <c r="U48" s="43">
        <v>556.1</v>
      </c>
      <c r="V48" s="43">
        <v>557.9</v>
      </c>
      <c r="W48" s="43">
        <v>550.5</v>
      </c>
      <c r="X48" s="43">
        <v>594.2</v>
      </c>
      <c r="Y48" s="43">
        <v>409.9</v>
      </c>
      <c r="Z48" s="43">
        <v>477</v>
      </c>
    </row>
    <row r="49" ht="15.5" spans="17:26">
      <c r="Q49" s="40"/>
      <c r="R49" s="42" t="s">
        <v>244</v>
      </c>
      <c r="S49" s="43">
        <v>144</v>
      </c>
      <c r="T49" s="43">
        <v>127.5</v>
      </c>
      <c r="U49" s="43">
        <v>133.7</v>
      </c>
      <c r="V49" s="43">
        <v>140.3</v>
      </c>
      <c r="W49" s="43">
        <v>149.9</v>
      </c>
      <c r="X49" s="43">
        <v>160.8</v>
      </c>
      <c r="Y49" s="43">
        <v>57</v>
      </c>
      <c r="Z49" s="43">
        <v>95.2</v>
      </c>
    </row>
    <row r="50" ht="15.5" spans="17:26">
      <c r="Q50" s="40" t="s">
        <v>245</v>
      </c>
      <c r="R50" s="42" t="s">
        <v>240</v>
      </c>
      <c r="S50" s="43">
        <v>1217.1</v>
      </c>
      <c r="T50" s="43">
        <v>996.4</v>
      </c>
      <c r="U50" s="43">
        <v>958.2</v>
      </c>
      <c r="V50" s="43">
        <v>966.8</v>
      </c>
      <c r="W50" s="43">
        <v>964.4</v>
      </c>
      <c r="X50" s="43">
        <v>1036</v>
      </c>
      <c r="Y50" s="43">
        <v>591.9</v>
      </c>
      <c r="Z50" s="43">
        <v>780.8</v>
      </c>
    </row>
    <row r="51" ht="15.5" spans="17:26">
      <c r="Q51" s="40"/>
      <c r="R51" s="42" t="s">
        <v>241</v>
      </c>
      <c r="S51" s="43">
        <v>1109.8</v>
      </c>
      <c r="T51" s="43">
        <v>920</v>
      </c>
      <c r="U51" s="43">
        <v>887.2</v>
      </c>
      <c r="V51" s="43">
        <v>895.9</v>
      </c>
      <c r="W51" s="43">
        <v>892.3</v>
      </c>
      <c r="X51" s="43">
        <v>959.3</v>
      </c>
      <c r="Y51" s="43">
        <v>549.8</v>
      </c>
      <c r="Z51" s="43">
        <v>733.9</v>
      </c>
    </row>
    <row r="52" ht="15.5" spans="17:26">
      <c r="Q52" s="40"/>
      <c r="R52" s="42" t="s">
        <v>242</v>
      </c>
      <c r="S52" s="43">
        <v>280.2</v>
      </c>
      <c r="T52" s="43">
        <v>215.6</v>
      </c>
      <c r="U52" s="43">
        <v>204.2</v>
      </c>
      <c r="V52" s="43">
        <v>204.5</v>
      </c>
      <c r="W52" s="43">
        <v>198.8</v>
      </c>
      <c r="X52" s="43">
        <v>211.1</v>
      </c>
      <c r="Y52" s="43">
        <v>89.8</v>
      </c>
      <c r="Z52" s="43">
        <v>168.5</v>
      </c>
    </row>
    <row r="53" ht="15.5" spans="17:26">
      <c r="Q53" s="40"/>
      <c r="R53" s="42" t="s">
        <v>243</v>
      </c>
      <c r="S53" s="43">
        <v>684.6</v>
      </c>
      <c r="T53" s="43">
        <v>575.9</v>
      </c>
      <c r="U53" s="43">
        <v>548.2</v>
      </c>
      <c r="V53" s="43">
        <v>550</v>
      </c>
      <c r="W53" s="43">
        <v>542.6</v>
      </c>
      <c r="X53" s="43">
        <v>586.3</v>
      </c>
      <c r="Y53" s="43">
        <v>402</v>
      </c>
      <c r="Z53" s="43">
        <v>469.1</v>
      </c>
    </row>
    <row r="54" ht="15.5" spans="17:26">
      <c r="Q54" s="40"/>
      <c r="R54" s="42" t="s">
        <v>244</v>
      </c>
      <c r="S54" s="43">
        <v>145</v>
      </c>
      <c r="T54" s="43">
        <v>128.5</v>
      </c>
      <c r="U54" s="43">
        <v>134.7</v>
      </c>
      <c r="V54" s="43">
        <v>141.3</v>
      </c>
      <c r="W54" s="43">
        <v>150.9</v>
      </c>
      <c r="X54" s="43">
        <v>161.9</v>
      </c>
      <c r="Y54" s="43">
        <v>58</v>
      </c>
      <c r="Z54" s="43">
        <v>96.3</v>
      </c>
    </row>
    <row r="55" ht="15.5" spans="17:26">
      <c r="Q55" s="40" t="s">
        <v>11</v>
      </c>
      <c r="R55" s="42" t="s">
        <v>240</v>
      </c>
      <c r="S55" s="43">
        <v>1222.2</v>
      </c>
      <c r="T55" s="43">
        <v>1001.5</v>
      </c>
      <c r="U55" s="43">
        <v>963.3</v>
      </c>
      <c r="V55" s="43">
        <v>971.9</v>
      </c>
      <c r="W55" s="43">
        <v>969.5</v>
      </c>
      <c r="X55" s="43">
        <v>1041.1</v>
      </c>
      <c r="Y55" s="43">
        <v>597</v>
      </c>
      <c r="Z55" s="43">
        <v>785.8</v>
      </c>
    </row>
    <row r="56" ht="15.5" spans="17:26">
      <c r="Q56" s="40"/>
      <c r="R56" s="42" t="s">
        <v>241</v>
      </c>
      <c r="S56" s="43">
        <v>1113.9</v>
      </c>
      <c r="T56" s="43">
        <v>924.1</v>
      </c>
      <c r="U56" s="43">
        <v>891.3</v>
      </c>
      <c r="V56" s="43">
        <v>900</v>
      </c>
      <c r="W56" s="43">
        <v>896.4</v>
      </c>
      <c r="X56" s="43">
        <v>963.4</v>
      </c>
      <c r="Y56" s="43">
        <v>553.9</v>
      </c>
      <c r="Z56" s="43">
        <v>738</v>
      </c>
    </row>
    <row r="57" ht="15.5" spans="17:26">
      <c r="Q57" s="40"/>
      <c r="R57" s="42" t="s">
        <v>242</v>
      </c>
      <c r="S57" s="43">
        <v>301.2</v>
      </c>
      <c r="T57" s="43">
        <v>236.6</v>
      </c>
      <c r="U57" s="43">
        <v>225.2</v>
      </c>
      <c r="V57" s="43">
        <v>225.5</v>
      </c>
      <c r="W57" s="43">
        <v>219.8</v>
      </c>
      <c r="X57" s="43">
        <v>232.2</v>
      </c>
      <c r="Y57" s="43">
        <v>110.8</v>
      </c>
      <c r="Z57" s="43">
        <v>189.5</v>
      </c>
    </row>
    <row r="58" ht="15.5" spans="17:26">
      <c r="Q58" s="40"/>
      <c r="R58" s="42" t="s">
        <v>243</v>
      </c>
      <c r="S58" s="43">
        <v>668.4</v>
      </c>
      <c r="T58" s="43">
        <v>559.8</v>
      </c>
      <c r="U58" s="43">
        <v>532.1</v>
      </c>
      <c r="V58" s="43">
        <v>533.9</v>
      </c>
      <c r="W58" s="43">
        <v>526.4</v>
      </c>
      <c r="X58" s="43">
        <v>570.2</v>
      </c>
      <c r="Y58" s="43">
        <v>385.8</v>
      </c>
      <c r="Z58" s="43">
        <v>453</v>
      </c>
    </row>
    <row r="59" ht="15.5" spans="17:26">
      <c r="Q59" s="40"/>
      <c r="R59" s="42" t="s">
        <v>244</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246</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231</v>
      </c>
      <c r="T64" s="41" t="s">
        <v>232</v>
      </c>
      <c r="U64" s="41" t="s">
        <v>233</v>
      </c>
      <c r="V64" s="41" t="s">
        <v>234</v>
      </c>
      <c r="W64" s="41" t="s">
        <v>235</v>
      </c>
      <c r="X64" s="41" t="s">
        <v>236</v>
      </c>
      <c r="Y64" s="41" t="s">
        <v>237</v>
      </c>
      <c r="Z64" s="41" t="s">
        <v>238</v>
      </c>
    </row>
    <row r="65" ht="14.5" spans="17:26">
      <c r="Q65" s="44" t="s">
        <v>239</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242</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243</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244</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245</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242</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243</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244</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242</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243</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244</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247</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242</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44"/>
      <c r="R81" s="47" t="s">
        <v>243</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44"/>
      <c r="R82" s="47" t="s">
        <v>244</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2" t="s">
        <v>215</v>
      </c>
      <c r="S94" s="2" t="s">
        <v>215</v>
      </c>
      <c r="Y94" s="2" t="s">
        <v>215</v>
      </c>
      <c r="AE94" s="2" t="s">
        <v>215</v>
      </c>
      <c r="AK94" s="2" t="s">
        <v>215</v>
      </c>
      <c r="AQ94" s="2" t="s">
        <v>215</v>
      </c>
      <c r="AW94" s="2" t="s">
        <v>215</v>
      </c>
    </row>
    <row r="95" spans="11:51">
      <c r="K95" s="2" t="s">
        <v>120</v>
      </c>
      <c r="L95" s="2" t="s">
        <v>64</v>
      </c>
      <c r="M95" s="2" t="s">
        <v>95</v>
      </c>
      <c r="N95" s="2" t="s">
        <v>25</v>
      </c>
      <c r="O95" s="2" t="s">
        <v>41</v>
      </c>
      <c r="Q95" s="2" t="s">
        <v>120</v>
      </c>
      <c r="R95" s="2" t="s">
        <v>64</v>
      </c>
      <c r="S95" s="2" t="s">
        <v>95</v>
      </c>
      <c r="T95" s="2" t="s">
        <v>25</v>
      </c>
      <c r="U95" s="2" t="s">
        <v>41</v>
      </c>
      <c r="W95" s="2" t="s">
        <v>120</v>
      </c>
      <c r="X95" s="2" t="s">
        <v>64</v>
      </c>
      <c r="Y95" s="2" t="s">
        <v>95</v>
      </c>
      <c r="Z95" s="2" t="s">
        <v>25</v>
      </c>
      <c r="AA95" s="2" t="s">
        <v>41</v>
      </c>
      <c r="AC95" s="2" t="s">
        <v>120</v>
      </c>
      <c r="AD95" s="2" t="s">
        <v>64</v>
      </c>
      <c r="AE95" s="2" t="s">
        <v>95</v>
      </c>
      <c r="AF95" s="2" t="s">
        <v>25</v>
      </c>
      <c r="AG95" s="2" t="s">
        <v>41</v>
      </c>
      <c r="AI95" s="2" t="s">
        <v>120</v>
      </c>
      <c r="AJ95" s="2" t="s">
        <v>64</v>
      </c>
      <c r="AK95" s="2" t="s">
        <v>95</v>
      </c>
      <c r="AL95" s="2" t="s">
        <v>25</v>
      </c>
      <c r="AM95" s="2" t="s">
        <v>41</v>
      </c>
      <c r="AO95" s="2" t="s">
        <v>120</v>
      </c>
      <c r="AP95" s="2" t="s">
        <v>64</v>
      </c>
      <c r="AQ95" s="2" t="s">
        <v>95</v>
      </c>
      <c r="AR95" s="2" t="s">
        <v>25</v>
      </c>
      <c r="AS95" s="2" t="s">
        <v>41</v>
      </c>
      <c r="AU95" s="2" t="s">
        <v>120</v>
      </c>
      <c r="AV95" s="2" t="s">
        <v>64</v>
      </c>
      <c r="AW95" s="2" t="s">
        <v>95</v>
      </c>
      <c r="AX95" s="2" t="s">
        <v>25</v>
      </c>
      <c r="AY95" s="2" t="s">
        <v>41</v>
      </c>
    </row>
    <row r="96" spans="11:51">
      <c r="K96" s="2" t="s">
        <v>124</v>
      </c>
      <c r="L96" s="2" t="s">
        <v>216</v>
      </c>
      <c r="M96" s="2" t="s">
        <v>217</v>
      </c>
      <c r="N96" s="2">
        <f>SUM(M6:M9)</f>
        <v>0.9907</v>
      </c>
      <c r="O96" s="2" t="s">
        <v>248</v>
      </c>
      <c r="Q96" s="2" t="s">
        <v>124</v>
      </c>
      <c r="R96" s="2" t="s">
        <v>218</v>
      </c>
      <c r="S96" s="2" t="s">
        <v>217</v>
      </c>
      <c r="T96" s="2">
        <f>SUM(S6:S9)</f>
        <v>0.9524</v>
      </c>
      <c r="U96" s="2" t="s">
        <v>248</v>
      </c>
      <c r="W96" s="2" t="s">
        <v>124</v>
      </c>
      <c r="X96" s="2" t="s">
        <v>219</v>
      </c>
      <c r="Y96" s="2" t="s">
        <v>217</v>
      </c>
      <c r="Z96" s="2">
        <f>SUM(Y6:Y9)</f>
        <v>0.9609</v>
      </c>
      <c r="AA96" s="2" t="s">
        <v>248</v>
      </c>
      <c r="AC96" s="2" t="s">
        <v>124</v>
      </c>
      <c r="AD96" s="2" t="s">
        <v>220</v>
      </c>
      <c r="AE96" s="2" t="s">
        <v>217</v>
      </c>
      <c r="AF96" s="2">
        <f>SUM(AE6:AE9)</f>
        <v>0.9588</v>
      </c>
      <c r="AG96" s="2" t="s">
        <v>248</v>
      </c>
      <c r="AI96" s="2" t="s">
        <v>124</v>
      </c>
      <c r="AJ96" s="2" t="s">
        <v>221</v>
      </c>
      <c r="AK96" s="2" t="s">
        <v>217</v>
      </c>
      <c r="AL96" s="2">
        <f>SUM(AK6:AK9)</f>
        <v>1.0302</v>
      </c>
      <c r="AM96" s="2" t="s">
        <v>248</v>
      </c>
      <c r="AO96" s="2" t="s">
        <v>124</v>
      </c>
      <c r="AP96" s="2" t="s">
        <v>222</v>
      </c>
      <c r="AQ96" s="2" t="s">
        <v>217</v>
      </c>
      <c r="AR96" s="2">
        <f>SUM(AQ6:AQ9)</f>
        <v>0.5861</v>
      </c>
      <c r="AS96" s="2" t="s">
        <v>248</v>
      </c>
      <c r="AU96" s="2" t="s">
        <v>124</v>
      </c>
      <c r="AV96" s="2" t="s">
        <v>223</v>
      </c>
      <c r="AW96" s="2" t="s">
        <v>217</v>
      </c>
      <c r="AX96" s="2">
        <f>SUM(AW6:AW9)</f>
        <v>0.7749</v>
      </c>
      <c r="AY96" s="2" t="s">
        <v>248</v>
      </c>
    </row>
    <row r="97" spans="11:51">
      <c r="K97" s="2" t="s">
        <v>124</v>
      </c>
      <c r="L97" s="2" t="s">
        <v>216</v>
      </c>
      <c r="M97" s="2" t="s">
        <v>224</v>
      </c>
      <c r="N97" s="2">
        <v>0</v>
      </c>
      <c r="O97" s="2" t="s">
        <v>248</v>
      </c>
      <c r="Q97" s="2" t="s">
        <v>124</v>
      </c>
      <c r="R97" s="2" t="s">
        <v>218</v>
      </c>
      <c r="S97" s="2" t="s">
        <v>224</v>
      </c>
      <c r="T97" s="2">
        <v>0</v>
      </c>
      <c r="U97" s="2" t="s">
        <v>248</v>
      </c>
      <c r="W97" s="2" t="s">
        <v>124</v>
      </c>
      <c r="X97" s="2" t="s">
        <v>219</v>
      </c>
      <c r="Y97" s="2" t="s">
        <v>224</v>
      </c>
      <c r="Z97" s="2">
        <v>0</v>
      </c>
      <c r="AA97" s="2" t="s">
        <v>248</v>
      </c>
      <c r="AC97" s="2" t="s">
        <v>124</v>
      </c>
      <c r="AD97" s="2" t="s">
        <v>220</v>
      </c>
      <c r="AE97" s="2" t="s">
        <v>224</v>
      </c>
      <c r="AF97" s="2">
        <v>0</v>
      </c>
      <c r="AG97" s="2" t="s">
        <v>248</v>
      </c>
      <c r="AI97" s="2" t="s">
        <v>124</v>
      </c>
      <c r="AJ97" s="2" t="s">
        <v>221</v>
      </c>
      <c r="AK97" s="2" t="s">
        <v>224</v>
      </c>
      <c r="AL97" s="2">
        <v>0</v>
      </c>
      <c r="AM97" s="2" t="s">
        <v>248</v>
      </c>
      <c r="AO97" s="2" t="s">
        <v>124</v>
      </c>
      <c r="AP97" s="2" t="s">
        <v>222</v>
      </c>
      <c r="AQ97" s="2" t="s">
        <v>224</v>
      </c>
      <c r="AR97" s="2">
        <v>0</v>
      </c>
      <c r="AS97" s="2" t="s">
        <v>248</v>
      </c>
      <c r="AU97" s="2" t="s">
        <v>124</v>
      </c>
      <c r="AV97" s="2" t="s">
        <v>223</v>
      </c>
      <c r="AW97" s="2" t="s">
        <v>224</v>
      </c>
      <c r="AX97" s="2">
        <v>0</v>
      </c>
      <c r="AY97" s="2" t="s">
        <v>248</v>
      </c>
    </row>
    <row r="98" spans="11:51">
      <c r="K98" s="2" t="s">
        <v>124</v>
      </c>
      <c r="L98" s="2" t="s">
        <v>216</v>
      </c>
      <c r="M98" s="2" t="s">
        <v>225</v>
      </c>
      <c r="N98" s="2">
        <v>0</v>
      </c>
      <c r="O98" s="2" t="s">
        <v>248</v>
      </c>
      <c r="Q98" s="2" t="s">
        <v>124</v>
      </c>
      <c r="R98" s="2" t="s">
        <v>218</v>
      </c>
      <c r="S98" s="2" t="s">
        <v>225</v>
      </c>
      <c r="T98" s="2">
        <v>0</v>
      </c>
      <c r="U98" s="2" t="s">
        <v>248</v>
      </c>
      <c r="W98" s="2" t="s">
        <v>124</v>
      </c>
      <c r="X98" s="2" t="s">
        <v>219</v>
      </c>
      <c r="Y98" s="2" t="s">
        <v>225</v>
      </c>
      <c r="Z98" s="2">
        <v>0</v>
      </c>
      <c r="AA98" s="2" t="s">
        <v>248</v>
      </c>
      <c r="AC98" s="2" t="s">
        <v>124</v>
      </c>
      <c r="AD98" s="2" t="s">
        <v>220</v>
      </c>
      <c r="AE98" s="2" t="s">
        <v>225</v>
      </c>
      <c r="AF98" s="2">
        <v>0</v>
      </c>
      <c r="AG98" s="2" t="s">
        <v>248</v>
      </c>
      <c r="AI98" s="2" t="s">
        <v>124</v>
      </c>
      <c r="AJ98" s="2" t="s">
        <v>221</v>
      </c>
      <c r="AK98" s="2" t="s">
        <v>225</v>
      </c>
      <c r="AL98" s="2">
        <v>0</v>
      </c>
      <c r="AM98" s="2" t="s">
        <v>248</v>
      </c>
      <c r="AO98" s="2" t="s">
        <v>124</v>
      </c>
      <c r="AP98" s="2" t="s">
        <v>222</v>
      </c>
      <c r="AQ98" s="2" t="s">
        <v>225</v>
      </c>
      <c r="AR98" s="2">
        <v>0</v>
      </c>
      <c r="AS98" s="2" t="s">
        <v>248</v>
      </c>
      <c r="AU98" s="2" t="s">
        <v>124</v>
      </c>
      <c r="AV98" s="2" t="s">
        <v>223</v>
      </c>
      <c r="AW98" s="2" t="s">
        <v>225</v>
      </c>
      <c r="AX98" s="2">
        <v>0</v>
      </c>
      <c r="AY98" s="2" t="s">
        <v>248</v>
      </c>
    </row>
    <row r="99" spans="11:51">
      <c r="K99" s="2" t="s">
        <v>124</v>
      </c>
      <c r="L99" s="2" t="s">
        <v>216</v>
      </c>
      <c r="M99" s="2" t="s">
        <v>226</v>
      </c>
      <c r="N99" s="2">
        <v>0</v>
      </c>
      <c r="O99" s="2" t="s">
        <v>248</v>
      </c>
      <c r="Q99" s="2" t="s">
        <v>124</v>
      </c>
      <c r="R99" s="2" t="s">
        <v>218</v>
      </c>
      <c r="S99" s="2" t="s">
        <v>226</v>
      </c>
      <c r="T99" s="2">
        <v>0</v>
      </c>
      <c r="U99" s="2" t="s">
        <v>248</v>
      </c>
      <c r="W99" s="2" t="s">
        <v>124</v>
      </c>
      <c r="X99" s="2" t="s">
        <v>219</v>
      </c>
      <c r="Y99" s="2" t="s">
        <v>226</v>
      </c>
      <c r="Z99" s="2">
        <v>0</v>
      </c>
      <c r="AA99" s="2" t="s">
        <v>248</v>
      </c>
      <c r="AC99" s="2" t="s">
        <v>124</v>
      </c>
      <c r="AD99" s="2" t="s">
        <v>220</v>
      </c>
      <c r="AE99" s="2" t="s">
        <v>226</v>
      </c>
      <c r="AF99" s="2">
        <v>0</v>
      </c>
      <c r="AG99" s="2" t="s">
        <v>248</v>
      </c>
      <c r="AI99" s="2" t="s">
        <v>124</v>
      </c>
      <c r="AJ99" s="2" t="s">
        <v>221</v>
      </c>
      <c r="AK99" s="2" t="s">
        <v>226</v>
      </c>
      <c r="AL99" s="2">
        <v>0</v>
      </c>
      <c r="AM99" s="2" t="s">
        <v>248</v>
      </c>
      <c r="AO99" s="2" t="s">
        <v>124</v>
      </c>
      <c r="AP99" s="2" t="s">
        <v>222</v>
      </c>
      <c r="AQ99" s="2" t="s">
        <v>226</v>
      </c>
      <c r="AR99" s="2">
        <v>0</v>
      </c>
      <c r="AS99" s="2" t="s">
        <v>248</v>
      </c>
      <c r="AU99" s="2" t="s">
        <v>124</v>
      </c>
      <c r="AV99" s="2" t="s">
        <v>223</v>
      </c>
      <c r="AW99" s="2" t="s">
        <v>226</v>
      </c>
      <c r="AX99" s="2">
        <v>0</v>
      </c>
      <c r="AY99" s="2" t="s">
        <v>248</v>
      </c>
    </row>
    <row r="106" spans="11:51">
      <c r="N106" s="2">
        <v>76.8000000000001</v>
      </c>
      <c r="T106" s="2">
        <v>71.3</v>
      </c>
      <c r="Z106" s="2">
        <v>71.2</v>
      </c>
      <c r="AF106" s="2">
        <v>71.2</v>
      </c>
      <c r="AL106" s="2">
        <v>71.2</v>
      </c>
      <c r="AR106" s="2">
        <v>71.2</v>
      </c>
      <c r="AX106" s="2">
        <v>71.2</v>
      </c>
    </row>
    <row r="107" spans="11:51">
      <c r="N107" s="2">
        <v>202.6</v>
      </c>
      <c r="T107" s="2">
        <v>191.3</v>
      </c>
      <c r="Z107" s="2">
        <v>191.5</v>
      </c>
      <c r="AF107" s="2">
        <v>191.5</v>
      </c>
      <c r="AL107" s="2">
        <v>191.5</v>
      </c>
      <c r="AR107" s="2">
        <v>191.5</v>
      </c>
      <c r="AX107" s="2">
        <v>191.5</v>
      </c>
    </row>
    <row r="108" spans="11:51">
      <c r="N108" s="2">
        <v>583.8</v>
      </c>
      <c r="T108" s="2">
        <v>556.1</v>
      </c>
      <c r="Z108" s="2">
        <v>557.9</v>
      </c>
      <c r="AF108" s="2">
        <v>557.9</v>
      </c>
      <c r="AL108" s="2">
        <v>557.9</v>
      </c>
      <c r="AR108" s="2">
        <v>557.9</v>
      </c>
      <c r="AX108" s="2">
        <v>557.9</v>
      </c>
    </row>
    <row r="109" spans="11:51">
      <c r="N109" s="2">
        <v>127.5</v>
      </c>
      <c r="T109" s="2">
        <v>133.7</v>
      </c>
      <c r="Z109" s="2">
        <v>140.3</v>
      </c>
      <c r="AF109" s="2">
        <v>140.3</v>
      </c>
      <c r="AL109" s="2">
        <v>140.3</v>
      </c>
      <c r="AR109" s="2">
        <v>140.3</v>
      </c>
      <c r="AX109" s="2">
        <v>140.3</v>
      </c>
    </row>
    <row r="114" spans="11:51">
      <c r="M114" s="2" t="s">
        <v>215</v>
      </c>
      <c r="S114" s="2" t="s">
        <v>215</v>
      </c>
      <c r="Y114" s="2" t="s">
        <v>215</v>
      </c>
      <c r="AE114" s="2" t="s">
        <v>215</v>
      </c>
      <c r="AK114" s="2" t="s">
        <v>215</v>
      </c>
      <c r="AQ114" s="2" t="s">
        <v>215</v>
      </c>
      <c r="AW114" s="2" t="s">
        <v>215</v>
      </c>
    </row>
    <row r="115" spans="11:51">
      <c r="K115" s="2" t="s">
        <v>120</v>
      </c>
      <c r="L115" s="2" t="s">
        <v>64</v>
      </c>
      <c r="M115" s="2" t="s">
        <v>95</v>
      </c>
      <c r="N115" s="2" t="s">
        <v>11</v>
      </c>
      <c r="O115" s="2" t="s">
        <v>41</v>
      </c>
      <c r="Q115" s="2" t="s">
        <v>120</v>
      </c>
      <c r="R115" s="2" t="s">
        <v>64</v>
      </c>
      <c r="S115" s="2" t="s">
        <v>95</v>
      </c>
      <c r="T115" s="2" t="s">
        <v>11</v>
      </c>
      <c r="U115" s="2" t="s">
        <v>41</v>
      </c>
      <c r="W115" s="2" t="s">
        <v>120</v>
      </c>
      <c r="X115" s="2" t="s">
        <v>64</v>
      </c>
      <c r="Y115" s="2" t="s">
        <v>95</v>
      </c>
      <c r="Z115" s="2" t="s">
        <v>11</v>
      </c>
      <c r="AA115" s="2" t="s">
        <v>41</v>
      </c>
      <c r="AC115" s="2" t="s">
        <v>120</v>
      </c>
      <c r="AD115" s="2" t="s">
        <v>64</v>
      </c>
      <c r="AE115" s="2" t="s">
        <v>95</v>
      </c>
      <c r="AF115" s="2" t="s">
        <v>11</v>
      </c>
      <c r="AG115" s="2" t="s">
        <v>41</v>
      </c>
      <c r="AI115" s="2" t="s">
        <v>120</v>
      </c>
      <c r="AJ115" s="2" t="s">
        <v>64</v>
      </c>
      <c r="AK115" s="2" t="s">
        <v>95</v>
      </c>
      <c r="AL115" s="2" t="s">
        <v>11</v>
      </c>
      <c r="AM115" s="2" t="s">
        <v>41</v>
      </c>
      <c r="AO115" s="2" t="s">
        <v>120</v>
      </c>
      <c r="AP115" s="2" t="s">
        <v>64</v>
      </c>
      <c r="AQ115" s="2" t="s">
        <v>95</v>
      </c>
      <c r="AR115" s="2" t="s">
        <v>11</v>
      </c>
      <c r="AS115" s="2" t="s">
        <v>41</v>
      </c>
      <c r="AU115" s="2" t="s">
        <v>120</v>
      </c>
      <c r="AV115" s="2" t="s">
        <v>64</v>
      </c>
      <c r="AW115" s="2" t="s">
        <v>95</v>
      </c>
      <c r="AX115" s="2" t="s">
        <v>11</v>
      </c>
      <c r="AY115" s="2" t="s">
        <v>41</v>
      </c>
    </row>
    <row r="116" spans="11:51">
      <c r="K116" s="2" t="s">
        <v>124</v>
      </c>
      <c r="L116" s="2" t="s">
        <v>216</v>
      </c>
      <c r="M116" s="2" t="s">
        <v>217</v>
      </c>
      <c r="N116" s="2">
        <f>SUM(M26:M29)</f>
        <v>1.0015</v>
      </c>
      <c r="O116" s="2" t="s">
        <v>248</v>
      </c>
      <c r="Q116" s="2" t="s">
        <v>124</v>
      </c>
      <c r="R116" s="2" t="s">
        <v>218</v>
      </c>
      <c r="S116" s="2" t="s">
        <v>217</v>
      </c>
      <c r="T116" s="2">
        <f>SUM(S26:S29)</f>
        <v>0.9633</v>
      </c>
      <c r="U116" s="2" t="s">
        <v>248</v>
      </c>
      <c r="W116" s="2" t="s">
        <v>124</v>
      </c>
      <c r="X116" s="2" t="s">
        <v>219</v>
      </c>
      <c r="Y116" s="2" t="s">
        <v>217</v>
      </c>
      <c r="Z116" s="2">
        <f>SUM(Y26:Y29)</f>
        <v>0.9719</v>
      </c>
      <c r="AA116" s="2" t="s">
        <v>248</v>
      </c>
      <c r="AC116" s="2" t="s">
        <v>124</v>
      </c>
      <c r="AD116" s="2" t="s">
        <v>220</v>
      </c>
      <c r="AE116" s="2" t="s">
        <v>217</v>
      </c>
      <c r="AF116" s="2">
        <f>SUM(AE26:AE29)</f>
        <v>0.9695</v>
      </c>
      <c r="AG116" s="2" t="s">
        <v>248</v>
      </c>
      <c r="AI116" s="2" t="s">
        <v>124</v>
      </c>
      <c r="AJ116" s="2" t="s">
        <v>221</v>
      </c>
      <c r="AK116" s="2" t="s">
        <v>217</v>
      </c>
      <c r="AL116" s="2">
        <f>SUM(AK26:AK29)</f>
        <v>1.0412</v>
      </c>
      <c r="AM116" s="2" t="s">
        <v>248</v>
      </c>
      <c r="AO116" s="2" t="s">
        <v>124</v>
      </c>
      <c r="AP116" s="2" t="s">
        <v>222</v>
      </c>
      <c r="AQ116" s="2" t="s">
        <v>217</v>
      </c>
      <c r="AR116" s="2">
        <f>SUM(AQ26:AQ29)</f>
        <v>0.5969</v>
      </c>
      <c r="AS116" s="2" t="s">
        <v>248</v>
      </c>
      <c r="AU116" s="2" t="s">
        <v>124</v>
      </c>
      <c r="AV116" s="2" t="s">
        <v>223</v>
      </c>
      <c r="AW116" s="2" t="s">
        <v>217</v>
      </c>
      <c r="AX116" s="2">
        <f>SUM(AW26:AW29)</f>
        <v>0.7858</v>
      </c>
      <c r="AY116" s="2" t="s">
        <v>248</v>
      </c>
    </row>
    <row r="117" spans="11:51">
      <c r="K117" s="2" t="s">
        <v>124</v>
      </c>
      <c r="L117" s="2" t="s">
        <v>216</v>
      </c>
      <c r="M117" s="2" t="s">
        <v>224</v>
      </c>
      <c r="N117" s="2">
        <v>0</v>
      </c>
      <c r="O117" s="2" t="s">
        <v>248</v>
      </c>
      <c r="Q117" s="2" t="s">
        <v>124</v>
      </c>
      <c r="R117" s="2" t="s">
        <v>218</v>
      </c>
      <c r="S117" s="2" t="s">
        <v>224</v>
      </c>
      <c r="T117" s="2">
        <v>0</v>
      </c>
      <c r="U117" s="2" t="s">
        <v>248</v>
      </c>
      <c r="W117" s="2" t="s">
        <v>124</v>
      </c>
      <c r="X117" s="2" t="s">
        <v>219</v>
      </c>
      <c r="Y117" s="2" t="s">
        <v>224</v>
      </c>
      <c r="Z117" s="2">
        <v>0</v>
      </c>
      <c r="AA117" s="2" t="s">
        <v>248</v>
      </c>
      <c r="AC117" s="2" t="s">
        <v>124</v>
      </c>
      <c r="AD117" s="2" t="s">
        <v>220</v>
      </c>
      <c r="AE117" s="2" t="s">
        <v>224</v>
      </c>
      <c r="AF117" s="2">
        <v>0</v>
      </c>
      <c r="AG117" s="2" t="s">
        <v>248</v>
      </c>
      <c r="AI117" s="2" t="s">
        <v>124</v>
      </c>
      <c r="AJ117" s="2" t="s">
        <v>221</v>
      </c>
      <c r="AK117" s="2" t="s">
        <v>224</v>
      </c>
      <c r="AL117" s="2">
        <v>0</v>
      </c>
      <c r="AM117" s="2" t="s">
        <v>248</v>
      </c>
      <c r="AO117" s="2" t="s">
        <v>124</v>
      </c>
      <c r="AP117" s="2" t="s">
        <v>222</v>
      </c>
      <c r="AQ117" s="2" t="s">
        <v>224</v>
      </c>
      <c r="AR117" s="2">
        <v>0</v>
      </c>
      <c r="AS117" s="2" t="s">
        <v>248</v>
      </c>
      <c r="AU117" s="2" t="s">
        <v>124</v>
      </c>
      <c r="AV117" s="2" t="s">
        <v>223</v>
      </c>
      <c r="AW117" s="2" t="s">
        <v>224</v>
      </c>
      <c r="AX117" s="2">
        <v>0</v>
      </c>
      <c r="AY117" s="2" t="s">
        <v>248</v>
      </c>
    </row>
    <row r="118" spans="11:51">
      <c r="K118" s="2" t="s">
        <v>124</v>
      </c>
      <c r="L118" s="2" t="s">
        <v>216</v>
      </c>
      <c r="M118" s="2" t="s">
        <v>225</v>
      </c>
      <c r="N118" s="2">
        <v>0</v>
      </c>
      <c r="O118" s="2" t="s">
        <v>248</v>
      </c>
      <c r="Q118" s="2" t="s">
        <v>124</v>
      </c>
      <c r="R118" s="2" t="s">
        <v>218</v>
      </c>
      <c r="S118" s="2" t="s">
        <v>225</v>
      </c>
      <c r="T118" s="2">
        <v>0</v>
      </c>
      <c r="U118" s="2" t="s">
        <v>248</v>
      </c>
      <c r="W118" s="2" t="s">
        <v>124</v>
      </c>
      <c r="X118" s="2" t="s">
        <v>219</v>
      </c>
      <c r="Y118" s="2" t="s">
        <v>225</v>
      </c>
      <c r="Z118" s="2">
        <v>0</v>
      </c>
      <c r="AA118" s="2" t="s">
        <v>248</v>
      </c>
      <c r="AC118" s="2" t="s">
        <v>124</v>
      </c>
      <c r="AD118" s="2" t="s">
        <v>220</v>
      </c>
      <c r="AE118" s="2" t="s">
        <v>225</v>
      </c>
      <c r="AF118" s="2">
        <v>0</v>
      </c>
      <c r="AG118" s="2" t="s">
        <v>248</v>
      </c>
      <c r="AI118" s="2" t="s">
        <v>124</v>
      </c>
      <c r="AJ118" s="2" t="s">
        <v>221</v>
      </c>
      <c r="AK118" s="2" t="s">
        <v>225</v>
      </c>
      <c r="AL118" s="2">
        <v>0</v>
      </c>
      <c r="AM118" s="2" t="s">
        <v>248</v>
      </c>
      <c r="AO118" s="2" t="s">
        <v>124</v>
      </c>
      <c r="AP118" s="2" t="s">
        <v>222</v>
      </c>
      <c r="AQ118" s="2" t="s">
        <v>225</v>
      </c>
      <c r="AR118" s="2">
        <v>0</v>
      </c>
      <c r="AS118" s="2" t="s">
        <v>248</v>
      </c>
      <c r="AU118" s="2" t="s">
        <v>124</v>
      </c>
      <c r="AV118" s="2" t="s">
        <v>223</v>
      </c>
      <c r="AW118" s="2" t="s">
        <v>225</v>
      </c>
      <c r="AX118" s="2">
        <v>0</v>
      </c>
      <c r="AY118" s="2" t="s">
        <v>248</v>
      </c>
    </row>
    <row r="119" spans="11:51">
      <c r="K119" s="2" t="s">
        <v>124</v>
      </c>
      <c r="L119" s="2" t="s">
        <v>216</v>
      </c>
      <c r="M119" s="2" t="s">
        <v>226</v>
      </c>
      <c r="N119" s="2">
        <v>0</v>
      </c>
      <c r="O119" s="2" t="s">
        <v>248</v>
      </c>
      <c r="Q119" s="2" t="s">
        <v>124</v>
      </c>
      <c r="R119" s="2" t="s">
        <v>218</v>
      </c>
      <c r="S119" s="2" t="s">
        <v>226</v>
      </c>
      <c r="T119" s="2">
        <v>0</v>
      </c>
      <c r="U119" s="2" t="s">
        <v>248</v>
      </c>
      <c r="W119" s="2" t="s">
        <v>124</v>
      </c>
      <c r="X119" s="2" t="s">
        <v>219</v>
      </c>
      <c r="Y119" s="2" t="s">
        <v>226</v>
      </c>
      <c r="Z119" s="2">
        <v>0</v>
      </c>
      <c r="AA119" s="2" t="s">
        <v>248</v>
      </c>
      <c r="AC119" s="2" t="s">
        <v>124</v>
      </c>
      <c r="AD119" s="2" t="s">
        <v>220</v>
      </c>
      <c r="AE119" s="2" t="s">
        <v>226</v>
      </c>
      <c r="AF119" s="2">
        <v>0</v>
      </c>
      <c r="AG119" s="2" t="s">
        <v>248</v>
      </c>
      <c r="AI119" s="2" t="s">
        <v>124</v>
      </c>
      <c r="AJ119" s="2" t="s">
        <v>221</v>
      </c>
      <c r="AK119" s="2" t="s">
        <v>226</v>
      </c>
      <c r="AL119" s="2">
        <v>0</v>
      </c>
      <c r="AM119" s="2" t="s">
        <v>248</v>
      </c>
      <c r="AO119" s="2" t="s">
        <v>124</v>
      </c>
      <c r="AP119" s="2" t="s">
        <v>222</v>
      </c>
      <c r="AQ119" s="2" t="s">
        <v>226</v>
      </c>
      <c r="AR119" s="2">
        <v>0</v>
      </c>
      <c r="AS119" s="2" t="s">
        <v>248</v>
      </c>
      <c r="AU119" s="2" t="s">
        <v>124</v>
      </c>
      <c r="AV119" s="2" t="s">
        <v>223</v>
      </c>
      <c r="AW119" s="2" t="s">
        <v>226</v>
      </c>
      <c r="AX119" s="2">
        <v>0</v>
      </c>
      <c r="AY119" s="2" t="s">
        <v>248</v>
      </c>
    </row>
    <row r="122" spans="11:51">
      <c r="T122" s="2">
        <v>72</v>
      </c>
      <c r="Z122" s="2">
        <v>71.9</v>
      </c>
      <c r="AF122" s="2">
        <v>73.1</v>
      </c>
      <c r="AL122" s="2">
        <v>77.6999999999999</v>
      </c>
      <c r="AR122" s="2">
        <v>43.1</v>
      </c>
      <c r="AX122" s="2">
        <v>47.8</v>
      </c>
    </row>
    <row r="123" spans="11:51">
      <c r="T123" s="2">
        <v>225.2</v>
      </c>
      <c r="Z123" s="2">
        <v>225.5</v>
      </c>
      <c r="AF123" s="2">
        <v>219.8</v>
      </c>
      <c r="AL123" s="2">
        <v>232.2</v>
      </c>
      <c r="AR123" s="2">
        <v>110.8</v>
      </c>
      <c r="AX123" s="2">
        <v>189.5</v>
      </c>
    </row>
    <row r="124" spans="11:51">
      <c r="T124" s="2">
        <v>532.1</v>
      </c>
      <c r="Z124" s="2">
        <v>533.9</v>
      </c>
      <c r="AF124" s="2">
        <v>526.4</v>
      </c>
      <c r="AL124" s="2">
        <v>570.2</v>
      </c>
      <c r="AR124" s="2">
        <v>385.8</v>
      </c>
      <c r="AX124" s="2">
        <v>453</v>
      </c>
    </row>
    <row r="125" spans="11:51">
      <c r="T125" s="2">
        <v>134</v>
      </c>
      <c r="Z125" s="2">
        <v>140.6</v>
      </c>
      <c r="AF125" s="2">
        <v>150.2</v>
      </c>
      <c r="AL125" s="2">
        <v>161.1</v>
      </c>
      <c r="AR125" s="2">
        <v>57.2</v>
      </c>
      <c r="AX125" s="2">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40" width="14" style="1"/>
    <col min="41" max="47" width="15.2727272727273" style="1"/>
    <col min="48" max="53" width="14" style="1"/>
    <col min="54" max="67" width="8.72727272727273" style="1"/>
    <col min="68" max="16384" width="8.72727272727273" style="2"/>
  </cols>
  <sheetData>
    <row r="1" ht="15.5" spans="1:67">
      <c r="A1" s="3" t="s">
        <v>249</v>
      </c>
      <c r="B1" s="3"/>
      <c r="C1" s="3"/>
      <c r="D1" s="3"/>
      <c r="E1" s="3"/>
      <c r="F1" s="3"/>
      <c r="G1" s="3"/>
      <c r="H1" s="3"/>
      <c r="I1" s="3"/>
      <c r="J1" s="3"/>
      <c r="K1" s="4"/>
      <c r="L1" s="4" t="s">
        <v>250</v>
      </c>
      <c r="M1" s="4"/>
      <c r="N1" s="4"/>
      <c r="O1" s="4"/>
      <c r="P1" s="4"/>
      <c r="Q1" s="4"/>
      <c r="R1" s="4"/>
      <c r="S1" s="4"/>
      <c r="T1" s="4"/>
      <c r="U1" s="4"/>
      <c r="V1" s="4"/>
      <c r="W1" s="4" t="s">
        <v>251</v>
      </c>
      <c r="X1" s="4"/>
      <c r="Y1" s="4"/>
      <c r="Z1" s="4"/>
      <c r="AA1" s="4"/>
      <c r="AB1" s="5" t="s">
        <v>252</v>
      </c>
      <c r="AC1" s="5"/>
      <c r="AD1" s="4"/>
      <c r="AE1" s="4"/>
      <c r="AF1" s="4" t="s">
        <v>253</v>
      </c>
      <c r="AG1" s="4"/>
      <c r="AH1" s="4"/>
      <c r="AI1" s="4"/>
      <c r="AJ1" s="4"/>
      <c r="AK1" s="4"/>
      <c r="AL1" s="4"/>
      <c r="AM1" s="4"/>
      <c r="AN1" s="4"/>
      <c r="AO1" s="4" t="s">
        <v>254</v>
      </c>
      <c r="AP1" s="4"/>
      <c r="AQ1" s="4"/>
      <c r="AR1" s="4"/>
      <c r="AS1" s="4"/>
      <c r="AT1" s="4"/>
      <c r="AU1" s="4"/>
      <c r="AZ1" s="3" t="s">
        <v>249</v>
      </c>
      <c r="BA1" s="3"/>
      <c r="BB1" s="3"/>
      <c r="BC1" s="3"/>
      <c r="BD1" s="3"/>
      <c r="BE1" s="3"/>
      <c r="BF1" s="3"/>
      <c r="BG1" s="3"/>
      <c r="BH1" s="3"/>
      <c r="BI1" s="3"/>
      <c r="BJ1" s="4"/>
      <c r="BK1" s="4"/>
      <c r="BL1" s="4"/>
      <c r="BM1" s="4"/>
      <c r="BN1" s="4"/>
      <c r="BO1" s="4"/>
    </row>
    <row r="2" ht="30" spans="1:67">
      <c r="A2" s="3" t="s">
        <v>228</v>
      </c>
      <c r="B2" s="3" t="s">
        <v>255</v>
      </c>
      <c r="C2" s="3" t="s">
        <v>230</v>
      </c>
      <c r="D2" s="3"/>
      <c r="E2" s="3"/>
      <c r="F2" s="3"/>
      <c r="G2" s="3"/>
      <c r="H2" s="3"/>
      <c r="I2" s="3"/>
      <c r="J2" s="3"/>
      <c r="K2" s="4"/>
      <c r="L2" s="4"/>
      <c r="M2" s="4"/>
      <c r="N2" s="4"/>
      <c r="O2" s="4"/>
      <c r="P2" s="4"/>
      <c r="Q2" s="4"/>
      <c r="R2" s="4"/>
      <c r="S2" s="4"/>
      <c r="T2" s="4"/>
      <c r="U2" s="4"/>
      <c r="V2" s="6" t="s">
        <v>256</v>
      </c>
      <c r="W2" s="4"/>
      <c r="X2" s="4"/>
      <c r="Y2" s="4"/>
      <c r="Z2" s="4"/>
      <c r="AA2" s="4"/>
      <c r="AB2" s="4"/>
      <c r="AC2" s="4"/>
      <c r="AD2" s="4"/>
      <c r="AE2" s="4"/>
      <c r="AF2" s="4"/>
      <c r="AG2" s="4"/>
      <c r="AH2" s="4"/>
      <c r="AI2" s="4"/>
      <c r="AJ2" s="4"/>
      <c r="AK2" s="4"/>
      <c r="AL2" s="4"/>
      <c r="AM2" s="4"/>
      <c r="AN2" s="4"/>
      <c r="AO2" s="4"/>
      <c r="AP2" s="4"/>
      <c r="AQ2" s="4"/>
      <c r="AR2" s="4"/>
      <c r="AS2" s="4"/>
      <c r="AT2" s="4"/>
      <c r="AU2" s="4"/>
      <c r="AZ2" s="3" t="s">
        <v>228</v>
      </c>
      <c r="BA2" s="3" t="s">
        <v>255</v>
      </c>
      <c r="BB2" s="3" t="s">
        <v>230</v>
      </c>
      <c r="BC2" s="3"/>
      <c r="BD2" s="3"/>
      <c r="BE2" s="3"/>
      <c r="BF2" s="3"/>
      <c r="BG2" s="3"/>
      <c r="BH2" s="3"/>
      <c r="BI2" s="3"/>
      <c r="BJ2" s="4"/>
      <c r="BK2" s="4"/>
      <c r="BL2" s="4"/>
      <c r="BM2" s="4"/>
      <c r="BN2" s="4"/>
      <c r="BO2" s="4"/>
    </row>
    <row r="3" ht="30" spans="1:67">
      <c r="A3" s="3"/>
      <c r="B3" s="3"/>
      <c r="C3" s="7" t="s">
        <v>231</v>
      </c>
      <c r="D3" s="4" t="s">
        <v>232</v>
      </c>
      <c r="E3" s="4" t="s">
        <v>233</v>
      </c>
      <c r="F3" s="8" t="s">
        <v>234</v>
      </c>
      <c r="G3" s="4" t="s">
        <v>235</v>
      </c>
      <c r="H3" s="4" t="s">
        <v>236</v>
      </c>
      <c r="I3" s="4" t="s">
        <v>237</v>
      </c>
      <c r="J3" s="4" t="s">
        <v>238</v>
      </c>
      <c r="K3" s="4"/>
      <c r="L3" s="9" t="s">
        <v>231</v>
      </c>
      <c r="M3" s="4" t="s">
        <v>232</v>
      </c>
      <c r="N3" s="4" t="s">
        <v>233</v>
      </c>
      <c r="O3" s="4" t="s">
        <v>234</v>
      </c>
      <c r="P3" s="4" t="s">
        <v>235</v>
      </c>
      <c r="Q3" s="4" t="s">
        <v>236</v>
      </c>
      <c r="R3" s="4" t="s">
        <v>237</v>
      </c>
      <c r="S3" s="4" t="s">
        <v>238</v>
      </c>
      <c r="T3" s="4"/>
      <c r="U3" s="4"/>
      <c r="V3" s="6" t="s">
        <v>257</v>
      </c>
      <c r="W3" s="4" t="s">
        <v>232</v>
      </c>
      <c r="X3" s="4" t="s">
        <v>233</v>
      </c>
      <c r="Y3" s="8" t="s">
        <v>234</v>
      </c>
      <c r="Z3" s="4" t="s">
        <v>235</v>
      </c>
      <c r="AA3" s="4" t="s">
        <v>236</v>
      </c>
      <c r="AB3" s="10" t="s">
        <v>237</v>
      </c>
      <c r="AC3" s="10" t="s">
        <v>238</v>
      </c>
      <c r="AD3" s="4"/>
      <c r="AE3" s="4"/>
      <c r="AF3" s="4" t="s">
        <v>232</v>
      </c>
      <c r="AG3" s="4" t="s">
        <v>233</v>
      </c>
      <c r="AH3" s="8" t="s">
        <v>234</v>
      </c>
      <c r="AI3" s="4" t="s">
        <v>235</v>
      </c>
      <c r="AJ3" s="4" t="s">
        <v>236</v>
      </c>
      <c r="AK3" s="10" t="s">
        <v>237</v>
      </c>
      <c r="AL3" s="10" t="s">
        <v>238</v>
      </c>
      <c r="AM3" s="4"/>
      <c r="AN3" s="4"/>
      <c r="AO3" s="4" t="s">
        <v>232</v>
      </c>
      <c r="AP3" s="4" t="s">
        <v>233</v>
      </c>
      <c r="AQ3" s="8" t="s">
        <v>234</v>
      </c>
      <c r="AR3" s="4" t="s">
        <v>235</v>
      </c>
      <c r="AS3" s="4" t="s">
        <v>236</v>
      </c>
      <c r="AT3" s="10" t="s">
        <v>237</v>
      </c>
      <c r="AU3" s="10" t="s">
        <v>238</v>
      </c>
      <c r="AZ3" s="3"/>
      <c r="BA3" s="3"/>
      <c r="BB3" s="7" t="s">
        <v>231</v>
      </c>
      <c r="BC3" s="4" t="s">
        <v>232</v>
      </c>
      <c r="BD3" s="4" t="s">
        <v>233</v>
      </c>
      <c r="BE3" s="8" t="s">
        <v>234</v>
      </c>
      <c r="BF3" s="4" t="s">
        <v>235</v>
      </c>
      <c r="BG3" s="4" t="s">
        <v>236</v>
      </c>
      <c r="BH3" s="4" t="s">
        <v>237</v>
      </c>
      <c r="BI3" s="4" t="s">
        <v>238</v>
      </c>
      <c r="BJ3" s="4"/>
      <c r="BK3" s="9"/>
      <c r="BL3" s="4"/>
      <c r="BM3" s="4"/>
      <c r="BN3" s="4"/>
      <c r="BO3" s="4"/>
    </row>
    <row r="4" ht="15.5" spans="1:67">
      <c r="A4" s="3" t="s">
        <v>239</v>
      </c>
      <c r="B4" s="11" t="s">
        <v>240</v>
      </c>
      <c r="C4" s="12">
        <f t="shared" ref="C4:J4" si="0">BB4/1000</f>
        <v>0.8374</v>
      </c>
      <c r="D4" s="12">
        <f t="shared" si="0"/>
        <v>0.8081</v>
      </c>
      <c r="E4" s="12">
        <f t="shared" si="0"/>
        <v>0.7705</v>
      </c>
      <c r="F4" s="12">
        <f t="shared" si="0"/>
        <v>0.76</v>
      </c>
      <c r="G4" s="12">
        <f t="shared" si="0"/>
        <v>0.7551</v>
      </c>
      <c r="H4" s="12">
        <f t="shared" si="0"/>
        <v>0.796</v>
      </c>
      <c r="I4" s="12">
        <f t="shared" si="0"/>
        <v>0.76</v>
      </c>
      <c r="J4" s="12">
        <f t="shared" si="0"/>
        <v>0.76</v>
      </c>
      <c r="K4" s="4"/>
      <c r="L4" s="9"/>
      <c r="M4" s="13">
        <v>5.937</v>
      </c>
      <c r="N4" s="13">
        <v>5.845</v>
      </c>
      <c r="O4" s="13">
        <v>5.575</v>
      </c>
      <c r="P4" s="13">
        <v>5.276</v>
      </c>
      <c r="Q4" s="13">
        <v>5.363</v>
      </c>
      <c r="R4" s="13">
        <v>6.645</v>
      </c>
      <c r="S4" s="13">
        <v>5.654</v>
      </c>
      <c r="T4" s="13"/>
      <c r="U4" s="3" t="s">
        <v>239</v>
      </c>
      <c r="V4" s="11" t="s">
        <v>240</v>
      </c>
      <c r="W4" s="14">
        <f t="shared" ref="W4:AC4" si="1">D4/M4</f>
        <v>0.136112514738083</v>
      </c>
      <c r="X4" s="14">
        <f t="shared" si="1"/>
        <v>0.131822070145423</v>
      </c>
      <c r="Y4" s="14">
        <f t="shared" si="1"/>
        <v>0.136322869955157</v>
      </c>
      <c r="Z4" s="14">
        <f t="shared" si="1"/>
        <v>0.143119787717968</v>
      </c>
      <c r="AA4" s="14">
        <f t="shared" si="1"/>
        <v>0.148424389334328</v>
      </c>
      <c r="AB4" s="15">
        <f t="shared" si="1"/>
        <v>0.114371708051166</v>
      </c>
      <c r="AC4" s="15">
        <f t="shared" si="1"/>
        <v>0.134418111071808</v>
      </c>
      <c r="AD4" s="4"/>
      <c r="AE4" s="4"/>
      <c r="AF4" s="14">
        <f t="shared" ref="AF4:AJ4" si="2">W4</f>
        <v>0.136112514738083</v>
      </c>
      <c r="AG4" s="14">
        <f t="shared" si="2"/>
        <v>0.131822070145423</v>
      </c>
      <c r="AH4" s="14">
        <f t="shared" si="2"/>
        <v>0.136322869955157</v>
      </c>
      <c r="AI4" s="14">
        <f t="shared" si="2"/>
        <v>0.143119787717968</v>
      </c>
      <c r="AJ4" s="14">
        <f t="shared" si="2"/>
        <v>0.148424389334328</v>
      </c>
      <c r="AK4" s="16">
        <f t="shared" ref="AK4:AK18" si="3">AB4*1.15</f>
        <v>0.131527464258841</v>
      </c>
      <c r="AL4" s="16">
        <f t="shared" ref="AL4:AL18" si="4">AC4*1.15</f>
        <v>0.154580827732579</v>
      </c>
      <c r="AM4" s="4"/>
      <c r="AN4" s="4"/>
      <c r="AO4" s="14">
        <f t="shared" ref="AO4:AS4" si="5">W4</f>
        <v>0.136112514738083</v>
      </c>
      <c r="AP4" s="14">
        <f t="shared" si="5"/>
        <v>0.131822070145423</v>
      </c>
      <c r="AQ4" s="14">
        <f t="shared" si="5"/>
        <v>0.136322869955157</v>
      </c>
      <c r="AR4" s="14">
        <f t="shared" si="5"/>
        <v>0.143119787717968</v>
      </c>
      <c r="AS4" s="14">
        <f t="shared" si="5"/>
        <v>0.148424389334328</v>
      </c>
      <c r="AT4" s="16">
        <f t="shared" ref="AT4:AT18" si="6">AB4*0.85</f>
        <v>0.0972159518434914</v>
      </c>
      <c r="AU4" s="16">
        <f t="shared" ref="AU4:AU18" si="7">AC4*0.85</f>
        <v>0.114255394411036</v>
      </c>
      <c r="AZ4" s="3" t="s">
        <v>239</v>
      </c>
      <c r="BA4" s="11" t="s">
        <v>240</v>
      </c>
      <c r="BB4" s="12">
        <v>837.4</v>
      </c>
      <c r="BC4" s="14">
        <v>808.1</v>
      </c>
      <c r="BD4" s="14">
        <v>770.5</v>
      </c>
      <c r="BE4" s="14">
        <v>760</v>
      </c>
      <c r="BF4" s="14">
        <v>755.1</v>
      </c>
      <c r="BG4" s="14">
        <v>796</v>
      </c>
      <c r="BH4" s="14">
        <v>760</v>
      </c>
      <c r="BI4" s="14">
        <v>760</v>
      </c>
      <c r="BJ4" s="4"/>
      <c r="BK4" s="9"/>
      <c r="BL4" s="13"/>
      <c r="BM4" s="13"/>
      <c r="BN4" s="13"/>
      <c r="BO4" s="13"/>
    </row>
    <row r="5" ht="15.5" spans="1:67">
      <c r="A5" s="3"/>
      <c r="B5" s="11" t="s">
        <v>241</v>
      </c>
      <c r="C5" s="12">
        <f t="shared" ref="C5:J5" si="8">BB5/1000</f>
        <v>0.7701</v>
      </c>
      <c r="D5" s="12">
        <f t="shared" si="8"/>
        <v>0.7457</v>
      </c>
      <c r="E5" s="12">
        <f t="shared" si="8"/>
        <v>0.7115</v>
      </c>
      <c r="F5" s="12">
        <f t="shared" si="8"/>
        <v>0.7021</v>
      </c>
      <c r="G5" s="12">
        <f t="shared" si="8"/>
        <v>0.6948</v>
      </c>
      <c r="H5" s="12">
        <f t="shared" si="8"/>
        <v>0.7338</v>
      </c>
      <c r="I5" s="12">
        <f t="shared" si="8"/>
        <v>0.7021</v>
      </c>
      <c r="J5" s="12">
        <f t="shared" si="8"/>
        <v>0.7021</v>
      </c>
      <c r="K5" s="4"/>
      <c r="L5" s="4"/>
      <c r="M5" s="17">
        <v>5.937</v>
      </c>
      <c r="N5" s="17">
        <v>5.845</v>
      </c>
      <c r="O5" s="17">
        <v>5.575</v>
      </c>
      <c r="P5" s="17">
        <v>5.276</v>
      </c>
      <c r="Q5" s="17">
        <v>5.363</v>
      </c>
      <c r="R5" s="17">
        <v>6.645</v>
      </c>
      <c r="S5" s="17">
        <v>5.654</v>
      </c>
      <c r="T5" s="17"/>
      <c r="U5" s="3"/>
      <c r="V5" s="11" t="s">
        <v>241</v>
      </c>
      <c r="W5" s="14">
        <f t="shared" ref="W5:AC5" si="9">D5/M5</f>
        <v>0.125602155971029</v>
      </c>
      <c r="X5" s="14">
        <f t="shared" si="9"/>
        <v>0.121727972626176</v>
      </c>
      <c r="Y5" s="14">
        <f t="shared" si="9"/>
        <v>0.125937219730942</v>
      </c>
      <c r="Z5" s="14">
        <f t="shared" si="9"/>
        <v>0.131690674753601</v>
      </c>
      <c r="AA5" s="14">
        <f t="shared" si="9"/>
        <v>0.136826403132575</v>
      </c>
      <c r="AB5" s="15">
        <f t="shared" si="9"/>
        <v>0.105658389766742</v>
      </c>
      <c r="AC5" s="15">
        <f t="shared" si="9"/>
        <v>0.124177573399363</v>
      </c>
      <c r="AD5" s="4"/>
      <c r="AE5" s="4"/>
      <c r="AF5" s="14">
        <f t="shared" ref="AF5:AJ5" si="10">W5</f>
        <v>0.125602155971029</v>
      </c>
      <c r="AG5" s="14">
        <f t="shared" si="10"/>
        <v>0.121727972626176</v>
      </c>
      <c r="AH5" s="14">
        <f t="shared" si="10"/>
        <v>0.125937219730942</v>
      </c>
      <c r="AI5" s="14">
        <f t="shared" si="10"/>
        <v>0.131690674753601</v>
      </c>
      <c r="AJ5" s="14">
        <f t="shared" si="10"/>
        <v>0.136826403132575</v>
      </c>
      <c r="AK5" s="16">
        <f t="shared" si="3"/>
        <v>0.121507148231753</v>
      </c>
      <c r="AL5" s="16">
        <f t="shared" si="4"/>
        <v>0.142804209409268</v>
      </c>
      <c r="AM5" s="4"/>
      <c r="AN5" s="4"/>
      <c r="AO5" s="14">
        <f t="shared" ref="AO5:AS5" si="11">W5</f>
        <v>0.125602155971029</v>
      </c>
      <c r="AP5" s="14">
        <f t="shared" si="11"/>
        <v>0.121727972626176</v>
      </c>
      <c r="AQ5" s="14">
        <f t="shared" si="11"/>
        <v>0.125937219730942</v>
      </c>
      <c r="AR5" s="14">
        <f t="shared" si="11"/>
        <v>0.131690674753601</v>
      </c>
      <c r="AS5" s="14">
        <f t="shared" si="11"/>
        <v>0.136826403132575</v>
      </c>
      <c r="AT5" s="16">
        <f t="shared" si="6"/>
        <v>0.0898096313017306</v>
      </c>
      <c r="AU5" s="16">
        <f t="shared" si="7"/>
        <v>0.105550937389459</v>
      </c>
      <c r="AZ5" s="3"/>
      <c r="BA5" s="11" t="s">
        <v>241</v>
      </c>
      <c r="BB5" s="12">
        <v>770.1</v>
      </c>
      <c r="BC5" s="14">
        <v>745.7</v>
      </c>
      <c r="BD5" s="14">
        <v>711.5</v>
      </c>
      <c r="BE5" s="14">
        <v>702.1</v>
      </c>
      <c r="BF5" s="14">
        <v>694.8</v>
      </c>
      <c r="BG5" s="14">
        <v>733.8</v>
      </c>
      <c r="BH5" s="14">
        <v>702.1</v>
      </c>
      <c r="BI5" s="14">
        <v>702.1</v>
      </c>
      <c r="BJ5" s="4"/>
      <c r="BK5" s="4"/>
      <c r="BL5" s="17"/>
      <c r="BM5" s="17"/>
      <c r="BN5" s="17"/>
      <c r="BO5" s="17"/>
    </row>
    <row r="6" ht="15.5" spans="1:67">
      <c r="A6" s="3"/>
      <c r="B6" s="11" t="s">
        <v>242</v>
      </c>
      <c r="C6" s="12">
        <f t="shared" ref="C6:J6" si="12">BB6/1000</f>
        <v>0.1986</v>
      </c>
      <c r="D6" s="12">
        <f t="shared" si="12"/>
        <v>0.1717</v>
      </c>
      <c r="E6" s="12">
        <f t="shared" si="12"/>
        <v>0.1611</v>
      </c>
      <c r="F6" s="12">
        <f t="shared" si="12"/>
        <v>0.1579</v>
      </c>
      <c r="G6" s="12">
        <f t="shared" si="12"/>
        <v>0.1521</v>
      </c>
      <c r="H6" s="12">
        <f t="shared" si="12"/>
        <v>0.1588</v>
      </c>
      <c r="I6" s="12">
        <f t="shared" si="12"/>
        <v>0.1579</v>
      </c>
      <c r="J6" s="12">
        <f t="shared" si="12"/>
        <v>0.1579</v>
      </c>
      <c r="K6" s="4"/>
      <c r="L6" s="4"/>
      <c r="M6" s="17">
        <v>5.937</v>
      </c>
      <c r="N6" s="17">
        <v>5.845</v>
      </c>
      <c r="O6" s="17">
        <v>5.575</v>
      </c>
      <c r="P6" s="17">
        <v>5.276</v>
      </c>
      <c r="Q6" s="17">
        <v>5.363</v>
      </c>
      <c r="R6" s="17">
        <v>6.645</v>
      </c>
      <c r="S6" s="17">
        <v>5.654</v>
      </c>
      <c r="T6" s="17"/>
      <c r="U6" s="3"/>
      <c r="V6" s="11" t="s">
        <v>242</v>
      </c>
      <c r="W6" s="14">
        <f t="shared" ref="W6:AC6" si="13">D6/M6</f>
        <v>0.0289203301330638</v>
      </c>
      <c r="X6" s="14">
        <f t="shared" si="13"/>
        <v>0.0275620188195039</v>
      </c>
      <c r="Y6" s="14">
        <f t="shared" si="13"/>
        <v>0.028322869955157</v>
      </c>
      <c r="Z6" s="14">
        <f t="shared" si="13"/>
        <v>0.0288286580742987</v>
      </c>
      <c r="AA6" s="14">
        <f t="shared" si="13"/>
        <v>0.0296102927465971</v>
      </c>
      <c r="AB6" s="15">
        <f t="shared" si="13"/>
        <v>0.0237622272385252</v>
      </c>
      <c r="AC6" s="15">
        <f t="shared" si="13"/>
        <v>0.0279271312345242</v>
      </c>
      <c r="AD6" s="4"/>
      <c r="AE6" s="4"/>
      <c r="AF6" s="14">
        <f t="shared" ref="AF6:AJ6" si="14">W6</f>
        <v>0.0289203301330638</v>
      </c>
      <c r="AG6" s="14">
        <f t="shared" si="14"/>
        <v>0.0275620188195039</v>
      </c>
      <c r="AH6" s="14">
        <f t="shared" si="14"/>
        <v>0.028322869955157</v>
      </c>
      <c r="AI6" s="14">
        <f t="shared" si="14"/>
        <v>0.0288286580742987</v>
      </c>
      <c r="AJ6" s="14">
        <f t="shared" si="14"/>
        <v>0.0296102927465971</v>
      </c>
      <c r="AK6" s="16">
        <f t="shared" si="3"/>
        <v>0.027326561324304</v>
      </c>
      <c r="AL6" s="16">
        <f t="shared" si="4"/>
        <v>0.0321162009197029</v>
      </c>
      <c r="AM6" s="4"/>
      <c r="AN6" s="4"/>
      <c r="AO6" s="14">
        <f t="shared" ref="AO6:AS6" si="15">W6</f>
        <v>0.0289203301330638</v>
      </c>
      <c r="AP6" s="14">
        <f t="shared" si="15"/>
        <v>0.0275620188195039</v>
      </c>
      <c r="AQ6" s="14">
        <f t="shared" si="15"/>
        <v>0.028322869955157</v>
      </c>
      <c r="AR6" s="14">
        <f t="shared" si="15"/>
        <v>0.0288286580742987</v>
      </c>
      <c r="AS6" s="14">
        <f t="shared" si="15"/>
        <v>0.0296102927465971</v>
      </c>
      <c r="AT6" s="16">
        <f t="shared" si="6"/>
        <v>0.0201978931527464</v>
      </c>
      <c r="AU6" s="16">
        <f t="shared" si="7"/>
        <v>0.0237380615493456</v>
      </c>
      <c r="AZ6" s="3"/>
      <c r="BA6" s="11" t="s">
        <v>242</v>
      </c>
      <c r="BB6" s="12">
        <v>198.6</v>
      </c>
      <c r="BC6" s="14">
        <v>171.7</v>
      </c>
      <c r="BD6" s="14">
        <v>161.1</v>
      </c>
      <c r="BE6" s="14">
        <v>157.9</v>
      </c>
      <c r="BF6" s="14">
        <v>152.1</v>
      </c>
      <c r="BG6" s="14">
        <v>158.8</v>
      </c>
      <c r="BH6" s="14">
        <v>157.9</v>
      </c>
      <c r="BI6" s="14">
        <v>157.9</v>
      </c>
      <c r="BJ6" s="4"/>
      <c r="BK6" s="4"/>
      <c r="BL6" s="17"/>
      <c r="BM6" s="17"/>
      <c r="BN6" s="17"/>
      <c r="BO6" s="17"/>
    </row>
    <row r="7" ht="15.5" spans="1:67">
      <c r="A7" s="3"/>
      <c r="B7" s="11" t="s">
        <v>243</v>
      </c>
      <c r="C7" s="12">
        <f t="shared" ref="C7:J7" si="16">BB7/1000</f>
        <v>0.487</v>
      </c>
      <c r="D7" s="12">
        <f t="shared" si="16"/>
        <v>0.4967</v>
      </c>
      <c r="E7" s="12">
        <f t="shared" si="16"/>
        <v>0.4758</v>
      </c>
      <c r="F7" s="12">
        <f t="shared" si="16"/>
        <v>0.4705</v>
      </c>
      <c r="G7" s="12">
        <f t="shared" si="16"/>
        <v>0.4665</v>
      </c>
      <c r="H7" s="12">
        <f t="shared" si="16"/>
        <v>0.496</v>
      </c>
      <c r="I7" s="12">
        <f t="shared" si="16"/>
        <v>0.4705</v>
      </c>
      <c r="J7" s="12">
        <f t="shared" si="16"/>
        <v>0.4705</v>
      </c>
      <c r="K7" s="4"/>
      <c r="L7" s="4"/>
      <c r="M7" s="17">
        <v>5.937</v>
      </c>
      <c r="N7" s="17">
        <v>5.845</v>
      </c>
      <c r="O7" s="17">
        <v>5.575</v>
      </c>
      <c r="P7" s="17">
        <v>5.276</v>
      </c>
      <c r="Q7" s="17">
        <v>5.363</v>
      </c>
      <c r="R7" s="17">
        <v>6.645</v>
      </c>
      <c r="S7" s="17">
        <v>5.654</v>
      </c>
      <c r="T7" s="17"/>
      <c r="U7" s="3"/>
      <c r="V7" s="11" t="s">
        <v>243</v>
      </c>
      <c r="W7" s="14">
        <f t="shared" ref="W7:AC7" si="17">D7/M7</f>
        <v>0.0836617820448038</v>
      </c>
      <c r="X7" s="14">
        <f t="shared" si="17"/>
        <v>0.0814029084687767</v>
      </c>
      <c r="Y7" s="14">
        <f t="shared" si="17"/>
        <v>0.0843946188340807</v>
      </c>
      <c r="Z7" s="14">
        <f t="shared" si="17"/>
        <v>0.0884192570128886</v>
      </c>
      <c r="AA7" s="14">
        <f t="shared" si="17"/>
        <v>0.092485549132948</v>
      </c>
      <c r="AB7" s="15">
        <f t="shared" si="17"/>
        <v>0.0708051166290444</v>
      </c>
      <c r="AC7" s="15">
        <f t="shared" si="17"/>
        <v>0.0832154227095861</v>
      </c>
      <c r="AD7" s="4"/>
      <c r="AE7" s="4"/>
      <c r="AF7" s="14">
        <f t="shared" ref="AF7:AJ7" si="18">W7</f>
        <v>0.0836617820448038</v>
      </c>
      <c r="AG7" s="14">
        <f t="shared" si="18"/>
        <v>0.0814029084687767</v>
      </c>
      <c r="AH7" s="14">
        <f t="shared" si="18"/>
        <v>0.0843946188340807</v>
      </c>
      <c r="AI7" s="14">
        <f t="shared" si="18"/>
        <v>0.0884192570128886</v>
      </c>
      <c r="AJ7" s="14">
        <f t="shared" si="18"/>
        <v>0.092485549132948</v>
      </c>
      <c r="AK7" s="16">
        <f t="shared" si="3"/>
        <v>0.0814258841234011</v>
      </c>
      <c r="AL7" s="16">
        <f t="shared" si="4"/>
        <v>0.0956977361160241</v>
      </c>
      <c r="AM7" s="4"/>
      <c r="AN7" s="4"/>
      <c r="AO7" s="14">
        <f t="shared" ref="AO7:AS7" si="19">W7</f>
        <v>0.0836617820448038</v>
      </c>
      <c r="AP7" s="14">
        <f t="shared" si="19"/>
        <v>0.0814029084687767</v>
      </c>
      <c r="AQ7" s="14">
        <f t="shared" si="19"/>
        <v>0.0843946188340807</v>
      </c>
      <c r="AR7" s="14">
        <f t="shared" si="19"/>
        <v>0.0884192570128886</v>
      </c>
      <c r="AS7" s="14">
        <f t="shared" si="19"/>
        <v>0.092485549132948</v>
      </c>
      <c r="AT7" s="16">
        <f t="shared" si="6"/>
        <v>0.0601843491346877</v>
      </c>
      <c r="AU7" s="16">
        <f t="shared" si="7"/>
        <v>0.0707331093031482</v>
      </c>
      <c r="AZ7" s="3"/>
      <c r="BA7" s="11" t="s">
        <v>243</v>
      </c>
      <c r="BB7" s="12">
        <v>487</v>
      </c>
      <c r="BC7" s="14">
        <v>496.7</v>
      </c>
      <c r="BD7" s="14">
        <v>475.8</v>
      </c>
      <c r="BE7" s="14">
        <v>470.5</v>
      </c>
      <c r="BF7" s="14">
        <v>466.5</v>
      </c>
      <c r="BG7" s="14">
        <v>496</v>
      </c>
      <c r="BH7" s="14">
        <v>470.5</v>
      </c>
      <c r="BI7" s="14">
        <v>470.5</v>
      </c>
      <c r="BJ7" s="4"/>
      <c r="BK7" s="4"/>
      <c r="BL7" s="17"/>
      <c r="BM7" s="17"/>
      <c r="BN7" s="17"/>
      <c r="BO7" s="17"/>
    </row>
    <row r="8" ht="15.5" spans="1:67">
      <c r="A8" s="3"/>
      <c r="B8" s="11" t="s">
        <v>244</v>
      </c>
      <c r="C8" s="12">
        <f t="shared" ref="C8:J8" si="20">BB8/1000</f>
        <v>0.0845</v>
      </c>
      <c r="D8" s="12">
        <f t="shared" si="20"/>
        <v>0.0773</v>
      </c>
      <c r="E8" s="12">
        <f t="shared" si="20"/>
        <v>0.0745</v>
      </c>
      <c r="F8" s="12">
        <f t="shared" si="20"/>
        <v>0.0736</v>
      </c>
      <c r="G8" s="12">
        <f t="shared" si="20"/>
        <v>0.0761</v>
      </c>
      <c r="H8" s="12">
        <f t="shared" si="20"/>
        <v>0.0789</v>
      </c>
      <c r="I8" s="12">
        <f t="shared" si="20"/>
        <v>0.0736</v>
      </c>
      <c r="J8" s="12">
        <f t="shared" si="20"/>
        <v>0.0736</v>
      </c>
      <c r="K8" s="4"/>
      <c r="L8" s="4"/>
      <c r="M8" s="17">
        <v>5.937</v>
      </c>
      <c r="N8" s="17">
        <v>5.845</v>
      </c>
      <c r="O8" s="17">
        <v>5.575</v>
      </c>
      <c r="P8" s="17">
        <v>5.276</v>
      </c>
      <c r="Q8" s="17">
        <v>5.363</v>
      </c>
      <c r="R8" s="17">
        <v>6.645</v>
      </c>
      <c r="S8" s="17">
        <v>5.654</v>
      </c>
      <c r="T8" s="17"/>
      <c r="U8" s="3"/>
      <c r="V8" s="11" t="s">
        <v>244</v>
      </c>
      <c r="W8" s="14">
        <f t="shared" ref="W8:AC8" si="21">D8/M8</f>
        <v>0.0130200437931615</v>
      </c>
      <c r="X8" s="14">
        <f t="shared" si="21"/>
        <v>0.0127459366980325</v>
      </c>
      <c r="Y8" s="14">
        <f t="shared" si="21"/>
        <v>0.0132017937219731</v>
      </c>
      <c r="Z8" s="14">
        <f t="shared" si="21"/>
        <v>0.0144238059135709</v>
      </c>
      <c r="AA8" s="14">
        <f t="shared" si="21"/>
        <v>0.0147119149729629</v>
      </c>
      <c r="AB8" s="15">
        <f t="shared" si="21"/>
        <v>0.0110759969902182</v>
      </c>
      <c r="AC8" s="15">
        <f t="shared" si="21"/>
        <v>0.0130173328616908</v>
      </c>
      <c r="AD8" s="4"/>
      <c r="AE8" s="4"/>
      <c r="AF8" s="14">
        <f t="shared" ref="AF8:AJ8" si="22">W8</f>
        <v>0.0130200437931615</v>
      </c>
      <c r="AG8" s="14">
        <f t="shared" si="22"/>
        <v>0.0127459366980325</v>
      </c>
      <c r="AH8" s="14">
        <f t="shared" si="22"/>
        <v>0.0132017937219731</v>
      </c>
      <c r="AI8" s="14">
        <f t="shared" si="22"/>
        <v>0.0144238059135709</v>
      </c>
      <c r="AJ8" s="14">
        <f t="shared" si="22"/>
        <v>0.0147119149729629</v>
      </c>
      <c r="AK8" s="16">
        <f t="shared" si="3"/>
        <v>0.0127373965387509</v>
      </c>
      <c r="AL8" s="16">
        <f t="shared" si="4"/>
        <v>0.0149699327909445</v>
      </c>
      <c r="AM8" s="4"/>
      <c r="AN8" s="4"/>
      <c r="AO8" s="14">
        <f t="shared" ref="AO8:AS8" si="23">W8</f>
        <v>0.0130200437931615</v>
      </c>
      <c r="AP8" s="14">
        <f t="shared" si="23"/>
        <v>0.0127459366980325</v>
      </c>
      <c r="AQ8" s="14">
        <f t="shared" si="23"/>
        <v>0.0132017937219731</v>
      </c>
      <c r="AR8" s="14">
        <f t="shared" si="23"/>
        <v>0.0144238059135709</v>
      </c>
      <c r="AS8" s="14">
        <f t="shared" si="23"/>
        <v>0.0147119149729629</v>
      </c>
      <c r="AT8" s="16">
        <f t="shared" si="6"/>
        <v>0.00941459744168548</v>
      </c>
      <c r="AU8" s="16">
        <f t="shared" si="7"/>
        <v>0.0110647329324372</v>
      </c>
      <c r="AZ8" s="3"/>
      <c r="BA8" s="11" t="s">
        <v>244</v>
      </c>
      <c r="BB8" s="12">
        <v>84.5</v>
      </c>
      <c r="BC8" s="14">
        <v>77.3</v>
      </c>
      <c r="BD8" s="14">
        <v>74.5</v>
      </c>
      <c r="BE8" s="14">
        <v>73.6</v>
      </c>
      <c r="BF8" s="14">
        <v>76.1</v>
      </c>
      <c r="BG8" s="14">
        <v>78.9</v>
      </c>
      <c r="BH8" s="14">
        <v>73.6</v>
      </c>
      <c r="BI8" s="14">
        <v>73.6</v>
      </c>
      <c r="BJ8" s="4"/>
      <c r="BK8" s="4"/>
      <c r="BL8" s="17"/>
      <c r="BM8" s="17"/>
      <c r="BN8" s="17"/>
      <c r="BO8" s="17"/>
    </row>
    <row r="9" ht="15.5" spans="1:67">
      <c r="A9" s="3" t="s">
        <v>245</v>
      </c>
      <c r="B9" s="11" t="s">
        <v>240</v>
      </c>
      <c r="C9" s="12">
        <f t="shared" ref="C9:J9" si="24">BB9/1000</f>
        <v>0.855</v>
      </c>
      <c r="D9" s="12">
        <f t="shared" si="24"/>
        <v>0.8241</v>
      </c>
      <c r="E9" s="12">
        <f t="shared" si="24"/>
        <v>0.7857</v>
      </c>
      <c r="F9" s="12">
        <f t="shared" si="24"/>
        <v>0.775</v>
      </c>
      <c r="G9" s="12">
        <f t="shared" si="24"/>
        <v>0.7702</v>
      </c>
      <c r="H9" s="12">
        <f t="shared" si="24"/>
        <v>0.8116</v>
      </c>
      <c r="I9" s="12">
        <f t="shared" si="24"/>
        <v>0.775</v>
      </c>
      <c r="J9" s="12">
        <f t="shared" si="24"/>
        <v>0.775</v>
      </c>
      <c r="K9" s="4"/>
      <c r="L9" s="4"/>
      <c r="M9" s="17">
        <v>5.937</v>
      </c>
      <c r="N9" s="17">
        <v>5.845</v>
      </c>
      <c r="O9" s="17">
        <v>5.575</v>
      </c>
      <c r="P9" s="17">
        <v>5.276</v>
      </c>
      <c r="Q9" s="17">
        <v>5.363</v>
      </c>
      <c r="R9" s="17">
        <v>6.645</v>
      </c>
      <c r="S9" s="17">
        <v>5.654</v>
      </c>
      <c r="T9" s="17"/>
      <c r="U9" s="3" t="s">
        <v>245</v>
      </c>
      <c r="V9" s="11" t="s">
        <v>240</v>
      </c>
      <c r="W9" s="14">
        <f t="shared" ref="W9:AC9" si="25">D9/M9</f>
        <v>0.138807478524507</v>
      </c>
      <c r="X9" s="14">
        <f t="shared" si="25"/>
        <v>0.134422583404619</v>
      </c>
      <c r="Y9" s="14">
        <f t="shared" si="25"/>
        <v>0.139013452914798</v>
      </c>
      <c r="Z9" s="14">
        <f t="shared" si="25"/>
        <v>0.145981804397271</v>
      </c>
      <c r="AA9" s="14">
        <f t="shared" si="25"/>
        <v>0.1513332090248</v>
      </c>
      <c r="AB9" s="15">
        <f t="shared" si="25"/>
        <v>0.116629044394281</v>
      </c>
      <c r="AC9" s="15">
        <f t="shared" si="25"/>
        <v>0.13707110010612</v>
      </c>
      <c r="AD9" s="4"/>
      <c r="AE9" s="4"/>
      <c r="AF9" s="14">
        <f t="shared" ref="AF9:AJ9" si="26">W9</f>
        <v>0.138807478524507</v>
      </c>
      <c r="AG9" s="14">
        <f t="shared" si="26"/>
        <v>0.134422583404619</v>
      </c>
      <c r="AH9" s="14">
        <f t="shared" si="26"/>
        <v>0.139013452914798</v>
      </c>
      <c r="AI9" s="14">
        <f t="shared" si="26"/>
        <v>0.145981804397271</v>
      </c>
      <c r="AJ9" s="14">
        <f t="shared" si="26"/>
        <v>0.1513332090248</v>
      </c>
      <c r="AK9" s="16">
        <f t="shared" si="3"/>
        <v>0.134123401053424</v>
      </c>
      <c r="AL9" s="16">
        <f t="shared" si="4"/>
        <v>0.157631765122037</v>
      </c>
      <c r="AM9" s="4"/>
      <c r="AN9" s="4"/>
      <c r="AO9" s="14">
        <f t="shared" ref="AO9:AS9" si="27">W9</f>
        <v>0.138807478524507</v>
      </c>
      <c r="AP9" s="14">
        <f t="shared" si="27"/>
        <v>0.134422583404619</v>
      </c>
      <c r="AQ9" s="14">
        <f t="shared" si="27"/>
        <v>0.139013452914798</v>
      </c>
      <c r="AR9" s="14">
        <f t="shared" si="27"/>
        <v>0.145981804397271</v>
      </c>
      <c r="AS9" s="14">
        <f t="shared" si="27"/>
        <v>0.1513332090248</v>
      </c>
      <c r="AT9" s="16">
        <f t="shared" si="6"/>
        <v>0.0991346877351392</v>
      </c>
      <c r="AU9" s="16">
        <f t="shared" si="7"/>
        <v>0.116510435090202</v>
      </c>
      <c r="AZ9" s="3" t="s">
        <v>245</v>
      </c>
      <c r="BA9" s="11" t="s">
        <v>240</v>
      </c>
      <c r="BB9" s="12">
        <v>855</v>
      </c>
      <c r="BC9" s="14">
        <v>824.1</v>
      </c>
      <c r="BD9" s="14">
        <v>785.7</v>
      </c>
      <c r="BE9" s="14">
        <v>775</v>
      </c>
      <c r="BF9" s="14">
        <v>770.2</v>
      </c>
      <c r="BG9" s="14">
        <v>811.6</v>
      </c>
      <c r="BH9" s="14">
        <v>775</v>
      </c>
      <c r="BI9" s="14">
        <v>775</v>
      </c>
      <c r="BJ9" s="4"/>
      <c r="BK9" s="4"/>
      <c r="BL9" s="17"/>
      <c r="BM9" s="17"/>
      <c r="BN9" s="17"/>
      <c r="BO9" s="17"/>
    </row>
    <row r="10" ht="15.5" spans="1:67">
      <c r="A10" s="3"/>
      <c r="B10" s="11" t="s">
        <v>241</v>
      </c>
      <c r="C10" s="12">
        <f t="shared" ref="C10:J10" si="28">BB10/1000</f>
        <v>0.7888</v>
      </c>
      <c r="D10" s="12">
        <f t="shared" si="28"/>
        <v>0.7626</v>
      </c>
      <c r="E10" s="12">
        <f t="shared" si="28"/>
        <v>0.7275</v>
      </c>
      <c r="F10" s="12">
        <f t="shared" si="28"/>
        <v>0.7179</v>
      </c>
      <c r="G10" s="12">
        <f t="shared" si="28"/>
        <v>0.7107</v>
      </c>
      <c r="H10" s="12">
        <f t="shared" si="28"/>
        <v>0.7503</v>
      </c>
      <c r="I10" s="12">
        <f t="shared" si="28"/>
        <v>0.7179</v>
      </c>
      <c r="J10" s="12">
        <f t="shared" si="28"/>
        <v>0.7179</v>
      </c>
      <c r="K10" s="4"/>
      <c r="L10" s="4"/>
      <c r="M10" s="17">
        <v>5.937</v>
      </c>
      <c r="N10" s="17">
        <v>5.845</v>
      </c>
      <c r="O10" s="17">
        <v>5.575</v>
      </c>
      <c r="P10" s="17">
        <v>5.276</v>
      </c>
      <c r="Q10" s="17">
        <v>5.363</v>
      </c>
      <c r="R10" s="17">
        <v>6.645</v>
      </c>
      <c r="S10" s="17">
        <v>5.654</v>
      </c>
      <c r="T10" s="17"/>
      <c r="U10" s="3"/>
      <c r="V10" s="11" t="s">
        <v>241</v>
      </c>
      <c r="W10" s="14">
        <f t="shared" ref="W10:AC10" si="29">D10/M10</f>
        <v>0.12844871147044</v>
      </c>
      <c r="X10" s="14">
        <f t="shared" si="29"/>
        <v>0.124465355004277</v>
      </c>
      <c r="Y10" s="14">
        <f t="shared" si="29"/>
        <v>0.12877130044843</v>
      </c>
      <c r="Z10" s="14">
        <f t="shared" si="29"/>
        <v>0.134704321455648</v>
      </c>
      <c r="AA10" s="14">
        <f t="shared" si="29"/>
        <v>0.139903039343651</v>
      </c>
      <c r="AB10" s="15">
        <f t="shared" si="29"/>
        <v>0.10803611738149</v>
      </c>
      <c r="AC10" s="15">
        <f t="shared" si="29"/>
        <v>0.126972055182172</v>
      </c>
      <c r="AD10" s="4"/>
      <c r="AE10" s="4"/>
      <c r="AF10" s="14">
        <f t="shared" ref="AF10:AJ10" si="30">W10</f>
        <v>0.12844871147044</v>
      </c>
      <c r="AG10" s="14">
        <f t="shared" si="30"/>
        <v>0.124465355004277</v>
      </c>
      <c r="AH10" s="14">
        <f t="shared" si="30"/>
        <v>0.12877130044843</v>
      </c>
      <c r="AI10" s="14">
        <f t="shared" si="30"/>
        <v>0.134704321455648</v>
      </c>
      <c r="AJ10" s="14">
        <f t="shared" si="30"/>
        <v>0.139903039343651</v>
      </c>
      <c r="AK10" s="16">
        <f t="shared" si="3"/>
        <v>0.124241534988713</v>
      </c>
      <c r="AL10" s="16">
        <f t="shared" si="4"/>
        <v>0.146017863459498</v>
      </c>
      <c r="AM10" s="4"/>
      <c r="AN10" s="4"/>
      <c r="AO10" s="14">
        <f t="shared" ref="AO10:AS10" si="31">W10</f>
        <v>0.12844871147044</v>
      </c>
      <c r="AP10" s="14">
        <f t="shared" si="31"/>
        <v>0.124465355004277</v>
      </c>
      <c r="AQ10" s="14">
        <f t="shared" si="31"/>
        <v>0.12877130044843</v>
      </c>
      <c r="AR10" s="14">
        <f t="shared" si="31"/>
        <v>0.134704321455648</v>
      </c>
      <c r="AS10" s="14">
        <f t="shared" si="31"/>
        <v>0.139903039343651</v>
      </c>
      <c r="AT10" s="16">
        <f t="shared" si="6"/>
        <v>0.0918306997742664</v>
      </c>
      <c r="AU10" s="16">
        <f t="shared" si="7"/>
        <v>0.107926246904846</v>
      </c>
      <c r="AZ10" s="3"/>
      <c r="BA10" s="11" t="s">
        <v>241</v>
      </c>
      <c r="BB10" s="12">
        <v>788.8</v>
      </c>
      <c r="BC10" s="14">
        <v>762.6</v>
      </c>
      <c r="BD10" s="14">
        <v>727.5</v>
      </c>
      <c r="BE10" s="14">
        <v>717.9</v>
      </c>
      <c r="BF10" s="14">
        <v>710.7</v>
      </c>
      <c r="BG10" s="14">
        <v>750.3</v>
      </c>
      <c r="BH10" s="14">
        <v>717.9</v>
      </c>
      <c r="BI10" s="14">
        <v>717.9</v>
      </c>
      <c r="BJ10" s="4"/>
      <c r="BK10" s="4"/>
      <c r="BL10" s="17"/>
      <c r="BM10" s="17"/>
      <c r="BN10" s="17"/>
      <c r="BO10" s="17"/>
    </row>
    <row r="11" ht="15.5" spans="1:67">
      <c r="A11" s="3"/>
      <c r="B11" s="11" t="s">
        <v>242</v>
      </c>
      <c r="C11" s="12">
        <f t="shared" ref="C11:J11" si="32">BB11/1000</f>
        <v>0.2381</v>
      </c>
      <c r="D11" s="12">
        <f t="shared" si="32"/>
        <v>0.2075</v>
      </c>
      <c r="E11" s="12">
        <f t="shared" si="32"/>
        <v>0.1951</v>
      </c>
      <c r="F11" s="12">
        <f t="shared" si="32"/>
        <v>0.1916</v>
      </c>
      <c r="G11" s="12">
        <f t="shared" si="32"/>
        <v>0.186</v>
      </c>
      <c r="H11" s="12">
        <f t="shared" si="32"/>
        <v>0.1938</v>
      </c>
      <c r="I11" s="12">
        <f t="shared" si="32"/>
        <v>0.1916</v>
      </c>
      <c r="J11" s="12">
        <f t="shared" si="32"/>
        <v>0.1916</v>
      </c>
      <c r="K11" s="4"/>
      <c r="L11" s="4"/>
      <c r="M11" s="17">
        <v>5.937</v>
      </c>
      <c r="N11" s="17">
        <v>5.845</v>
      </c>
      <c r="O11" s="17">
        <v>5.575</v>
      </c>
      <c r="P11" s="17">
        <v>5.276</v>
      </c>
      <c r="Q11" s="17">
        <v>5.363</v>
      </c>
      <c r="R11" s="17">
        <v>6.645</v>
      </c>
      <c r="S11" s="17">
        <v>5.654</v>
      </c>
      <c r="T11" s="17"/>
      <c r="U11" s="3"/>
      <c r="V11" s="11" t="s">
        <v>242</v>
      </c>
      <c r="W11" s="14">
        <f t="shared" ref="W11:AC11" si="33">D11/M11</f>
        <v>0.0349503116051878</v>
      </c>
      <c r="X11" s="14">
        <f t="shared" si="33"/>
        <v>0.0333789563729684</v>
      </c>
      <c r="Y11" s="14">
        <f t="shared" si="33"/>
        <v>0.0343677130044843</v>
      </c>
      <c r="Z11" s="14">
        <f t="shared" si="33"/>
        <v>0.035253980288097</v>
      </c>
      <c r="AA11" s="14">
        <f t="shared" si="33"/>
        <v>0.0361364907700914</v>
      </c>
      <c r="AB11" s="15">
        <f t="shared" si="33"/>
        <v>0.0288337095560572</v>
      </c>
      <c r="AC11" s="15">
        <f t="shared" si="33"/>
        <v>0.0338875132649452</v>
      </c>
      <c r="AD11" s="4"/>
      <c r="AE11" s="4"/>
      <c r="AF11" s="14">
        <f t="shared" ref="AF11:AJ11" si="34">W11</f>
        <v>0.0349503116051878</v>
      </c>
      <c r="AG11" s="14">
        <f t="shared" si="34"/>
        <v>0.0333789563729684</v>
      </c>
      <c r="AH11" s="14">
        <f t="shared" si="34"/>
        <v>0.0343677130044843</v>
      </c>
      <c r="AI11" s="14">
        <f t="shared" si="34"/>
        <v>0.035253980288097</v>
      </c>
      <c r="AJ11" s="14">
        <f t="shared" si="34"/>
        <v>0.0361364907700914</v>
      </c>
      <c r="AK11" s="16">
        <f t="shared" si="3"/>
        <v>0.0331587659894658</v>
      </c>
      <c r="AL11" s="16">
        <f t="shared" si="4"/>
        <v>0.0389706402546869</v>
      </c>
      <c r="AM11" s="4"/>
      <c r="AN11" s="4"/>
      <c r="AO11" s="14">
        <f t="shared" ref="AO11:AS11" si="35">W11</f>
        <v>0.0349503116051878</v>
      </c>
      <c r="AP11" s="14">
        <f t="shared" si="35"/>
        <v>0.0333789563729684</v>
      </c>
      <c r="AQ11" s="14">
        <f t="shared" si="35"/>
        <v>0.0343677130044843</v>
      </c>
      <c r="AR11" s="14">
        <f t="shared" si="35"/>
        <v>0.035253980288097</v>
      </c>
      <c r="AS11" s="14">
        <f t="shared" si="35"/>
        <v>0.0361364907700914</v>
      </c>
      <c r="AT11" s="16">
        <f t="shared" si="6"/>
        <v>0.0245086531226486</v>
      </c>
      <c r="AU11" s="16">
        <f t="shared" si="7"/>
        <v>0.0288043862752034</v>
      </c>
      <c r="AZ11" s="3"/>
      <c r="BA11" s="11" t="s">
        <v>242</v>
      </c>
      <c r="BB11" s="12">
        <v>238.1</v>
      </c>
      <c r="BC11" s="14">
        <v>207.5</v>
      </c>
      <c r="BD11" s="14">
        <v>195.1</v>
      </c>
      <c r="BE11" s="14">
        <v>191.6</v>
      </c>
      <c r="BF11" s="14">
        <v>186</v>
      </c>
      <c r="BG11" s="14">
        <v>193.8</v>
      </c>
      <c r="BH11" s="14">
        <v>191.6</v>
      </c>
      <c r="BI11" s="14">
        <v>191.6</v>
      </c>
      <c r="BJ11" s="4"/>
      <c r="BK11" s="4"/>
      <c r="BL11" s="17"/>
      <c r="BM11" s="17"/>
      <c r="BN11" s="17"/>
      <c r="BO11" s="17"/>
    </row>
    <row r="12" ht="15.5" spans="1:67">
      <c r="A12" s="3"/>
      <c r="B12" s="11" t="s">
        <v>243</v>
      </c>
      <c r="C12" s="12">
        <f t="shared" ref="C12:J12" si="36">BB12/1000</f>
        <v>0.4629</v>
      </c>
      <c r="D12" s="12">
        <f t="shared" si="36"/>
        <v>0.4749</v>
      </c>
      <c r="E12" s="12">
        <f t="shared" si="36"/>
        <v>0.4551</v>
      </c>
      <c r="F12" s="12">
        <f t="shared" si="36"/>
        <v>0.45</v>
      </c>
      <c r="G12" s="12">
        <f t="shared" si="36"/>
        <v>0.4459</v>
      </c>
      <c r="H12" s="12">
        <f t="shared" si="36"/>
        <v>0.4747</v>
      </c>
      <c r="I12" s="12">
        <f t="shared" si="36"/>
        <v>0.45</v>
      </c>
      <c r="J12" s="12">
        <f t="shared" si="36"/>
        <v>0.45</v>
      </c>
      <c r="K12" s="4"/>
      <c r="L12" s="4"/>
      <c r="M12" s="17">
        <v>5.937</v>
      </c>
      <c r="N12" s="17">
        <v>5.845</v>
      </c>
      <c r="O12" s="17">
        <v>5.575</v>
      </c>
      <c r="P12" s="17">
        <v>5.276</v>
      </c>
      <c r="Q12" s="17">
        <v>5.363</v>
      </c>
      <c r="R12" s="17">
        <v>6.645</v>
      </c>
      <c r="S12" s="17">
        <v>5.654</v>
      </c>
      <c r="T12" s="17"/>
      <c r="U12" s="3"/>
      <c r="V12" s="11" t="s">
        <v>243</v>
      </c>
      <c r="W12" s="14">
        <f t="shared" ref="W12:AC12" si="37">D12/M12</f>
        <v>0.0799898938858009</v>
      </c>
      <c r="X12" s="14">
        <f t="shared" si="37"/>
        <v>0.0778614200171086</v>
      </c>
      <c r="Y12" s="14">
        <f t="shared" si="37"/>
        <v>0.0807174887892377</v>
      </c>
      <c r="Z12" s="14">
        <f t="shared" si="37"/>
        <v>0.0845147839272176</v>
      </c>
      <c r="AA12" s="14">
        <f t="shared" si="37"/>
        <v>0.08851389147865</v>
      </c>
      <c r="AB12" s="15">
        <f t="shared" si="37"/>
        <v>0.0677200902934537</v>
      </c>
      <c r="AC12" s="15">
        <f t="shared" si="37"/>
        <v>0.0795896710293598</v>
      </c>
      <c r="AD12" s="4"/>
      <c r="AE12" s="4"/>
      <c r="AF12" s="14">
        <f t="shared" ref="AF12:AJ12" si="38">W12</f>
        <v>0.0799898938858009</v>
      </c>
      <c r="AG12" s="14">
        <f t="shared" si="38"/>
        <v>0.0778614200171086</v>
      </c>
      <c r="AH12" s="14">
        <f t="shared" si="38"/>
        <v>0.0807174887892377</v>
      </c>
      <c r="AI12" s="14">
        <f t="shared" si="38"/>
        <v>0.0845147839272176</v>
      </c>
      <c r="AJ12" s="14">
        <f t="shared" si="38"/>
        <v>0.08851389147865</v>
      </c>
      <c r="AK12" s="16">
        <f t="shared" si="3"/>
        <v>0.0778781038374718</v>
      </c>
      <c r="AL12" s="16">
        <f t="shared" si="4"/>
        <v>0.0915281216837637</v>
      </c>
      <c r="AM12" s="4"/>
      <c r="AN12" s="4"/>
      <c r="AO12" s="14">
        <f t="shared" ref="AO12:AS12" si="39">W12</f>
        <v>0.0799898938858009</v>
      </c>
      <c r="AP12" s="14">
        <f t="shared" si="39"/>
        <v>0.0778614200171086</v>
      </c>
      <c r="AQ12" s="14">
        <f t="shared" si="39"/>
        <v>0.0807174887892377</v>
      </c>
      <c r="AR12" s="14">
        <f t="shared" si="39"/>
        <v>0.0845147839272176</v>
      </c>
      <c r="AS12" s="14">
        <f t="shared" si="39"/>
        <v>0.08851389147865</v>
      </c>
      <c r="AT12" s="16">
        <f t="shared" si="6"/>
        <v>0.0575620767494357</v>
      </c>
      <c r="AU12" s="16">
        <f t="shared" si="7"/>
        <v>0.0676512203749558</v>
      </c>
      <c r="AZ12" s="3"/>
      <c r="BA12" s="11" t="s">
        <v>243</v>
      </c>
      <c r="BB12" s="12">
        <v>462.9</v>
      </c>
      <c r="BC12" s="14">
        <v>474.9</v>
      </c>
      <c r="BD12" s="14">
        <v>455.1</v>
      </c>
      <c r="BE12" s="14">
        <v>450</v>
      </c>
      <c r="BF12" s="14">
        <v>445.9</v>
      </c>
      <c r="BG12" s="14">
        <v>474.7</v>
      </c>
      <c r="BH12" s="14">
        <v>450</v>
      </c>
      <c r="BI12" s="14">
        <v>450</v>
      </c>
      <c r="BJ12" s="4"/>
      <c r="BK12" s="4"/>
      <c r="BL12" s="17"/>
      <c r="BM12" s="17"/>
      <c r="BN12" s="17"/>
      <c r="BO12" s="17"/>
    </row>
    <row r="13" ht="15.5" spans="1:67">
      <c r="A13" s="3"/>
      <c r="B13" s="11" t="s">
        <v>244</v>
      </c>
      <c r="C13" s="12">
        <f t="shared" ref="C13:J13" si="40">BB13/1000</f>
        <v>0.0877</v>
      </c>
      <c r="D13" s="12">
        <f t="shared" si="40"/>
        <v>0.0802</v>
      </c>
      <c r="E13" s="12">
        <f t="shared" si="40"/>
        <v>0.0772</v>
      </c>
      <c r="F13" s="12">
        <f t="shared" si="40"/>
        <v>0.0763</v>
      </c>
      <c r="G13" s="12">
        <f t="shared" si="40"/>
        <v>0.0789</v>
      </c>
      <c r="H13" s="12">
        <f t="shared" si="40"/>
        <v>0.0817</v>
      </c>
      <c r="I13" s="12">
        <f t="shared" si="40"/>
        <v>0.0763</v>
      </c>
      <c r="J13" s="12">
        <f t="shared" si="40"/>
        <v>0.0763</v>
      </c>
      <c r="K13" s="4"/>
      <c r="L13" s="4"/>
      <c r="M13" s="17">
        <v>5.937</v>
      </c>
      <c r="N13" s="17">
        <v>5.845</v>
      </c>
      <c r="O13" s="17">
        <v>5.575</v>
      </c>
      <c r="P13" s="17">
        <v>5.276</v>
      </c>
      <c r="Q13" s="17">
        <v>5.363</v>
      </c>
      <c r="R13" s="17">
        <v>6.645</v>
      </c>
      <c r="S13" s="17">
        <v>5.654</v>
      </c>
      <c r="T13" s="17"/>
      <c r="U13" s="3"/>
      <c r="V13" s="11" t="s">
        <v>244</v>
      </c>
      <c r="W13" s="14">
        <f t="shared" ref="W13:AC13" si="41">D13/M13</f>
        <v>0.0135085059794509</v>
      </c>
      <c r="X13" s="14">
        <f t="shared" si="41"/>
        <v>0.013207869974337</v>
      </c>
      <c r="Y13" s="14">
        <f t="shared" si="41"/>
        <v>0.0136860986547085</v>
      </c>
      <c r="Z13" s="14">
        <f t="shared" si="41"/>
        <v>0.0149545109931767</v>
      </c>
      <c r="AA13" s="14">
        <f t="shared" si="41"/>
        <v>0.0152340108148424</v>
      </c>
      <c r="AB13" s="15">
        <f t="shared" si="41"/>
        <v>0.0114823175319789</v>
      </c>
      <c r="AC13" s="15">
        <f t="shared" si="41"/>
        <v>0.013494870887867</v>
      </c>
      <c r="AD13" s="4"/>
      <c r="AE13" s="4"/>
      <c r="AF13" s="14">
        <f t="shared" ref="AF13:AJ13" si="42">W13</f>
        <v>0.0135085059794509</v>
      </c>
      <c r="AG13" s="14">
        <f t="shared" si="42"/>
        <v>0.013207869974337</v>
      </c>
      <c r="AH13" s="14">
        <f t="shared" si="42"/>
        <v>0.0136860986547085</v>
      </c>
      <c r="AI13" s="14">
        <f t="shared" si="42"/>
        <v>0.0149545109931767</v>
      </c>
      <c r="AJ13" s="14">
        <f t="shared" si="42"/>
        <v>0.0152340108148424</v>
      </c>
      <c r="AK13" s="16">
        <f t="shared" si="3"/>
        <v>0.0132046651617758</v>
      </c>
      <c r="AL13" s="16">
        <f t="shared" si="4"/>
        <v>0.015519101521047</v>
      </c>
      <c r="AM13" s="4"/>
      <c r="AN13" s="4"/>
      <c r="AO13" s="14">
        <f t="shared" ref="AO13:AS13" si="43">W13</f>
        <v>0.0135085059794509</v>
      </c>
      <c r="AP13" s="14">
        <f t="shared" si="43"/>
        <v>0.013207869974337</v>
      </c>
      <c r="AQ13" s="14">
        <f t="shared" si="43"/>
        <v>0.0136860986547085</v>
      </c>
      <c r="AR13" s="14">
        <f t="shared" si="43"/>
        <v>0.0149545109931767</v>
      </c>
      <c r="AS13" s="14">
        <f t="shared" si="43"/>
        <v>0.0152340108148424</v>
      </c>
      <c r="AT13" s="16">
        <f t="shared" si="6"/>
        <v>0.00975996990218209</v>
      </c>
      <c r="AU13" s="16">
        <f t="shared" si="7"/>
        <v>0.0114706402546869</v>
      </c>
      <c r="AZ13" s="3"/>
      <c r="BA13" s="11" t="s">
        <v>244</v>
      </c>
      <c r="BB13" s="12">
        <v>87.7</v>
      </c>
      <c r="BC13" s="14">
        <v>80.2</v>
      </c>
      <c r="BD13" s="14">
        <v>77.2</v>
      </c>
      <c r="BE13" s="14">
        <v>76.3</v>
      </c>
      <c r="BF13" s="14">
        <v>78.9</v>
      </c>
      <c r="BG13" s="14">
        <v>81.7</v>
      </c>
      <c r="BH13" s="14">
        <v>76.3</v>
      </c>
      <c r="BI13" s="14">
        <v>76.3</v>
      </c>
      <c r="BJ13" s="4"/>
      <c r="BK13" s="4"/>
      <c r="BL13" s="17"/>
      <c r="BM13" s="17"/>
      <c r="BN13" s="17"/>
      <c r="BO13" s="17"/>
    </row>
    <row r="14" ht="15.5" spans="1:67">
      <c r="A14" s="3" t="s">
        <v>11</v>
      </c>
      <c r="B14" s="11" t="s">
        <v>240</v>
      </c>
      <c r="C14" s="12">
        <f t="shared" ref="C14:J14" si="44">BB14/1000</f>
        <v>0.8705</v>
      </c>
      <c r="D14" s="12">
        <f t="shared" si="44"/>
        <v>0.8381</v>
      </c>
      <c r="E14" s="12">
        <f t="shared" si="44"/>
        <v>0.799</v>
      </c>
      <c r="F14" s="12">
        <f t="shared" si="44"/>
        <v>0.7882</v>
      </c>
      <c r="G14" s="12">
        <f t="shared" si="44"/>
        <v>0.7835</v>
      </c>
      <c r="H14" s="12">
        <f t="shared" si="44"/>
        <v>0.8253</v>
      </c>
      <c r="I14" s="12">
        <f t="shared" si="44"/>
        <v>0.7882</v>
      </c>
      <c r="J14" s="12">
        <f t="shared" si="44"/>
        <v>0.7882</v>
      </c>
      <c r="K14" s="4"/>
      <c r="L14" s="4"/>
      <c r="M14" s="17">
        <v>5.937</v>
      </c>
      <c r="N14" s="17">
        <v>5.845</v>
      </c>
      <c r="O14" s="17">
        <v>5.575</v>
      </c>
      <c r="P14" s="17">
        <v>5.276</v>
      </c>
      <c r="Q14" s="17">
        <v>5.363</v>
      </c>
      <c r="R14" s="17">
        <v>6.645</v>
      </c>
      <c r="S14" s="17">
        <v>5.654</v>
      </c>
      <c r="T14" s="17"/>
      <c r="U14" s="3" t="s">
        <v>11</v>
      </c>
      <c r="V14" s="11" t="s">
        <v>240</v>
      </c>
      <c r="W14" s="14">
        <f t="shared" ref="W14:AC14" si="45">D14/M14</f>
        <v>0.141165571837628</v>
      </c>
      <c r="X14" s="14">
        <f t="shared" si="45"/>
        <v>0.136698032506416</v>
      </c>
      <c r="Y14" s="14">
        <f t="shared" si="45"/>
        <v>0.141381165919283</v>
      </c>
      <c r="Z14" s="14">
        <f t="shared" si="45"/>
        <v>0.148502653525398</v>
      </c>
      <c r="AA14" s="14">
        <f t="shared" si="45"/>
        <v>0.153887749393996</v>
      </c>
      <c r="AB14" s="15">
        <f t="shared" si="45"/>
        <v>0.118615500376223</v>
      </c>
      <c r="AC14" s="15">
        <f t="shared" si="45"/>
        <v>0.139405730456314</v>
      </c>
      <c r="AD14" s="4"/>
      <c r="AE14" s="4"/>
      <c r="AF14" s="14">
        <f t="shared" ref="AF14:AJ14" si="46">W14</f>
        <v>0.141165571837628</v>
      </c>
      <c r="AG14" s="14">
        <f t="shared" si="46"/>
        <v>0.136698032506416</v>
      </c>
      <c r="AH14" s="14">
        <f t="shared" si="46"/>
        <v>0.141381165919283</v>
      </c>
      <c r="AI14" s="14">
        <f t="shared" si="46"/>
        <v>0.148502653525398</v>
      </c>
      <c r="AJ14" s="14">
        <f t="shared" si="46"/>
        <v>0.153887749393996</v>
      </c>
      <c r="AK14" s="16">
        <f t="shared" si="3"/>
        <v>0.136407825432656</v>
      </c>
      <c r="AL14" s="16">
        <f t="shared" si="4"/>
        <v>0.160316590024761</v>
      </c>
      <c r="AM14" s="4"/>
      <c r="AN14" s="4"/>
      <c r="AO14" s="14">
        <f t="shared" ref="AO14:AS14" si="47">W14</f>
        <v>0.141165571837628</v>
      </c>
      <c r="AP14" s="14">
        <f t="shared" si="47"/>
        <v>0.136698032506416</v>
      </c>
      <c r="AQ14" s="14">
        <f t="shared" si="47"/>
        <v>0.141381165919283</v>
      </c>
      <c r="AR14" s="14">
        <f t="shared" si="47"/>
        <v>0.148502653525398</v>
      </c>
      <c r="AS14" s="14">
        <f t="shared" si="47"/>
        <v>0.153887749393996</v>
      </c>
      <c r="AT14" s="16">
        <f t="shared" si="6"/>
        <v>0.100823175319789</v>
      </c>
      <c r="AU14" s="16">
        <f t="shared" si="7"/>
        <v>0.118494870887867</v>
      </c>
      <c r="AZ14" s="3" t="s">
        <v>11</v>
      </c>
      <c r="BA14" s="11" t="s">
        <v>240</v>
      </c>
      <c r="BB14" s="12">
        <v>870.5</v>
      </c>
      <c r="BC14" s="14">
        <v>838.1</v>
      </c>
      <c r="BD14" s="14">
        <v>799</v>
      </c>
      <c r="BE14" s="14">
        <v>788.2</v>
      </c>
      <c r="BF14" s="14">
        <v>783.5</v>
      </c>
      <c r="BG14" s="14">
        <v>825.3</v>
      </c>
      <c r="BH14" s="14">
        <v>788.2</v>
      </c>
      <c r="BI14" s="14">
        <v>788.2</v>
      </c>
      <c r="BJ14" s="4"/>
      <c r="BK14" s="4"/>
      <c r="BL14" s="17"/>
      <c r="BM14" s="17"/>
      <c r="BN14" s="17"/>
      <c r="BO14" s="17"/>
    </row>
    <row r="15" ht="15.5" spans="1:67">
      <c r="A15" s="3"/>
      <c r="B15" s="11" t="s">
        <v>241</v>
      </c>
      <c r="C15" s="12">
        <f t="shared" ref="C15:J15" si="48">BB15/1000</f>
        <v>0.8012</v>
      </c>
      <c r="D15" s="12">
        <f t="shared" si="48"/>
        <v>0.7738</v>
      </c>
      <c r="E15" s="12">
        <f t="shared" si="48"/>
        <v>0.7382</v>
      </c>
      <c r="F15" s="12">
        <f t="shared" si="48"/>
        <v>0.7285</v>
      </c>
      <c r="G15" s="12">
        <f t="shared" si="48"/>
        <v>0.7214</v>
      </c>
      <c r="H15" s="12">
        <f t="shared" si="48"/>
        <v>0.7613</v>
      </c>
      <c r="I15" s="12">
        <f t="shared" si="48"/>
        <v>0.7285</v>
      </c>
      <c r="J15" s="12">
        <f t="shared" si="48"/>
        <v>0.7285</v>
      </c>
      <c r="K15" s="4"/>
      <c r="L15" s="4"/>
      <c r="M15" s="17">
        <v>5.937</v>
      </c>
      <c r="N15" s="17">
        <v>5.845</v>
      </c>
      <c r="O15" s="17">
        <v>5.575</v>
      </c>
      <c r="P15" s="17">
        <v>5.276</v>
      </c>
      <c r="Q15" s="17">
        <v>5.363</v>
      </c>
      <c r="R15" s="17">
        <v>6.645</v>
      </c>
      <c r="S15" s="17">
        <v>5.654</v>
      </c>
      <c r="T15" s="17"/>
      <c r="U15" s="3"/>
      <c r="V15" s="11" t="s">
        <v>241</v>
      </c>
      <c r="W15" s="14">
        <f t="shared" ref="W15:AC15" si="49">D15/M15</f>
        <v>0.130335186120936</v>
      </c>
      <c r="X15" s="14">
        <f t="shared" si="49"/>
        <v>0.126295979469632</v>
      </c>
      <c r="Y15" s="14">
        <f t="shared" si="49"/>
        <v>0.13067264573991</v>
      </c>
      <c r="Z15" s="14">
        <f t="shared" si="49"/>
        <v>0.136732373009856</v>
      </c>
      <c r="AA15" s="14">
        <f t="shared" si="49"/>
        <v>0.141954130151035</v>
      </c>
      <c r="AB15" s="15">
        <f t="shared" si="49"/>
        <v>0.109631301730625</v>
      </c>
      <c r="AC15" s="15">
        <f t="shared" si="49"/>
        <v>0.128846834099752</v>
      </c>
      <c r="AD15" s="4"/>
      <c r="AE15" s="4"/>
      <c r="AF15" s="14">
        <f t="shared" ref="AF15:AJ15" si="50">W15</f>
        <v>0.130335186120936</v>
      </c>
      <c r="AG15" s="14">
        <f t="shared" si="50"/>
        <v>0.126295979469632</v>
      </c>
      <c r="AH15" s="14">
        <f t="shared" si="50"/>
        <v>0.13067264573991</v>
      </c>
      <c r="AI15" s="14">
        <f t="shared" si="50"/>
        <v>0.136732373009856</v>
      </c>
      <c r="AJ15" s="14">
        <f t="shared" si="50"/>
        <v>0.141954130151035</v>
      </c>
      <c r="AK15" s="16">
        <f t="shared" si="3"/>
        <v>0.126075996990218</v>
      </c>
      <c r="AL15" s="16">
        <f t="shared" si="4"/>
        <v>0.148173859214715</v>
      </c>
      <c r="AM15" s="4"/>
      <c r="AN15" s="4"/>
      <c r="AO15" s="14">
        <f t="shared" ref="AO15:AS15" si="51">W15</f>
        <v>0.130335186120936</v>
      </c>
      <c r="AP15" s="14">
        <f t="shared" si="51"/>
        <v>0.126295979469632</v>
      </c>
      <c r="AQ15" s="14">
        <f t="shared" si="51"/>
        <v>0.13067264573991</v>
      </c>
      <c r="AR15" s="14">
        <f t="shared" si="51"/>
        <v>0.136732373009856</v>
      </c>
      <c r="AS15" s="14">
        <f t="shared" si="51"/>
        <v>0.141954130151035</v>
      </c>
      <c r="AT15" s="16">
        <f t="shared" si="6"/>
        <v>0.0931866064710309</v>
      </c>
      <c r="AU15" s="16">
        <f t="shared" si="7"/>
        <v>0.10951980898479</v>
      </c>
      <c r="AZ15" s="3"/>
      <c r="BA15" s="11" t="s">
        <v>241</v>
      </c>
      <c r="BB15" s="12">
        <v>801.2</v>
      </c>
      <c r="BC15" s="14">
        <v>773.8</v>
      </c>
      <c r="BD15" s="14">
        <v>738.2</v>
      </c>
      <c r="BE15" s="14">
        <v>728.5</v>
      </c>
      <c r="BF15" s="14">
        <v>721.4</v>
      </c>
      <c r="BG15" s="14">
        <v>761.3</v>
      </c>
      <c r="BH15" s="14">
        <v>728.5</v>
      </c>
      <c r="BI15" s="14">
        <v>728.5</v>
      </c>
      <c r="BJ15" s="4"/>
      <c r="BK15" s="4"/>
      <c r="BL15" s="17"/>
      <c r="BM15" s="17"/>
      <c r="BN15" s="17"/>
      <c r="BO15" s="17"/>
    </row>
    <row r="16" ht="15.5" spans="1:67">
      <c r="A16" s="3"/>
      <c r="B16" s="11" t="s">
        <v>242</v>
      </c>
      <c r="C16" s="12">
        <f t="shared" ref="C16:J16" si="52">BB16/1000</f>
        <v>0.3021</v>
      </c>
      <c r="D16" s="12">
        <f t="shared" si="52"/>
        <v>0.2654</v>
      </c>
      <c r="E16" s="12">
        <f t="shared" si="52"/>
        <v>0.2502</v>
      </c>
      <c r="F16" s="12">
        <f t="shared" si="52"/>
        <v>0.246</v>
      </c>
      <c r="G16" s="12">
        <f t="shared" si="52"/>
        <v>0.2408</v>
      </c>
      <c r="H16" s="12">
        <f t="shared" si="52"/>
        <v>0.2506</v>
      </c>
      <c r="I16" s="12">
        <f t="shared" si="52"/>
        <v>0.246</v>
      </c>
      <c r="J16" s="12">
        <f t="shared" si="52"/>
        <v>0.246</v>
      </c>
      <c r="K16" s="4"/>
      <c r="L16" s="4"/>
      <c r="M16" s="17">
        <v>5.937</v>
      </c>
      <c r="N16" s="17">
        <v>5.845</v>
      </c>
      <c r="O16" s="17">
        <v>5.575</v>
      </c>
      <c r="P16" s="17">
        <v>5.276</v>
      </c>
      <c r="Q16" s="17">
        <v>5.363</v>
      </c>
      <c r="R16" s="17">
        <v>6.645</v>
      </c>
      <c r="S16" s="17">
        <v>5.654</v>
      </c>
      <c r="T16" s="17"/>
      <c r="U16" s="3"/>
      <c r="V16" s="11" t="s">
        <v>242</v>
      </c>
      <c r="W16" s="14">
        <f t="shared" ref="W16:AC16" si="53">D16/M16</f>
        <v>0.0447027118073101</v>
      </c>
      <c r="X16" s="14">
        <f t="shared" si="53"/>
        <v>0.0428058169375535</v>
      </c>
      <c r="Y16" s="14">
        <f t="shared" si="53"/>
        <v>0.0441255605381166</v>
      </c>
      <c r="Z16" s="14">
        <f t="shared" si="53"/>
        <v>0.0456406368460955</v>
      </c>
      <c r="AA16" s="14">
        <f t="shared" si="53"/>
        <v>0.0467275778482193</v>
      </c>
      <c r="AB16" s="15">
        <f t="shared" si="53"/>
        <v>0.037020316027088</v>
      </c>
      <c r="AC16" s="15">
        <f t="shared" si="53"/>
        <v>0.0435090201627167</v>
      </c>
      <c r="AD16" s="4"/>
      <c r="AE16" s="4"/>
      <c r="AF16" s="14">
        <f t="shared" ref="AF16:AJ16" si="54">W16</f>
        <v>0.0447027118073101</v>
      </c>
      <c r="AG16" s="14">
        <f t="shared" si="54"/>
        <v>0.0428058169375535</v>
      </c>
      <c r="AH16" s="14">
        <f t="shared" si="54"/>
        <v>0.0441255605381166</v>
      </c>
      <c r="AI16" s="14">
        <f t="shared" si="54"/>
        <v>0.0456406368460955</v>
      </c>
      <c r="AJ16" s="14">
        <f t="shared" si="54"/>
        <v>0.0467275778482193</v>
      </c>
      <c r="AK16" s="16">
        <f t="shared" si="3"/>
        <v>0.0425733634311512</v>
      </c>
      <c r="AL16" s="16">
        <f t="shared" si="4"/>
        <v>0.0500353731871242</v>
      </c>
      <c r="AM16" s="4"/>
      <c r="AN16" s="4"/>
      <c r="AO16" s="14">
        <f t="shared" ref="AO16:AS16" si="55">W16</f>
        <v>0.0447027118073101</v>
      </c>
      <c r="AP16" s="14">
        <f t="shared" si="55"/>
        <v>0.0428058169375535</v>
      </c>
      <c r="AQ16" s="14">
        <f t="shared" si="55"/>
        <v>0.0441255605381166</v>
      </c>
      <c r="AR16" s="14">
        <f t="shared" si="55"/>
        <v>0.0456406368460955</v>
      </c>
      <c r="AS16" s="14">
        <f t="shared" si="55"/>
        <v>0.0467275778482193</v>
      </c>
      <c r="AT16" s="16">
        <f t="shared" si="6"/>
        <v>0.0314672686230248</v>
      </c>
      <c r="AU16" s="16">
        <f t="shared" si="7"/>
        <v>0.0369826671383092</v>
      </c>
      <c r="AZ16" s="3"/>
      <c r="BA16" s="11" t="s">
        <v>242</v>
      </c>
      <c r="BB16" s="12">
        <v>302.1</v>
      </c>
      <c r="BC16" s="14">
        <v>265.4</v>
      </c>
      <c r="BD16" s="14">
        <v>250.2</v>
      </c>
      <c r="BE16" s="14">
        <v>246</v>
      </c>
      <c r="BF16" s="14">
        <v>240.8</v>
      </c>
      <c r="BG16" s="14">
        <v>250.6</v>
      </c>
      <c r="BH16" s="14">
        <v>246</v>
      </c>
      <c r="BI16" s="14">
        <v>246</v>
      </c>
      <c r="BJ16" s="4"/>
      <c r="BK16" s="4"/>
      <c r="BL16" s="17"/>
      <c r="BM16" s="17"/>
      <c r="BN16" s="17"/>
      <c r="BO16" s="17"/>
    </row>
    <row r="17" ht="15.5" spans="1:67">
      <c r="A17" s="3"/>
      <c r="B17" s="11" t="s">
        <v>243</v>
      </c>
      <c r="C17" s="12">
        <f t="shared" ref="C17:J17" si="56">BB17/1000</f>
        <v>0.4137</v>
      </c>
      <c r="D17" s="12">
        <f t="shared" si="56"/>
        <v>0.4304</v>
      </c>
      <c r="E17" s="12">
        <f t="shared" si="56"/>
        <v>0.4127</v>
      </c>
      <c r="F17" s="12">
        <f t="shared" si="56"/>
        <v>0.4081</v>
      </c>
      <c r="G17" s="12">
        <f t="shared" si="56"/>
        <v>0.4037</v>
      </c>
      <c r="H17" s="12">
        <f t="shared" si="56"/>
        <v>0.4311</v>
      </c>
      <c r="I17" s="12">
        <f t="shared" si="56"/>
        <v>0.4081</v>
      </c>
      <c r="J17" s="12">
        <f t="shared" si="56"/>
        <v>0.4081</v>
      </c>
      <c r="K17" s="4"/>
      <c r="L17" s="4"/>
      <c r="M17" s="17">
        <v>5.937</v>
      </c>
      <c r="N17" s="17">
        <v>5.845</v>
      </c>
      <c r="O17" s="17">
        <v>5.575</v>
      </c>
      <c r="P17" s="17">
        <v>5.276</v>
      </c>
      <c r="Q17" s="17">
        <v>5.363</v>
      </c>
      <c r="R17" s="17">
        <v>6.645</v>
      </c>
      <c r="S17" s="17">
        <v>5.654</v>
      </c>
      <c r="T17" s="17"/>
      <c r="U17" s="3"/>
      <c r="V17" s="11" t="s">
        <v>243</v>
      </c>
      <c r="W17" s="14">
        <f t="shared" ref="W17:AC17" si="57">D17/M17</f>
        <v>0.0724945258548088</v>
      </c>
      <c r="X17" s="14">
        <f t="shared" si="57"/>
        <v>0.0706073567151412</v>
      </c>
      <c r="Y17" s="14">
        <f t="shared" si="57"/>
        <v>0.0732017937219731</v>
      </c>
      <c r="Z17" s="14">
        <f t="shared" si="57"/>
        <v>0.076516300227445</v>
      </c>
      <c r="AA17" s="14">
        <f t="shared" si="57"/>
        <v>0.0803841133693828</v>
      </c>
      <c r="AB17" s="15">
        <f t="shared" si="57"/>
        <v>0.0614145974416855</v>
      </c>
      <c r="AC17" s="15">
        <f t="shared" si="57"/>
        <v>0.0721789883268483</v>
      </c>
      <c r="AD17" s="4"/>
      <c r="AE17" s="4"/>
      <c r="AF17" s="14">
        <f t="shared" ref="AF17:AJ17" si="58">W17</f>
        <v>0.0724945258548088</v>
      </c>
      <c r="AG17" s="14">
        <f t="shared" si="58"/>
        <v>0.0706073567151412</v>
      </c>
      <c r="AH17" s="14">
        <f t="shared" si="58"/>
        <v>0.0732017937219731</v>
      </c>
      <c r="AI17" s="14">
        <f t="shared" si="58"/>
        <v>0.076516300227445</v>
      </c>
      <c r="AJ17" s="14">
        <f t="shared" si="58"/>
        <v>0.0803841133693828</v>
      </c>
      <c r="AK17" s="16">
        <f t="shared" si="3"/>
        <v>0.0706267870579383</v>
      </c>
      <c r="AL17" s="16">
        <f t="shared" si="4"/>
        <v>0.0830058365758755</v>
      </c>
      <c r="AM17" s="4"/>
      <c r="AN17" s="4"/>
      <c r="AO17" s="14">
        <f t="shared" ref="AO17:AS17" si="59">W17</f>
        <v>0.0724945258548088</v>
      </c>
      <c r="AP17" s="14">
        <f t="shared" si="59"/>
        <v>0.0706073567151412</v>
      </c>
      <c r="AQ17" s="14">
        <f t="shared" si="59"/>
        <v>0.0732017937219731</v>
      </c>
      <c r="AR17" s="14">
        <f t="shared" si="59"/>
        <v>0.076516300227445</v>
      </c>
      <c r="AS17" s="14">
        <f t="shared" si="59"/>
        <v>0.0803841133693828</v>
      </c>
      <c r="AT17" s="16">
        <f t="shared" si="6"/>
        <v>0.0522024078254327</v>
      </c>
      <c r="AU17" s="16">
        <f t="shared" si="7"/>
        <v>0.061352140077821</v>
      </c>
      <c r="AZ17" s="3"/>
      <c r="BA17" s="11" t="s">
        <v>243</v>
      </c>
      <c r="BB17" s="12">
        <v>413.7</v>
      </c>
      <c r="BC17" s="14">
        <v>430.4</v>
      </c>
      <c r="BD17" s="14">
        <v>412.7</v>
      </c>
      <c r="BE17" s="14">
        <v>408.1</v>
      </c>
      <c r="BF17" s="14">
        <v>403.7</v>
      </c>
      <c r="BG17" s="14">
        <v>431.1</v>
      </c>
      <c r="BH17" s="14">
        <v>408.1</v>
      </c>
      <c r="BI17" s="14">
        <v>408.1</v>
      </c>
      <c r="BJ17" s="4"/>
      <c r="BK17" s="4"/>
      <c r="BL17" s="17"/>
      <c r="BM17" s="17"/>
      <c r="BN17" s="17"/>
      <c r="BO17" s="17"/>
    </row>
    <row r="18" ht="15.5" spans="1:67">
      <c r="A18" s="3"/>
      <c r="B18" s="11" t="s">
        <v>244</v>
      </c>
      <c r="C18" s="12">
        <f t="shared" ref="C18:J18" si="60">BB18/1000</f>
        <v>0.0853</v>
      </c>
      <c r="D18" s="12">
        <f t="shared" si="60"/>
        <v>0.0781</v>
      </c>
      <c r="E18" s="12">
        <f t="shared" si="60"/>
        <v>0.0752</v>
      </c>
      <c r="F18" s="12">
        <f t="shared" si="60"/>
        <v>0.0743</v>
      </c>
      <c r="G18" s="12">
        <f t="shared" si="60"/>
        <v>0.0768</v>
      </c>
      <c r="H18" s="12">
        <f t="shared" si="60"/>
        <v>0.0797</v>
      </c>
      <c r="I18" s="12">
        <f t="shared" si="60"/>
        <v>0.0743</v>
      </c>
      <c r="J18" s="12">
        <f t="shared" si="60"/>
        <v>0.0743</v>
      </c>
      <c r="K18" s="4"/>
      <c r="L18" s="4"/>
      <c r="M18" s="17">
        <v>5.937</v>
      </c>
      <c r="N18" s="17">
        <v>5.845</v>
      </c>
      <c r="O18" s="17">
        <v>5.575</v>
      </c>
      <c r="P18" s="17">
        <v>5.276</v>
      </c>
      <c r="Q18" s="17">
        <v>5.363</v>
      </c>
      <c r="R18" s="17">
        <v>6.645</v>
      </c>
      <c r="S18" s="17">
        <v>5.654</v>
      </c>
      <c r="T18" s="17"/>
      <c r="U18" s="3"/>
      <c r="V18" s="11" t="s">
        <v>244</v>
      </c>
      <c r="W18" s="14">
        <f t="shared" ref="W18:AC18" si="61">D18/M18</f>
        <v>0.0131547919824827</v>
      </c>
      <c r="X18" s="14">
        <f t="shared" si="61"/>
        <v>0.0128656971770744</v>
      </c>
      <c r="Y18" s="14">
        <f t="shared" si="61"/>
        <v>0.0133273542600897</v>
      </c>
      <c r="Z18" s="14">
        <f t="shared" si="61"/>
        <v>0.0145564821834723</v>
      </c>
      <c r="AA18" s="14">
        <f t="shared" si="61"/>
        <v>0.0148610852134999</v>
      </c>
      <c r="AB18" s="15">
        <f t="shared" si="61"/>
        <v>0.0111813393528969</v>
      </c>
      <c r="AC18" s="15">
        <f t="shared" si="61"/>
        <v>0.0131411390166254</v>
      </c>
      <c r="AD18" s="4"/>
      <c r="AE18" s="4"/>
      <c r="AF18" s="14">
        <f t="shared" ref="AF18:AJ18" si="62">W18</f>
        <v>0.0131547919824827</v>
      </c>
      <c r="AG18" s="14">
        <f t="shared" si="62"/>
        <v>0.0128656971770744</v>
      </c>
      <c r="AH18" s="14">
        <f t="shared" si="62"/>
        <v>0.0133273542600897</v>
      </c>
      <c r="AI18" s="14">
        <f t="shared" si="62"/>
        <v>0.0145564821834723</v>
      </c>
      <c r="AJ18" s="14">
        <f t="shared" si="62"/>
        <v>0.0148610852134999</v>
      </c>
      <c r="AK18" s="16">
        <f t="shared" si="3"/>
        <v>0.0128585402558315</v>
      </c>
      <c r="AL18" s="16">
        <f t="shared" si="4"/>
        <v>0.0151123098691192</v>
      </c>
      <c r="AM18" s="4"/>
      <c r="AN18" s="4"/>
      <c r="AO18" s="14">
        <f t="shared" ref="AO18:AS18" si="63">W18</f>
        <v>0.0131547919824827</v>
      </c>
      <c r="AP18" s="14">
        <f t="shared" si="63"/>
        <v>0.0128656971770744</v>
      </c>
      <c r="AQ18" s="14">
        <f t="shared" si="63"/>
        <v>0.0133273542600897</v>
      </c>
      <c r="AR18" s="14">
        <f t="shared" si="63"/>
        <v>0.0145564821834723</v>
      </c>
      <c r="AS18" s="14">
        <f t="shared" si="63"/>
        <v>0.0148610852134999</v>
      </c>
      <c r="AT18" s="16">
        <f t="shared" si="6"/>
        <v>0.00950413844996238</v>
      </c>
      <c r="AU18" s="16">
        <f t="shared" si="7"/>
        <v>0.0111699681641316</v>
      </c>
      <c r="AZ18" s="3"/>
      <c r="BA18" s="11" t="s">
        <v>244</v>
      </c>
      <c r="BB18" s="12">
        <v>85.3</v>
      </c>
      <c r="BC18" s="14">
        <v>78.1</v>
      </c>
      <c r="BD18" s="14">
        <v>75.2</v>
      </c>
      <c r="BE18" s="14">
        <v>74.3</v>
      </c>
      <c r="BF18" s="14">
        <v>76.8</v>
      </c>
      <c r="BG18" s="14">
        <v>79.7</v>
      </c>
      <c r="BH18" s="14">
        <v>74.3</v>
      </c>
      <c r="BI18" s="14">
        <v>74.3</v>
      </c>
      <c r="BJ18" s="4"/>
      <c r="BK18" s="4"/>
      <c r="BL18" s="17"/>
      <c r="BM18" s="17"/>
      <c r="BN18" s="17"/>
      <c r="BO18" s="17"/>
    </row>
    <row r="19" ht="15.5" spans="1:67">
      <c r="A19" s="4"/>
      <c r="B19" s="4"/>
      <c r="C19" s="7"/>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Z19" s="4"/>
      <c r="BA19" s="4"/>
      <c r="BB19" s="7"/>
      <c r="BC19" s="4"/>
      <c r="BD19" s="4"/>
      <c r="BE19" s="4"/>
      <c r="BF19" s="4"/>
      <c r="BG19" s="4"/>
      <c r="BH19" s="4"/>
      <c r="BI19" s="4"/>
      <c r="BJ19" s="4"/>
      <c r="BK19" s="4"/>
      <c r="BL19" s="4"/>
      <c r="BM19" s="4"/>
      <c r="BN19" s="4"/>
      <c r="BO19" s="4"/>
    </row>
    <row r="20" ht="15.5" spans="1:67">
      <c r="A20" s="4"/>
      <c r="B20" s="4"/>
      <c r="C20" s="7"/>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Z20" s="4"/>
      <c r="BA20" s="4"/>
      <c r="BB20" s="7"/>
      <c r="BC20" s="4"/>
      <c r="BD20" s="4"/>
      <c r="BE20" s="4"/>
      <c r="BF20" s="4"/>
      <c r="BG20" s="4"/>
      <c r="BH20" s="4"/>
      <c r="BI20" s="4"/>
      <c r="BJ20" s="4"/>
      <c r="BK20" s="4"/>
      <c r="BL20" s="4"/>
      <c r="BM20" s="4"/>
      <c r="BN20" s="4"/>
      <c r="BO20" s="4"/>
    </row>
    <row r="21" ht="15.5" spans="1:67">
      <c r="A21" s="3" t="s">
        <v>258</v>
      </c>
      <c r="B21" s="3"/>
      <c r="C21" s="3"/>
      <c r="D21" s="3"/>
      <c r="E21" s="3"/>
      <c r="F21" s="3"/>
      <c r="G21" s="3"/>
      <c r="H21" s="3"/>
      <c r="I21" s="3"/>
      <c r="J21" s="3"/>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Z21" s="3" t="s">
        <v>258</v>
      </c>
      <c r="BA21" s="3"/>
      <c r="BB21" s="3"/>
      <c r="BC21" s="3"/>
      <c r="BD21" s="3"/>
      <c r="BE21" s="3"/>
      <c r="BF21" s="3"/>
      <c r="BG21" s="3"/>
      <c r="BH21" s="3"/>
      <c r="BI21" s="3"/>
      <c r="BJ21" s="4"/>
      <c r="BK21" s="4"/>
      <c r="BL21" s="4"/>
      <c r="BM21" s="4"/>
      <c r="BN21" s="4"/>
      <c r="BO21" s="4"/>
    </row>
    <row r="22" ht="15.5" spans="1:67">
      <c r="A22" s="3" t="s">
        <v>228</v>
      </c>
      <c r="B22" s="3" t="s">
        <v>259</v>
      </c>
      <c r="C22" s="3" t="s">
        <v>230</v>
      </c>
      <c r="D22" s="3"/>
      <c r="E22" s="3"/>
      <c r="F22" s="3"/>
      <c r="G22" s="3"/>
      <c r="H22" s="3"/>
      <c r="I22" s="3"/>
      <c r="J22" s="3"/>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Z22" s="3" t="s">
        <v>228</v>
      </c>
      <c r="BA22" s="3" t="s">
        <v>259</v>
      </c>
      <c r="BB22" s="3" t="s">
        <v>230</v>
      </c>
      <c r="BC22" s="3"/>
      <c r="BD22" s="3"/>
      <c r="BE22" s="3"/>
      <c r="BF22" s="3"/>
      <c r="BG22" s="3"/>
      <c r="BH22" s="3"/>
      <c r="BI22" s="3"/>
      <c r="BJ22" s="4"/>
      <c r="BK22" s="4"/>
      <c r="BL22" s="4"/>
      <c r="BM22" s="4"/>
      <c r="BN22" s="4"/>
      <c r="BO22" s="4"/>
    </row>
    <row r="23" ht="30" spans="1:67">
      <c r="A23" s="3"/>
      <c r="B23" s="3"/>
      <c r="C23" s="7" t="s">
        <v>231</v>
      </c>
      <c r="D23" s="4" t="s">
        <v>232</v>
      </c>
      <c r="E23" s="4" t="s">
        <v>233</v>
      </c>
      <c r="F23" s="8" t="s">
        <v>234</v>
      </c>
      <c r="G23" s="4" t="s">
        <v>235</v>
      </c>
      <c r="H23" s="4" t="s">
        <v>236</v>
      </c>
      <c r="I23" s="4" t="s">
        <v>237</v>
      </c>
      <c r="J23" s="4" t="s">
        <v>238</v>
      </c>
      <c r="K23" s="4"/>
      <c r="L23" s="4"/>
      <c r="M23" s="4" t="s">
        <v>232</v>
      </c>
      <c r="N23" s="4" t="s">
        <v>233</v>
      </c>
      <c r="O23" s="4" t="s">
        <v>234</v>
      </c>
      <c r="P23" s="4" t="s">
        <v>235</v>
      </c>
      <c r="Q23" s="4" t="s">
        <v>236</v>
      </c>
      <c r="R23" s="4" t="s">
        <v>237</v>
      </c>
      <c r="S23" s="4" t="s">
        <v>238</v>
      </c>
      <c r="T23" s="4"/>
      <c r="U23" s="4"/>
      <c r="V23" s="6" t="s">
        <v>257</v>
      </c>
      <c r="W23" s="4" t="s">
        <v>232</v>
      </c>
      <c r="X23" s="4" t="s">
        <v>233</v>
      </c>
      <c r="Y23" s="8" t="s">
        <v>234</v>
      </c>
      <c r="Z23" s="4" t="s">
        <v>235</v>
      </c>
      <c r="AA23" s="4" t="s">
        <v>236</v>
      </c>
      <c r="AB23" s="10" t="s">
        <v>237</v>
      </c>
      <c r="AC23" s="10" t="s">
        <v>238</v>
      </c>
      <c r="AD23" s="4"/>
      <c r="AE23" s="4"/>
      <c r="AF23" s="4" t="s">
        <v>232</v>
      </c>
      <c r="AG23" s="4" t="s">
        <v>233</v>
      </c>
      <c r="AH23" s="8" t="s">
        <v>234</v>
      </c>
      <c r="AI23" s="4" t="s">
        <v>235</v>
      </c>
      <c r="AJ23" s="4" t="s">
        <v>236</v>
      </c>
      <c r="AK23" s="10" t="s">
        <v>237</v>
      </c>
      <c r="AL23" s="10" t="s">
        <v>238</v>
      </c>
      <c r="AM23" s="4"/>
      <c r="AN23" s="4"/>
      <c r="AO23" s="4" t="s">
        <v>232</v>
      </c>
      <c r="AP23" s="4" t="s">
        <v>233</v>
      </c>
      <c r="AQ23" s="8" t="s">
        <v>234</v>
      </c>
      <c r="AR23" s="4" t="s">
        <v>235</v>
      </c>
      <c r="AS23" s="4" t="s">
        <v>236</v>
      </c>
      <c r="AT23" s="10" t="s">
        <v>237</v>
      </c>
      <c r="AU23" s="10" t="s">
        <v>238</v>
      </c>
      <c r="AZ23" s="3"/>
      <c r="BA23" s="3"/>
      <c r="BB23" s="7" t="s">
        <v>231</v>
      </c>
      <c r="BC23" s="4" t="s">
        <v>232</v>
      </c>
      <c r="BD23" s="4" t="s">
        <v>233</v>
      </c>
      <c r="BE23" s="8" t="s">
        <v>234</v>
      </c>
      <c r="BF23" s="4" t="s">
        <v>235</v>
      </c>
      <c r="BG23" s="4" t="s">
        <v>236</v>
      </c>
      <c r="BH23" s="4" t="s">
        <v>237</v>
      </c>
      <c r="BI23" s="4" t="s">
        <v>238</v>
      </c>
      <c r="BJ23" s="4"/>
      <c r="BK23" s="4"/>
      <c r="BL23" s="4"/>
      <c r="BM23" s="4"/>
      <c r="BN23" s="4"/>
      <c r="BO23" s="4"/>
    </row>
    <row r="24" ht="15.5" spans="1:67">
      <c r="A24" s="3" t="s">
        <v>239</v>
      </c>
      <c r="B24" s="11" t="s">
        <v>240</v>
      </c>
      <c r="C24" s="12">
        <f t="shared" ref="C24:J24" si="64">BB24/1000</f>
        <v>0.8898</v>
      </c>
      <c r="D24" s="12">
        <f t="shared" si="64"/>
        <v>0.8432</v>
      </c>
      <c r="E24" s="12">
        <f t="shared" si="64"/>
        <v>0.8038</v>
      </c>
      <c r="F24" s="12">
        <f t="shared" si="64"/>
        <v>0.7946</v>
      </c>
      <c r="G24" s="12">
        <f t="shared" si="64"/>
        <v>0.7665</v>
      </c>
      <c r="H24" s="12">
        <f t="shared" si="64"/>
        <v>0.8066</v>
      </c>
      <c r="I24" s="12">
        <f t="shared" si="64"/>
        <v>0.7946</v>
      </c>
      <c r="J24" s="12">
        <f t="shared" si="64"/>
        <v>0.7946</v>
      </c>
      <c r="K24" s="4"/>
      <c r="L24" s="4"/>
      <c r="M24" s="13">
        <v>5.937</v>
      </c>
      <c r="N24" s="13">
        <v>5.845</v>
      </c>
      <c r="O24" s="13">
        <v>5.575</v>
      </c>
      <c r="P24" s="13">
        <v>5.276</v>
      </c>
      <c r="Q24" s="13">
        <v>5.363</v>
      </c>
      <c r="R24" s="13">
        <v>6.645</v>
      </c>
      <c r="S24" s="13">
        <v>5.654</v>
      </c>
      <c r="T24" s="13"/>
      <c r="U24" s="3" t="s">
        <v>239</v>
      </c>
      <c r="V24" s="11" t="s">
        <v>240</v>
      </c>
      <c r="W24" s="14">
        <f t="shared" ref="W24:AC24" si="65">D24/M24</f>
        <v>0.142024591544551</v>
      </c>
      <c r="X24" s="14">
        <f t="shared" si="65"/>
        <v>0.137519247219846</v>
      </c>
      <c r="Y24" s="14">
        <f t="shared" si="65"/>
        <v>0.142529147982063</v>
      </c>
      <c r="Z24" s="14">
        <f t="shared" si="65"/>
        <v>0.145280515542077</v>
      </c>
      <c r="AA24" s="14">
        <f t="shared" si="65"/>
        <v>0.150400895021443</v>
      </c>
      <c r="AB24" s="15">
        <f t="shared" si="65"/>
        <v>0.119578630549285</v>
      </c>
      <c r="AC24" s="15">
        <f t="shared" si="65"/>
        <v>0.140537672444287</v>
      </c>
      <c r="AD24" s="4"/>
      <c r="AE24" s="4"/>
      <c r="AF24" s="14">
        <f t="shared" ref="AF24:AJ24" si="66">W24</f>
        <v>0.142024591544551</v>
      </c>
      <c r="AG24" s="14">
        <f t="shared" si="66"/>
        <v>0.137519247219846</v>
      </c>
      <c r="AH24" s="14">
        <f t="shared" si="66"/>
        <v>0.142529147982063</v>
      </c>
      <c r="AI24" s="14">
        <f t="shared" si="66"/>
        <v>0.145280515542077</v>
      </c>
      <c r="AJ24" s="14">
        <f t="shared" si="66"/>
        <v>0.150400895021443</v>
      </c>
      <c r="AK24" s="16">
        <f t="shared" ref="AK24:AK38" si="67">AB24*1.15</f>
        <v>0.137515425131678</v>
      </c>
      <c r="AL24" s="16">
        <f t="shared" ref="AL24:AL38" si="68">AC24*1.15</f>
        <v>0.16161832331093</v>
      </c>
      <c r="AM24" s="4"/>
      <c r="AN24" s="4"/>
      <c r="AO24" s="14">
        <f t="shared" ref="AO24:AS24" si="69">W24</f>
        <v>0.142024591544551</v>
      </c>
      <c r="AP24" s="14">
        <f t="shared" si="69"/>
        <v>0.137519247219846</v>
      </c>
      <c r="AQ24" s="14">
        <f t="shared" si="69"/>
        <v>0.142529147982063</v>
      </c>
      <c r="AR24" s="14">
        <f t="shared" si="69"/>
        <v>0.145280515542077</v>
      </c>
      <c r="AS24" s="14">
        <f t="shared" si="69"/>
        <v>0.150400895021443</v>
      </c>
      <c r="AT24" s="16">
        <f t="shared" ref="AT24:AT38" si="70">AB24*0.85</f>
        <v>0.101641835966892</v>
      </c>
      <c r="AU24" s="16">
        <f t="shared" ref="AU24:AU38" si="71">AC24*0.85</f>
        <v>0.119457021577644</v>
      </c>
      <c r="AZ24" s="3" t="s">
        <v>239</v>
      </c>
      <c r="BA24" s="11" t="s">
        <v>240</v>
      </c>
      <c r="BB24" s="12">
        <v>889.8</v>
      </c>
      <c r="BC24" s="14">
        <v>843.2</v>
      </c>
      <c r="BD24" s="14">
        <v>803.8</v>
      </c>
      <c r="BE24" s="14">
        <v>794.6</v>
      </c>
      <c r="BF24" s="14">
        <v>766.5</v>
      </c>
      <c r="BG24" s="14">
        <v>806.6</v>
      </c>
      <c r="BH24" s="14">
        <v>794.6</v>
      </c>
      <c r="BI24" s="14">
        <v>794.6</v>
      </c>
      <c r="BJ24" s="4"/>
      <c r="BK24" s="4"/>
      <c r="BL24" s="13"/>
      <c r="BM24" s="13"/>
      <c r="BN24" s="13"/>
      <c r="BO24" s="13"/>
    </row>
    <row r="25" ht="15.5" spans="1:67">
      <c r="A25" s="3"/>
      <c r="B25" s="11" t="s">
        <v>241</v>
      </c>
      <c r="C25" s="12">
        <f t="shared" ref="C25:J25" si="72">BB25/1000</f>
        <v>0.8124</v>
      </c>
      <c r="D25" s="12">
        <f t="shared" si="72"/>
        <v>0.7746</v>
      </c>
      <c r="E25" s="12">
        <f t="shared" si="72"/>
        <v>0.739</v>
      </c>
      <c r="F25" s="12">
        <f t="shared" si="72"/>
        <v>0.7307</v>
      </c>
      <c r="G25" s="12">
        <f t="shared" si="72"/>
        <v>0.7045</v>
      </c>
      <c r="H25" s="12">
        <f t="shared" si="72"/>
        <v>0.7424</v>
      </c>
      <c r="I25" s="12">
        <f t="shared" si="72"/>
        <v>0.7307</v>
      </c>
      <c r="J25" s="12">
        <f t="shared" si="72"/>
        <v>0.7307</v>
      </c>
      <c r="K25" s="4"/>
      <c r="L25" s="4"/>
      <c r="M25" s="17">
        <v>5.937</v>
      </c>
      <c r="N25" s="17">
        <v>5.845</v>
      </c>
      <c r="O25" s="17">
        <v>5.575</v>
      </c>
      <c r="P25" s="17">
        <v>5.276</v>
      </c>
      <c r="Q25" s="17">
        <v>5.363</v>
      </c>
      <c r="R25" s="17">
        <v>6.645</v>
      </c>
      <c r="S25" s="17">
        <v>5.654</v>
      </c>
      <c r="T25" s="17"/>
      <c r="U25" s="3"/>
      <c r="V25" s="11" t="s">
        <v>241</v>
      </c>
      <c r="W25" s="14">
        <f t="shared" ref="W25:AC25" si="73">D25/M25</f>
        <v>0.130469934310258</v>
      </c>
      <c r="X25" s="14">
        <f t="shared" si="73"/>
        <v>0.126432848588537</v>
      </c>
      <c r="Y25" s="14">
        <f t="shared" si="73"/>
        <v>0.131067264573991</v>
      </c>
      <c r="Z25" s="14">
        <f t="shared" si="73"/>
        <v>0.133529188779378</v>
      </c>
      <c r="AA25" s="14">
        <f t="shared" si="73"/>
        <v>0.138429983218348</v>
      </c>
      <c r="AB25" s="15">
        <f t="shared" si="73"/>
        <v>0.109962377727615</v>
      </c>
      <c r="AC25" s="15">
        <f t="shared" si="73"/>
        <v>0.129235939158118</v>
      </c>
      <c r="AD25" s="4"/>
      <c r="AE25" s="4"/>
      <c r="AF25" s="14">
        <f t="shared" ref="AF25:AJ25" si="74">W25</f>
        <v>0.130469934310258</v>
      </c>
      <c r="AG25" s="14">
        <f t="shared" si="74"/>
        <v>0.126432848588537</v>
      </c>
      <c r="AH25" s="14">
        <f t="shared" si="74"/>
        <v>0.131067264573991</v>
      </c>
      <c r="AI25" s="14">
        <f t="shared" si="74"/>
        <v>0.133529188779378</v>
      </c>
      <c r="AJ25" s="14">
        <f t="shared" si="74"/>
        <v>0.138429983218348</v>
      </c>
      <c r="AK25" s="16">
        <f t="shared" si="67"/>
        <v>0.126456734386757</v>
      </c>
      <c r="AL25" s="16">
        <f t="shared" si="68"/>
        <v>0.148621330031836</v>
      </c>
      <c r="AM25" s="4"/>
      <c r="AN25" s="4"/>
      <c r="AO25" s="14">
        <f t="shared" ref="AO25:AS25" si="75">W25</f>
        <v>0.130469934310258</v>
      </c>
      <c r="AP25" s="14">
        <f t="shared" si="75"/>
        <v>0.126432848588537</v>
      </c>
      <c r="AQ25" s="14">
        <f t="shared" si="75"/>
        <v>0.131067264573991</v>
      </c>
      <c r="AR25" s="14">
        <f t="shared" si="75"/>
        <v>0.133529188779378</v>
      </c>
      <c r="AS25" s="14">
        <f t="shared" si="75"/>
        <v>0.138429983218348</v>
      </c>
      <c r="AT25" s="16">
        <f t="shared" si="70"/>
        <v>0.0934680210684725</v>
      </c>
      <c r="AU25" s="16">
        <f t="shared" si="71"/>
        <v>0.1098505482844</v>
      </c>
      <c r="AZ25" s="3"/>
      <c r="BA25" s="11" t="s">
        <v>241</v>
      </c>
      <c r="BB25" s="12">
        <v>812.4</v>
      </c>
      <c r="BC25" s="14">
        <v>774.6</v>
      </c>
      <c r="BD25" s="14">
        <v>739</v>
      </c>
      <c r="BE25" s="14">
        <v>730.7</v>
      </c>
      <c r="BF25" s="14">
        <v>704.5</v>
      </c>
      <c r="BG25" s="14">
        <v>742.4</v>
      </c>
      <c r="BH25" s="14">
        <v>730.7</v>
      </c>
      <c r="BI25" s="14">
        <v>730.7</v>
      </c>
      <c r="BJ25" s="4"/>
      <c r="BK25" s="4"/>
      <c r="BL25" s="17"/>
      <c r="BM25" s="17"/>
      <c r="BN25" s="17"/>
      <c r="BO25" s="17"/>
    </row>
    <row r="26" ht="15.5" spans="1:67">
      <c r="A26" s="3"/>
      <c r="B26" s="11" t="s">
        <v>242</v>
      </c>
      <c r="C26" s="12">
        <f t="shared" ref="C26:J26" si="76">BB26/1000</f>
        <v>0.1699</v>
      </c>
      <c r="D26" s="12">
        <f t="shared" si="76"/>
        <v>0.1497</v>
      </c>
      <c r="E26" s="12">
        <f t="shared" si="76"/>
        <v>0.1418</v>
      </c>
      <c r="F26" s="12">
        <f t="shared" si="76"/>
        <v>0.1399</v>
      </c>
      <c r="G26" s="12">
        <f t="shared" si="76"/>
        <v>0.1359</v>
      </c>
      <c r="H26" s="12">
        <f t="shared" si="76"/>
        <v>0.1408</v>
      </c>
      <c r="I26" s="12">
        <f t="shared" si="76"/>
        <v>0.1399</v>
      </c>
      <c r="J26" s="12">
        <f t="shared" si="76"/>
        <v>0.1399</v>
      </c>
      <c r="K26" s="4"/>
      <c r="L26" s="4"/>
      <c r="M26" s="17">
        <v>5.937</v>
      </c>
      <c r="N26" s="17">
        <v>5.845</v>
      </c>
      <c r="O26" s="17">
        <v>5.575</v>
      </c>
      <c r="P26" s="17">
        <v>5.276</v>
      </c>
      <c r="Q26" s="17">
        <v>5.363</v>
      </c>
      <c r="R26" s="17">
        <v>6.645</v>
      </c>
      <c r="S26" s="17">
        <v>5.654</v>
      </c>
      <c r="T26" s="17"/>
      <c r="U26" s="3"/>
      <c r="V26" s="11" t="s">
        <v>242</v>
      </c>
      <c r="W26" s="14">
        <f t="shared" ref="W26:AC26" si="77">D26/M26</f>
        <v>0.0252147549267307</v>
      </c>
      <c r="X26" s="14">
        <f t="shared" si="77"/>
        <v>0.0242600513259196</v>
      </c>
      <c r="Y26" s="14">
        <f t="shared" si="77"/>
        <v>0.0250941704035874</v>
      </c>
      <c r="Z26" s="14">
        <f t="shared" si="77"/>
        <v>0.0257581501137225</v>
      </c>
      <c r="AA26" s="14">
        <f t="shared" si="77"/>
        <v>0.0262539623345143</v>
      </c>
      <c r="AB26" s="15">
        <f t="shared" si="77"/>
        <v>0.0210534236267871</v>
      </c>
      <c r="AC26" s="15">
        <f t="shared" si="77"/>
        <v>0.0247435443933498</v>
      </c>
      <c r="AD26" s="4"/>
      <c r="AE26" s="4"/>
      <c r="AF26" s="14">
        <f t="shared" ref="AF26:AJ26" si="78">W26</f>
        <v>0.0252147549267307</v>
      </c>
      <c r="AG26" s="14">
        <f t="shared" si="78"/>
        <v>0.0242600513259196</v>
      </c>
      <c r="AH26" s="14">
        <f t="shared" si="78"/>
        <v>0.0250941704035874</v>
      </c>
      <c r="AI26" s="14">
        <f t="shared" si="78"/>
        <v>0.0257581501137225</v>
      </c>
      <c r="AJ26" s="14">
        <f t="shared" si="78"/>
        <v>0.0262539623345143</v>
      </c>
      <c r="AK26" s="16">
        <f t="shared" si="67"/>
        <v>0.0242114371708051</v>
      </c>
      <c r="AL26" s="16">
        <f t="shared" si="68"/>
        <v>0.0284550760523523</v>
      </c>
      <c r="AM26" s="4"/>
      <c r="AN26" s="4"/>
      <c r="AO26" s="14">
        <f t="shared" ref="AO26:AS26" si="79">W26</f>
        <v>0.0252147549267307</v>
      </c>
      <c r="AP26" s="14">
        <f t="shared" si="79"/>
        <v>0.0242600513259196</v>
      </c>
      <c r="AQ26" s="14">
        <f t="shared" si="79"/>
        <v>0.0250941704035874</v>
      </c>
      <c r="AR26" s="14">
        <f t="shared" si="79"/>
        <v>0.0257581501137225</v>
      </c>
      <c r="AS26" s="14">
        <f t="shared" si="79"/>
        <v>0.0262539623345143</v>
      </c>
      <c r="AT26" s="16">
        <f t="shared" si="70"/>
        <v>0.017895410082769</v>
      </c>
      <c r="AU26" s="16">
        <f t="shared" si="71"/>
        <v>0.0210320127343474</v>
      </c>
      <c r="AZ26" s="3"/>
      <c r="BA26" s="11" t="s">
        <v>242</v>
      </c>
      <c r="BB26" s="12">
        <v>169.9</v>
      </c>
      <c r="BC26" s="14">
        <v>149.7</v>
      </c>
      <c r="BD26" s="14">
        <v>141.8</v>
      </c>
      <c r="BE26" s="14">
        <v>139.9</v>
      </c>
      <c r="BF26" s="14">
        <v>135.9</v>
      </c>
      <c r="BG26" s="14">
        <v>140.8</v>
      </c>
      <c r="BH26" s="14">
        <v>139.9</v>
      </c>
      <c r="BI26" s="14">
        <v>139.9</v>
      </c>
      <c r="BJ26" s="4"/>
      <c r="BK26" s="4"/>
      <c r="BL26" s="17"/>
      <c r="BM26" s="17"/>
      <c r="BN26" s="17"/>
      <c r="BO26" s="17"/>
    </row>
    <row r="27" ht="15.5" spans="1:67">
      <c r="A27" s="3"/>
      <c r="B27" s="11" t="s">
        <v>243</v>
      </c>
      <c r="C27" s="12">
        <f t="shared" ref="C27:J27" si="80">BB27/1000</f>
        <v>0.5978</v>
      </c>
      <c r="D27" s="12">
        <f t="shared" si="80"/>
        <v>0.5807</v>
      </c>
      <c r="E27" s="12">
        <f t="shared" si="80"/>
        <v>0.554</v>
      </c>
      <c r="F27" s="12">
        <f t="shared" si="80"/>
        <v>0.5478</v>
      </c>
      <c r="G27" s="12">
        <f t="shared" si="80"/>
        <v>0.526</v>
      </c>
      <c r="H27" s="12">
        <f t="shared" si="80"/>
        <v>0.5575</v>
      </c>
      <c r="I27" s="12">
        <f t="shared" si="80"/>
        <v>0.5478</v>
      </c>
      <c r="J27" s="12">
        <f t="shared" si="80"/>
        <v>0.5478</v>
      </c>
      <c r="K27" s="4"/>
      <c r="L27" s="4"/>
      <c r="M27" s="17">
        <v>5.937</v>
      </c>
      <c r="N27" s="17">
        <v>5.845</v>
      </c>
      <c r="O27" s="17">
        <v>5.575</v>
      </c>
      <c r="P27" s="17">
        <v>5.276</v>
      </c>
      <c r="Q27" s="17">
        <v>5.363</v>
      </c>
      <c r="R27" s="17">
        <v>6.645</v>
      </c>
      <c r="S27" s="17">
        <v>5.654</v>
      </c>
      <c r="T27" s="17"/>
      <c r="U27" s="3"/>
      <c r="V27" s="11" t="s">
        <v>243</v>
      </c>
      <c r="W27" s="14">
        <f t="shared" ref="W27:AC27" si="81">D27/M27</f>
        <v>0.0978103419235304</v>
      </c>
      <c r="X27" s="14">
        <f t="shared" si="81"/>
        <v>0.0947818648417451</v>
      </c>
      <c r="Y27" s="14">
        <f t="shared" si="81"/>
        <v>0.0982600896860986</v>
      </c>
      <c r="Z27" s="14">
        <f t="shared" si="81"/>
        <v>0.099696739954511</v>
      </c>
      <c r="AA27" s="14">
        <f t="shared" si="81"/>
        <v>0.103953011374231</v>
      </c>
      <c r="AB27" s="15">
        <f t="shared" si="81"/>
        <v>0.0824379232505643</v>
      </c>
      <c r="AC27" s="15">
        <f t="shared" si="81"/>
        <v>0.0968871595330739</v>
      </c>
      <c r="AD27" s="4"/>
      <c r="AE27" s="4"/>
      <c r="AF27" s="14">
        <f t="shared" ref="AF27:AJ27" si="82">W27</f>
        <v>0.0978103419235304</v>
      </c>
      <c r="AG27" s="14">
        <f t="shared" si="82"/>
        <v>0.0947818648417451</v>
      </c>
      <c r="AH27" s="14">
        <f t="shared" si="82"/>
        <v>0.0982600896860986</v>
      </c>
      <c r="AI27" s="14">
        <f t="shared" si="82"/>
        <v>0.099696739954511</v>
      </c>
      <c r="AJ27" s="14">
        <f t="shared" si="82"/>
        <v>0.103953011374231</v>
      </c>
      <c r="AK27" s="16">
        <f t="shared" si="67"/>
        <v>0.094803611738149</v>
      </c>
      <c r="AL27" s="16">
        <f t="shared" si="68"/>
        <v>0.111420233463035</v>
      </c>
      <c r="AM27" s="4"/>
      <c r="AN27" s="4"/>
      <c r="AO27" s="14">
        <f t="shared" ref="AO27:AS27" si="83">W27</f>
        <v>0.0978103419235304</v>
      </c>
      <c r="AP27" s="14">
        <f t="shared" si="83"/>
        <v>0.0947818648417451</v>
      </c>
      <c r="AQ27" s="14">
        <f t="shared" si="83"/>
        <v>0.0982600896860986</v>
      </c>
      <c r="AR27" s="14">
        <f t="shared" si="83"/>
        <v>0.099696739954511</v>
      </c>
      <c r="AS27" s="14">
        <f t="shared" si="83"/>
        <v>0.103953011374231</v>
      </c>
      <c r="AT27" s="16">
        <f t="shared" si="70"/>
        <v>0.0700722347629797</v>
      </c>
      <c r="AU27" s="16">
        <f t="shared" si="71"/>
        <v>0.0823540856031128</v>
      </c>
      <c r="AZ27" s="3"/>
      <c r="BA27" s="11" t="s">
        <v>243</v>
      </c>
      <c r="BB27" s="12">
        <v>597.8</v>
      </c>
      <c r="BC27" s="14">
        <v>580.7</v>
      </c>
      <c r="BD27" s="14">
        <v>554</v>
      </c>
      <c r="BE27" s="14">
        <v>547.8</v>
      </c>
      <c r="BF27" s="14">
        <v>526</v>
      </c>
      <c r="BG27" s="14">
        <v>557.5</v>
      </c>
      <c r="BH27" s="14">
        <v>547.8</v>
      </c>
      <c r="BI27" s="14">
        <v>547.8</v>
      </c>
      <c r="BJ27" s="4"/>
      <c r="BK27" s="4"/>
      <c r="BL27" s="17"/>
      <c r="BM27" s="17"/>
      <c r="BN27" s="17"/>
      <c r="BO27" s="17"/>
    </row>
    <row r="28" ht="15.5" spans="1:67">
      <c r="A28" s="3"/>
      <c r="B28" s="11" t="s">
        <v>244</v>
      </c>
      <c r="C28" s="12">
        <f t="shared" ref="C28:J28" si="84">BB28/1000</f>
        <v>0.085</v>
      </c>
      <c r="D28" s="12">
        <f t="shared" si="84"/>
        <v>0.0786</v>
      </c>
      <c r="E28" s="12">
        <f t="shared" si="84"/>
        <v>0.0763</v>
      </c>
      <c r="F28" s="12">
        <f t="shared" si="84"/>
        <v>0.0759</v>
      </c>
      <c r="G28" s="12">
        <f t="shared" si="84"/>
        <v>0.0737</v>
      </c>
      <c r="H28" s="12">
        <f t="shared" si="84"/>
        <v>0.076</v>
      </c>
      <c r="I28" s="12">
        <f t="shared" si="84"/>
        <v>0.0759</v>
      </c>
      <c r="J28" s="12">
        <f t="shared" si="84"/>
        <v>0.0759</v>
      </c>
      <c r="K28" s="4"/>
      <c r="L28" s="4"/>
      <c r="M28" s="17">
        <v>5.937</v>
      </c>
      <c r="N28" s="17">
        <v>5.845</v>
      </c>
      <c r="O28" s="17">
        <v>5.575</v>
      </c>
      <c r="P28" s="17">
        <v>5.276</v>
      </c>
      <c r="Q28" s="17">
        <v>5.363</v>
      </c>
      <c r="R28" s="17">
        <v>6.645</v>
      </c>
      <c r="S28" s="17">
        <v>5.654</v>
      </c>
      <c r="T28" s="17"/>
      <c r="U28" s="3"/>
      <c r="V28" s="11" t="s">
        <v>244</v>
      </c>
      <c r="W28" s="14">
        <f t="shared" ref="W28:AC28" si="85">D28/M28</f>
        <v>0.0132390096008085</v>
      </c>
      <c r="X28" s="14">
        <f t="shared" si="85"/>
        <v>0.0130538922155689</v>
      </c>
      <c r="Y28" s="14">
        <f t="shared" si="85"/>
        <v>0.0136143497757848</v>
      </c>
      <c r="Z28" s="14">
        <f t="shared" si="85"/>
        <v>0.0139689158453374</v>
      </c>
      <c r="AA28" s="14">
        <f t="shared" si="85"/>
        <v>0.0141711728510162</v>
      </c>
      <c r="AB28" s="15">
        <f t="shared" si="85"/>
        <v>0.0114221218961625</v>
      </c>
      <c r="AC28" s="15">
        <f t="shared" si="85"/>
        <v>0.0134241245136187</v>
      </c>
      <c r="AD28" s="4"/>
      <c r="AE28" s="4"/>
      <c r="AF28" s="14">
        <f t="shared" ref="AF28:AJ28" si="86">W28</f>
        <v>0.0132390096008085</v>
      </c>
      <c r="AG28" s="14">
        <f t="shared" si="86"/>
        <v>0.0130538922155689</v>
      </c>
      <c r="AH28" s="14">
        <f t="shared" si="86"/>
        <v>0.0136143497757848</v>
      </c>
      <c r="AI28" s="14">
        <f t="shared" si="86"/>
        <v>0.0139689158453374</v>
      </c>
      <c r="AJ28" s="14">
        <f t="shared" si="86"/>
        <v>0.0141711728510162</v>
      </c>
      <c r="AK28" s="16">
        <f t="shared" si="67"/>
        <v>0.0131354401805869</v>
      </c>
      <c r="AL28" s="16">
        <f t="shared" si="68"/>
        <v>0.0154377431906615</v>
      </c>
      <c r="AM28" s="4"/>
      <c r="AN28" s="4"/>
      <c r="AO28" s="14">
        <f t="shared" ref="AO28:AS28" si="87">W28</f>
        <v>0.0132390096008085</v>
      </c>
      <c r="AP28" s="14">
        <f t="shared" si="87"/>
        <v>0.0130538922155689</v>
      </c>
      <c r="AQ28" s="14">
        <f t="shared" si="87"/>
        <v>0.0136143497757848</v>
      </c>
      <c r="AR28" s="14">
        <f t="shared" si="87"/>
        <v>0.0139689158453374</v>
      </c>
      <c r="AS28" s="14">
        <f t="shared" si="87"/>
        <v>0.0141711728510162</v>
      </c>
      <c r="AT28" s="16">
        <f t="shared" si="70"/>
        <v>0.00970880361173815</v>
      </c>
      <c r="AU28" s="16">
        <f t="shared" si="71"/>
        <v>0.0114105058365759</v>
      </c>
      <c r="AZ28" s="3"/>
      <c r="BA28" s="11" t="s">
        <v>244</v>
      </c>
      <c r="BB28" s="12">
        <v>85</v>
      </c>
      <c r="BC28" s="14">
        <v>78.6</v>
      </c>
      <c r="BD28" s="14">
        <v>76.3</v>
      </c>
      <c r="BE28" s="14">
        <v>75.9</v>
      </c>
      <c r="BF28" s="14">
        <v>73.7</v>
      </c>
      <c r="BG28" s="14">
        <v>76</v>
      </c>
      <c r="BH28" s="14">
        <v>75.9</v>
      </c>
      <c r="BI28" s="14">
        <v>75.9</v>
      </c>
      <c r="BJ28" s="4"/>
      <c r="BK28" s="4"/>
      <c r="BL28" s="17"/>
      <c r="BM28" s="17"/>
      <c r="BN28" s="17"/>
      <c r="BO28" s="17"/>
    </row>
    <row r="29" ht="15.5" spans="1:67">
      <c r="A29" s="3" t="s">
        <v>245</v>
      </c>
      <c r="B29" s="11" t="s">
        <v>240</v>
      </c>
      <c r="C29" s="12">
        <f t="shared" ref="C29:J29" si="88">BB29/1000</f>
        <v>0.9068</v>
      </c>
      <c r="D29" s="12">
        <f t="shared" si="88"/>
        <v>0.8586</v>
      </c>
      <c r="E29" s="12">
        <f t="shared" si="88"/>
        <v>0.8184</v>
      </c>
      <c r="F29" s="12">
        <f t="shared" si="88"/>
        <v>0.8091</v>
      </c>
      <c r="G29" s="12">
        <f t="shared" si="88"/>
        <v>0.7811</v>
      </c>
      <c r="H29" s="12">
        <f t="shared" si="88"/>
        <v>0.8217</v>
      </c>
      <c r="I29" s="12">
        <f t="shared" si="88"/>
        <v>0.8091</v>
      </c>
      <c r="J29" s="12">
        <f t="shared" si="88"/>
        <v>0.8091</v>
      </c>
      <c r="K29" s="4"/>
      <c r="L29" s="4"/>
      <c r="M29" s="17">
        <v>5.937</v>
      </c>
      <c r="N29" s="17">
        <v>5.845</v>
      </c>
      <c r="O29" s="17">
        <v>5.575</v>
      </c>
      <c r="P29" s="17">
        <v>5.276</v>
      </c>
      <c r="Q29" s="17">
        <v>5.363</v>
      </c>
      <c r="R29" s="17">
        <v>6.645</v>
      </c>
      <c r="S29" s="17">
        <v>5.654</v>
      </c>
      <c r="T29" s="17"/>
      <c r="U29" s="3" t="s">
        <v>245</v>
      </c>
      <c r="V29" s="11" t="s">
        <v>240</v>
      </c>
      <c r="W29" s="14">
        <f t="shared" ref="W29:AC29" si="89">D29/M29</f>
        <v>0.144618494188984</v>
      </c>
      <c r="X29" s="14">
        <f t="shared" si="89"/>
        <v>0.140017108639863</v>
      </c>
      <c r="Y29" s="14">
        <f t="shared" si="89"/>
        <v>0.145130044843049</v>
      </c>
      <c r="Z29" s="14">
        <f t="shared" si="89"/>
        <v>0.148047763457165</v>
      </c>
      <c r="AA29" s="14">
        <f t="shared" si="89"/>
        <v>0.153216483311579</v>
      </c>
      <c r="AB29" s="15">
        <f t="shared" si="89"/>
        <v>0.12176072234763</v>
      </c>
      <c r="AC29" s="15">
        <f t="shared" si="89"/>
        <v>0.143102228510789</v>
      </c>
      <c r="AD29" s="4"/>
      <c r="AE29" s="4"/>
      <c r="AF29" s="14">
        <f t="shared" ref="AF29:AJ29" si="90">W29</f>
        <v>0.144618494188984</v>
      </c>
      <c r="AG29" s="14">
        <f t="shared" si="90"/>
        <v>0.140017108639863</v>
      </c>
      <c r="AH29" s="14">
        <f t="shared" si="90"/>
        <v>0.145130044843049</v>
      </c>
      <c r="AI29" s="14">
        <f t="shared" si="90"/>
        <v>0.148047763457165</v>
      </c>
      <c r="AJ29" s="14">
        <f t="shared" si="90"/>
        <v>0.153216483311579</v>
      </c>
      <c r="AK29" s="16">
        <f t="shared" si="67"/>
        <v>0.140024830699774</v>
      </c>
      <c r="AL29" s="16">
        <f t="shared" si="68"/>
        <v>0.164567562787407</v>
      </c>
      <c r="AM29" s="4"/>
      <c r="AN29" s="4"/>
      <c r="AO29" s="14">
        <f t="shared" ref="AO29:AS29" si="91">W29</f>
        <v>0.144618494188984</v>
      </c>
      <c r="AP29" s="14">
        <f t="shared" si="91"/>
        <v>0.140017108639863</v>
      </c>
      <c r="AQ29" s="14">
        <f t="shared" si="91"/>
        <v>0.145130044843049</v>
      </c>
      <c r="AR29" s="14">
        <f t="shared" si="91"/>
        <v>0.148047763457165</v>
      </c>
      <c r="AS29" s="14">
        <f t="shared" si="91"/>
        <v>0.153216483311579</v>
      </c>
      <c r="AT29" s="16">
        <f t="shared" si="70"/>
        <v>0.103496613995485</v>
      </c>
      <c r="AU29" s="16">
        <f t="shared" si="71"/>
        <v>0.12163689423417</v>
      </c>
      <c r="AZ29" s="3" t="s">
        <v>245</v>
      </c>
      <c r="BA29" s="11" t="s">
        <v>240</v>
      </c>
      <c r="BB29" s="12">
        <v>906.8</v>
      </c>
      <c r="BC29" s="14">
        <v>858.6</v>
      </c>
      <c r="BD29" s="14">
        <v>818.4</v>
      </c>
      <c r="BE29" s="14">
        <v>809.1</v>
      </c>
      <c r="BF29" s="14">
        <v>781.1</v>
      </c>
      <c r="BG29" s="14">
        <v>821.7</v>
      </c>
      <c r="BH29" s="14">
        <v>809.1</v>
      </c>
      <c r="BI29" s="14">
        <v>809.1</v>
      </c>
      <c r="BJ29" s="4"/>
      <c r="BK29" s="4"/>
      <c r="BL29" s="17"/>
      <c r="BM29" s="17"/>
      <c r="BN29" s="17"/>
      <c r="BO29" s="17"/>
    </row>
    <row r="30" ht="15.5" spans="1:67">
      <c r="A30" s="3"/>
      <c r="B30" s="11" t="s">
        <v>241</v>
      </c>
      <c r="C30" s="12">
        <f t="shared" ref="C30:J30" si="92">BB30/1000</f>
        <v>0.8303</v>
      </c>
      <c r="D30" s="12">
        <f t="shared" si="92"/>
        <v>0.7909</v>
      </c>
      <c r="E30" s="12">
        <f t="shared" si="92"/>
        <v>0.7545</v>
      </c>
      <c r="F30" s="12">
        <f t="shared" si="92"/>
        <v>0.746</v>
      </c>
      <c r="G30" s="12">
        <f t="shared" si="92"/>
        <v>0.7199</v>
      </c>
      <c r="H30" s="12">
        <f t="shared" si="92"/>
        <v>0.7584</v>
      </c>
      <c r="I30" s="12">
        <f t="shared" si="92"/>
        <v>0.746</v>
      </c>
      <c r="J30" s="12">
        <f t="shared" si="92"/>
        <v>0.746</v>
      </c>
      <c r="K30" s="4"/>
      <c r="L30" s="4"/>
      <c r="M30" s="17">
        <v>5.937</v>
      </c>
      <c r="N30" s="17">
        <v>5.845</v>
      </c>
      <c r="O30" s="17">
        <v>5.575</v>
      </c>
      <c r="P30" s="17">
        <v>5.276</v>
      </c>
      <c r="Q30" s="17">
        <v>5.363</v>
      </c>
      <c r="R30" s="17">
        <v>6.645</v>
      </c>
      <c r="S30" s="17">
        <v>5.654</v>
      </c>
      <c r="T30" s="17"/>
      <c r="U30" s="3"/>
      <c r="V30" s="11" t="s">
        <v>241</v>
      </c>
      <c r="W30" s="14">
        <f t="shared" ref="W30:AC30" si="93">D30/M30</f>
        <v>0.133215428667677</v>
      </c>
      <c r="X30" s="14">
        <f t="shared" si="93"/>
        <v>0.129084687767322</v>
      </c>
      <c r="Y30" s="14">
        <f t="shared" si="93"/>
        <v>0.133811659192825</v>
      </c>
      <c r="Z30" s="14">
        <f t="shared" si="93"/>
        <v>0.13644806671721</v>
      </c>
      <c r="AA30" s="14">
        <f t="shared" si="93"/>
        <v>0.141413388029088</v>
      </c>
      <c r="AB30" s="15">
        <f t="shared" si="93"/>
        <v>0.112264860797592</v>
      </c>
      <c r="AC30" s="15">
        <f t="shared" si="93"/>
        <v>0.131941987973116</v>
      </c>
      <c r="AD30" s="4"/>
      <c r="AE30" s="4"/>
      <c r="AF30" s="14">
        <f t="shared" ref="AF30:AJ30" si="94">W30</f>
        <v>0.133215428667677</v>
      </c>
      <c r="AG30" s="14">
        <f t="shared" si="94"/>
        <v>0.129084687767322</v>
      </c>
      <c r="AH30" s="14">
        <f t="shared" si="94"/>
        <v>0.133811659192825</v>
      </c>
      <c r="AI30" s="14">
        <f t="shared" si="94"/>
        <v>0.13644806671721</v>
      </c>
      <c r="AJ30" s="14">
        <f t="shared" si="94"/>
        <v>0.141413388029088</v>
      </c>
      <c r="AK30" s="16">
        <f t="shared" si="67"/>
        <v>0.129104589917231</v>
      </c>
      <c r="AL30" s="16">
        <f t="shared" si="68"/>
        <v>0.151733286169084</v>
      </c>
      <c r="AM30" s="4"/>
      <c r="AN30" s="4"/>
      <c r="AO30" s="14">
        <f t="shared" ref="AO30:AS30" si="95">W30</f>
        <v>0.133215428667677</v>
      </c>
      <c r="AP30" s="14">
        <f t="shared" si="95"/>
        <v>0.129084687767322</v>
      </c>
      <c r="AQ30" s="14">
        <f t="shared" si="95"/>
        <v>0.133811659192825</v>
      </c>
      <c r="AR30" s="14">
        <f t="shared" si="95"/>
        <v>0.13644806671721</v>
      </c>
      <c r="AS30" s="14">
        <f t="shared" si="95"/>
        <v>0.141413388029088</v>
      </c>
      <c r="AT30" s="16">
        <f t="shared" si="70"/>
        <v>0.0954251316779534</v>
      </c>
      <c r="AU30" s="16">
        <f t="shared" si="71"/>
        <v>0.112150689777149</v>
      </c>
      <c r="AZ30" s="3"/>
      <c r="BA30" s="11" t="s">
        <v>241</v>
      </c>
      <c r="BB30" s="12">
        <v>830.3</v>
      </c>
      <c r="BC30" s="14">
        <v>790.9</v>
      </c>
      <c r="BD30" s="14">
        <v>754.5</v>
      </c>
      <c r="BE30" s="14">
        <v>746</v>
      </c>
      <c r="BF30" s="14">
        <v>719.9</v>
      </c>
      <c r="BG30" s="14">
        <v>758.4</v>
      </c>
      <c r="BH30" s="14">
        <v>746</v>
      </c>
      <c r="BI30" s="14">
        <v>746</v>
      </c>
      <c r="BJ30" s="4"/>
      <c r="BK30" s="4"/>
      <c r="BL30" s="17"/>
      <c r="BM30" s="17"/>
      <c r="BN30" s="17"/>
      <c r="BO30" s="17"/>
    </row>
    <row r="31" ht="15.5" spans="1:67">
      <c r="A31" s="3"/>
      <c r="B31" s="11" t="s">
        <v>242</v>
      </c>
      <c r="C31" s="12">
        <f t="shared" ref="C31:J31" si="96">BB31/1000</f>
        <v>0.2079</v>
      </c>
      <c r="D31" s="12">
        <f t="shared" si="96"/>
        <v>0.1842</v>
      </c>
      <c r="E31" s="12">
        <f t="shared" si="96"/>
        <v>0.1746</v>
      </c>
      <c r="F31" s="12">
        <f t="shared" si="96"/>
        <v>0.1724</v>
      </c>
      <c r="G31" s="12">
        <f t="shared" si="96"/>
        <v>0.1687</v>
      </c>
      <c r="H31" s="12">
        <f t="shared" si="96"/>
        <v>0.1747</v>
      </c>
      <c r="I31" s="12">
        <f t="shared" si="96"/>
        <v>0.1724</v>
      </c>
      <c r="J31" s="12">
        <f t="shared" si="96"/>
        <v>0.1724</v>
      </c>
      <c r="K31" s="4"/>
      <c r="L31" s="4"/>
      <c r="M31" s="17">
        <v>5.937</v>
      </c>
      <c r="N31" s="17">
        <v>5.845</v>
      </c>
      <c r="O31" s="17">
        <v>5.575</v>
      </c>
      <c r="P31" s="17">
        <v>5.276</v>
      </c>
      <c r="Q31" s="17">
        <v>5.363</v>
      </c>
      <c r="R31" s="17">
        <v>6.645</v>
      </c>
      <c r="S31" s="17">
        <v>5.654</v>
      </c>
      <c r="T31" s="17"/>
      <c r="U31" s="3"/>
      <c r="V31" s="11" t="s">
        <v>242</v>
      </c>
      <c r="W31" s="14">
        <f t="shared" ref="W31:AC31" si="97">D31/M31</f>
        <v>0.0310257705912077</v>
      </c>
      <c r="X31" s="14">
        <f t="shared" si="97"/>
        <v>0.0298716852010265</v>
      </c>
      <c r="Y31" s="14">
        <f t="shared" si="97"/>
        <v>0.0309237668161435</v>
      </c>
      <c r="Z31" s="14">
        <f t="shared" si="97"/>
        <v>0.0319749810462472</v>
      </c>
      <c r="AA31" s="14">
        <f t="shared" si="97"/>
        <v>0.0325750512772702</v>
      </c>
      <c r="AB31" s="15">
        <f t="shared" si="97"/>
        <v>0.0259443190368698</v>
      </c>
      <c r="AC31" s="15">
        <f t="shared" si="97"/>
        <v>0.0304916873010258</v>
      </c>
      <c r="AD31" s="4"/>
      <c r="AE31" s="4"/>
      <c r="AF31" s="14">
        <f t="shared" ref="AF31:AJ31" si="98">W31</f>
        <v>0.0310257705912077</v>
      </c>
      <c r="AG31" s="14">
        <f t="shared" si="98"/>
        <v>0.0298716852010265</v>
      </c>
      <c r="AH31" s="14">
        <f t="shared" si="98"/>
        <v>0.0309237668161435</v>
      </c>
      <c r="AI31" s="14">
        <f t="shared" si="98"/>
        <v>0.0319749810462472</v>
      </c>
      <c r="AJ31" s="14">
        <f t="shared" si="98"/>
        <v>0.0325750512772702</v>
      </c>
      <c r="AK31" s="16">
        <f t="shared" si="67"/>
        <v>0.0298359668924003</v>
      </c>
      <c r="AL31" s="16">
        <f t="shared" si="68"/>
        <v>0.0350654403961797</v>
      </c>
      <c r="AM31" s="4"/>
      <c r="AN31" s="4"/>
      <c r="AO31" s="14">
        <f t="shared" ref="AO31:AS31" si="99">W31</f>
        <v>0.0310257705912077</v>
      </c>
      <c r="AP31" s="14">
        <f t="shared" si="99"/>
        <v>0.0298716852010265</v>
      </c>
      <c r="AQ31" s="14">
        <f t="shared" si="99"/>
        <v>0.0309237668161435</v>
      </c>
      <c r="AR31" s="14">
        <f t="shared" si="99"/>
        <v>0.0319749810462472</v>
      </c>
      <c r="AS31" s="14">
        <f t="shared" si="99"/>
        <v>0.0325750512772702</v>
      </c>
      <c r="AT31" s="16">
        <f t="shared" si="70"/>
        <v>0.0220526711813394</v>
      </c>
      <c r="AU31" s="16">
        <f t="shared" si="71"/>
        <v>0.0259179342058719</v>
      </c>
      <c r="AZ31" s="3"/>
      <c r="BA31" s="11" t="s">
        <v>242</v>
      </c>
      <c r="BB31" s="12">
        <v>207.9</v>
      </c>
      <c r="BC31" s="14">
        <v>184.2</v>
      </c>
      <c r="BD31" s="14">
        <v>174.6</v>
      </c>
      <c r="BE31" s="14">
        <v>172.4</v>
      </c>
      <c r="BF31" s="14">
        <v>168.7</v>
      </c>
      <c r="BG31" s="14">
        <v>174.7</v>
      </c>
      <c r="BH31" s="14">
        <v>172.4</v>
      </c>
      <c r="BI31" s="14">
        <v>172.4</v>
      </c>
      <c r="BJ31" s="4"/>
      <c r="BK31" s="4"/>
      <c r="BL31" s="17"/>
      <c r="BM31" s="17"/>
      <c r="BN31" s="17"/>
      <c r="BO31" s="17"/>
    </row>
    <row r="32" ht="15.5" spans="1:67">
      <c r="A32" s="3"/>
      <c r="B32" s="11" t="s">
        <v>243</v>
      </c>
      <c r="C32" s="12">
        <f t="shared" ref="C32:J32" si="100">BB32/1000</f>
        <v>0.5747</v>
      </c>
      <c r="D32" s="12">
        <f t="shared" si="100"/>
        <v>0.5597</v>
      </c>
      <c r="E32" s="12">
        <f t="shared" si="100"/>
        <v>0.534</v>
      </c>
      <c r="F32" s="12">
        <f t="shared" si="100"/>
        <v>0.528</v>
      </c>
      <c r="G32" s="12">
        <f t="shared" si="100"/>
        <v>0.5061</v>
      </c>
      <c r="H32" s="12">
        <f t="shared" si="100"/>
        <v>0.5369</v>
      </c>
      <c r="I32" s="12">
        <f t="shared" si="100"/>
        <v>0.528</v>
      </c>
      <c r="J32" s="12">
        <f t="shared" si="100"/>
        <v>0.528</v>
      </c>
      <c r="K32" s="4"/>
      <c r="L32" s="4"/>
      <c r="M32" s="17">
        <v>5.937</v>
      </c>
      <c r="N32" s="17">
        <v>5.845</v>
      </c>
      <c r="O32" s="17">
        <v>5.575</v>
      </c>
      <c r="P32" s="17">
        <v>5.276</v>
      </c>
      <c r="Q32" s="17">
        <v>5.363</v>
      </c>
      <c r="R32" s="17">
        <v>6.645</v>
      </c>
      <c r="S32" s="17">
        <v>5.654</v>
      </c>
      <c r="T32" s="17"/>
      <c r="U32" s="3"/>
      <c r="V32" s="11" t="s">
        <v>243</v>
      </c>
      <c r="W32" s="14">
        <f t="shared" ref="W32:AC32" si="101">D32/M32</f>
        <v>0.0942732019538488</v>
      </c>
      <c r="X32" s="14">
        <f t="shared" si="101"/>
        <v>0.0913601368691189</v>
      </c>
      <c r="Y32" s="14">
        <f t="shared" si="101"/>
        <v>0.0947085201793722</v>
      </c>
      <c r="Z32" s="14">
        <f t="shared" si="101"/>
        <v>0.0959249431387415</v>
      </c>
      <c r="AA32" s="14">
        <f t="shared" si="101"/>
        <v>0.100111877680403</v>
      </c>
      <c r="AB32" s="15">
        <f t="shared" si="101"/>
        <v>0.0794582392776524</v>
      </c>
      <c r="AC32" s="15">
        <f t="shared" si="101"/>
        <v>0.0933852140077821</v>
      </c>
      <c r="AD32" s="4"/>
      <c r="AE32" s="4"/>
      <c r="AF32" s="14">
        <f t="shared" ref="AF32:AJ32" si="102">W32</f>
        <v>0.0942732019538488</v>
      </c>
      <c r="AG32" s="14">
        <f t="shared" si="102"/>
        <v>0.0913601368691189</v>
      </c>
      <c r="AH32" s="14">
        <f t="shared" si="102"/>
        <v>0.0947085201793722</v>
      </c>
      <c r="AI32" s="14">
        <f t="shared" si="102"/>
        <v>0.0959249431387415</v>
      </c>
      <c r="AJ32" s="14">
        <f t="shared" si="102"/>
        <v>0.100111877680403</v>
      </c>
      <c r="AK32" s="16">
        <f t="shared" si="67"/>
        <v>0.0913769751693002</v>
      </c>
      <c r="AL32" s="16">
        <f t="shared" si="68"/>
        <v>0.107392996108949</v>
      </c>
      <c r="AM32" s="4"/>
      <c r="AN32" s="4"/>
      <c r="AO32" s="14">
        <f t="shared" ref="AO32:AS32" si="103">W32</f>
        <v>0.0942732019538488</v>
      </c>
      <c r="AP32" s="14">
        <f t="shared" si="103"/>
        <v>0.0913601368691189</v>
      </c>
      <c r="AQ32" s="14">
        <f t="shared" si="103"/>
        <v>0.0947085201793722</v>
      </c>
      <c r="AR32" s="14">
        <f t="shared" si="103"/>
        <v>0.0959249431387415</v>
      </c>
      <c r="AS32" s="14">
        <f t="shared" si="103"/>
        <v>0.100111877680403</v>
      </c>
      <c r="AT32" s="16">
        <f t="shared" si="70"/>
        <v>0.0675395033860045</v>
      </c>
      <c r="AU32" s="16">
        <f t="shared" si="71"/>
        <v>0.0793774319066148</v>
      </c>
      <c r="AZ32" s="3"/>
      <c r="BA32" s="11" t="s">
        <v>243</v>
      </c>
      <c r="BB32" s="12">
        <v>574.7</v>
      </c>
      <c r="BC32" s="14">
        <v>559.7</v>
      </c>
      <c r="BD32" s="14">
        <v>534</v>
      </c>
      <c r="BE32" s="14">
        <v>528</v>
      </c>
      <c r="BF32" s="14">
        <v>506.1</v>
      </c>
      <c r="BG32" s="14">
        <v>536.9</v>
      </c>
      <c r="BH32" s="14">
        <v>528</v>
      </c>
      <c r="BI32" s="14">
        <v>528</v>
      </c>
      <c r="BJ32" s="4"/>
      <c r="BK32" s="4"/>
      <c r="BL32" s="17"/>
      <c r="BM32" s="17"/>
      <c r="BN32" s="17"/>
      <c r="BO32" s="17"/>
    </row>
    <row r="33" ht="15.5" spans="1:67">
      <c r="A33" s="3"/>
      <c r="B33" s="11" t="s">
        <v>244</v>
      </c>
      <c r="C33" s="12">
        <f t="shared" ref="C33:J33" si="104">BB33/1000</f>
        <v>0.088</v>
      </c>
      <c r="D33" s="12">
        <f t="shared" si="104"/>
        <v>0.0814</v>
      </c>
      <c r="E33" s="12">
        <f t="shared" si="104"/>
        <v>0.079</v>
      </c>
      <c r="F33" s="12">
        <f t="shared" si="104"/>
        <v>0.0785</v>
      </c>
      <c r="G33" s="12">
        <f t="shared" si="104"/>
        <v>0.0764</v>
      </c>
      <c r="H33" s="12">
        <f t="shared" si="104"/>
        <v>0.0787</v>
      </c>
      <c r="I33" s="12">
        <f t="shared" si="104"/>
        <v>0.0785</v>
      </c>
      <c r="J33" s="12">
        <f t="shared" si="104"/>
        <v>0.0785</v>
      </c>
      <c r="K33" s="4"/>
      <c r="L33" s="4"/>
      <c r="M33" s="17">
        <v>5.937</v>
      </c>
      <c r="N33" s="17">
        <v>5.845</v>
      </c>
      <c r="O33" s="17">
        <v>5.575</v>
      </c>
      <c r="P33" s="17">
        <v>5.276</v>
      </c>
      <c r="Q33" s="17">
        <v>5.363</v>
      </c>
      <c r="R33" s="17">
        <v>6.645</v>
      </c>
      <c r="S33" s="17">
        <v>5.654</v>
      </c>
      <c r="T33" s="17"/>
      <c r="U33" s="3"/>
      <c r="V33" s="11" t="s">
        <v>244</v>
      </c>
      <c r="W33" s="14">
        <f t="shared" ref="W33:AC33" si="105">D33/M33</f>
        <v>0.0137106282634327</v>
      </c>
      <c r="X33" s="14">
        <f t="shared" si="105"/>
        <v>0.0135158254918734</v>
      </c>
      <c r="Y33" s="14">
        <f t="shared" si="105"/>
        <v>0.0140807174887892</v>
      </c>
      <c r="Z33" s="14">
        <f t="shared" si="105"/>
        <v>0.0144806671721001</v>
      </c>
      <c r="AA33" s="14">
        <f t="shared" si="105"/>
        <v>0.0146746224128286</v>
      </c>
      <c r="AB33" s="15">
        <f t="shared" si="105"/>
        <v>0.0118133935289691</v>
      </c>
      <c r="AC33" s="15">
        <f t="shared" si="105"/>
        <v>0.0138839759462328</v>
      </c>
      <c r="AD33" s="4"/>
      <c r="AE33" s="4"/>
      <c r="AF33" s="14">
        <f t="shared" ref="AF33:AJ33" si="106">W33</f>
        <v>0.0137106282634327</v>
      </c>
      <c r="AG33" s="14">
        <f t="shared" si="106"/>
        <v>0.0135158254918734</v>
      </c>
      <c r="AH33" s="14">
        <f t="shared" si="106"/>
        <v>0.0140807174887892</v>
      </c>
      <c r="AI33" s="14">
        <f t="shared" si="106"/>
        <v>0.0144806671721001</v>
      </c>
      <c r="AJ33" s="14">
        <f t="shared" si="106"/>
        <v>0.0146746224128286</v>
      </c>
      <c r="AK33" s="16">
        <f t="shared" si="67"/>
        <v>0.0135854025583145</v>
      </c>
      <c r="AL33" s="16">
        <f t="shared" si="68"/>
        <v>0.0159665723381677</v>
      </c>
      <c r="AM33" s="4"/>
      <c r="AN33" s="4"/>
      <c r="AO33" s="14">
        <f t="shared" ref="AO33:AS33" si="107">W33</f>
        <v>0.0137106282634327</v>
      </c>
      <c r="AP33" s="14">
        <f t="shared" si="107"/>
        <v>0.0135158254918734</v>
      </c>
      <c r="AQ33" s="14">
        <f t="shared" si="107"/>
        <v>0.0140807174887892</v>
      </c>
      <c r="AR33" s="14">
        <f t="shared" si="107"/>
        <v>0.0144806671721001</v>
      </c>
      <c r="AS33" s="14">
        <f t="shared" si="107"/>
        <v>0.0146746224128286</v>
      </c>
      <c r="AT33" s="16">
        <f t="shared" si="70"/>
        <v>0.0100413844996238</v>
      </c>
      <c r="AU33" s="16">
        <f t="shared" si="71"/>
        <v>0.0118013795542978</v>
      </c>
      <c r="AZ33" s="3"/>
      <c r="BA33" s="11" t="s">
        <v>244</v>
      </c>
      <c r="BB33" s="12">
        <v>88</v>
      </c>
      <c r="BC33" s="14">
        <v>81.4</v>
      </c>
      <c r="BD33" s="14">
        <v>79</v>
      </c>
      <c r="BE33" s="14">
        <v>78.5</v>
      </c>
      <c r="BF33" s="14">
        <v>76.4</v>
      </c>
      <c r="BG33" s="14">
        <v>78.7</v>
      </c>
      <c r="BH33" s="14">
        <v>78.5</v>
      </c>
      <c r="BI33" s="14">
        <v>78.5</v>
      </c>
      <c r="BJ33" s="4"/>
      <c r="BK33" s="4"/>
      <c r="BL33" s="17"/>
      <c r="BM33" s="17"/>
      <c r="BN33" s="17"/>
      <c r="BO33" s="17"/>
    </row>
    <row r="34" ht="15.5" spans="1:67">
      <c r="A34" s="3" t="s">
        <v>11</v>
      </c>
      <c r="B34" s="11" t="s">
        <v>240</v>
      </c>
      <c r="C34" s="12">
        <f t="shared" ref="C34:J34" si="108">BB34/1000</f>
        <v>0.9217</v>
      </c>
      <c r="D34" s="12">
        <f t="shared" si="108"/>
        <v>0.8721</v>
      </c>
      <c r="E34" s="12">
        <f t="shared" si="108"/>
        <v>0.8313</v>
      </c>
      <c r="F34" s="12">
        <f t="shared" si="108"/>
        <v>0.8218</v>
      </c>
      <c r="G34" s="12">
        <f t="shared" si="108"/>
        <v>0.794</v>
      </c>
      <c r="H34" s="12">
        <f t="shared" si="108"/>
        <v>0.835</v>
      </c>
      <c r="I34" s="12">
        <f t="shared" si="108"/>
        <v>0.8218</v>
      </c>
      <c r="J34" s="12">
        <f t="shared" si="108"/>
        <v>0.8218</v>
      </c>
      <c r="K34" s="4"/>
      <c r="L34" s="4"/>
      <c r="M34" s="17">
        <v>5.937</v>
      </c>
      <c r="N34" s="17">
        <v>5.845</v>
      </c>
      <c r="O34" s="17">
        <v>5.575</v>
      </c>
      <c r="P34" s="17">
        <v>5.276</v>
      </c>
      <c r="Q34" s="17">
        <v>5.363</v>
      </c>
      <c r="R34" s="17">
        <v>6.645</v>
      </c>
      <c r="S34" s="17">
        <v>5.654</v>
      </c>
      <c r="T34" s="17"/>
      <c r="U34" s="3" t="s">
        <v>11</v>
      </c>
      <c r="V34" s="11" t="s">
        <v>240</v>
      </c>
      <c r="W34" s="14">
        <f t="shared" ref="W34:AC34" si="109">D34/M34</f>
        <v>0.14689236988378</v>
      </c>
      <c r="X34" s="14">
        <f t="shared" si="109"/>
        <v>0.142224123182207</v>
      </c>
      <c r="Y34" s="14">
        <f t="shared" si="109"/>
        <v>0.147408071748879</v>
      </c>
      <c r="Z34" s="14">
        <f t="shared" si="109"/>
        <v>0.15049279757392</v>
      </c>
      <c r="AA34" s="14">
        <f t="shared" si="109"/>
        <v>0.155696438560507</v>
      </c>
      <c r="AB34" s="15">
        <f t="shared" si="109"/>
        <v>0.123671933784801</v>
      </c>
      <c r="AC34" s="15">
        <f t="shared" si="109"/>
        <v>0.145348425893173</v>
      </c>
      <c r="AD34" s="4"/>
      <c r="AE34" s="4"/>
      <c r="AF34" s="14">
        <f t="shared" ref="AF34:AJ34" si="110">W34</f>
        <v>0.14689236988378</v>
      </c>
      <c r="AG34" s="14">
        <f t="shared" si="110"/>
        <v>0.142224123182207</v>
      </c>
      <c r="AH34" s="14">
        <f t="shared" si="110"/>
        <v>0.147408071748879</v>
      </c>
      <c r="AI34" s="14">
        <f t="shared" si="110"/>
        <v>0.15049279757392</v>
      </c>
      <c r="AJ34" s="14">
        <f t="shared" si="110"/>
        <v>0.155696438560507</v>
      </c>
      <c r="AK34" s="16">
        <f t="shared" si="67"/>
        <v>0.142222723852521</v>
      </c>
      <c r="AL34" s="16">
        <f t="shared" si="68"/>
        <v>0.167150689777149</v>
      </c>
      <c r="AM34" s="4"/>
      <c r="AN34" s="4"/>
      <c r="AO34" s="14">
        <f t="shared" ref="AO34:AS34" si="111">W34</f>
        <v>0.14689236988378</v>
      </c>
      <c r="AP34" s="14">
        <f t="shared" si="111"/>
        <v>0.142224123182207</v>
      </c>
      <c r="AQ34" s="14">
        <f t="shared" si="111"/>
        <v>0.147408071748879</v>
      </c>
      <c r="AR34" s="14">
        <f t="shared" si="111"/>
        <v>0.15049279757392</v>
      </c>
      <c r="AS34" s="14">
        <f t="shared" si="111"/>
        <v>0.155696438560507</v>
      </c>
      <c r="AT34" s="16">
        <f t="shared" si="70"/>
        <v>0.105121143717081</v>
      </c>
      <c r="AU34" s="16">
        <f t="shared" si="71"/>
        <v>0.123546162009197</v>
      </c>
      <c r="AZ34" s="3" t="s">
        <v>11</v>
      </c>
      <c r="BA34" s="11" t="s">
        <v>240</v>
      </c>
      <c r="BB34" s="12">
        <v>921.7</v>
      </c>
      <c r="BC34" s="14">
        <v>872.1</v>
      </c>
      <c r="BD34" s="14">
        <v>831.3</v>
      </c>
      <c r="BE34" s="14">
        <v>821.8</v>
      </c>
      <c r="BF34" s="14">
        <v>794</v>
      </c>
      <c r="BG34" s="14">
        <v>835</v>
      </c>
      <c r="BH34" s="14">
        <v>821.8</v>
      </c>
      <c r="BI34" s="14">
        <v>821.8</v>
      </c>
      <c r="BJ34" s="4"/>
      <c r="BK34" s="4"/>
      <c r="BL34" s="17"/>
      <c r="BM34" s="17"/>
      <c r="BN34" s="17"/>
      <c r="BO34" s="17"/>
    </row>
    <row r="35" ht="15.5" spans="1:67">
      <c r="A35" s="3"/>
      <c r="B35" s="11" t="s">
        <v>241</v>
      </c>
      <c r="C35" s="12">
        <f t="shared" ref="C35:J35" si="112">BB35/1000</f>
        <v>0.8422</v>
      </c>
      <c r="D35" s="12">
        <f t="shared" si="112"/>
        <v>0.8018</v>
      </c>
      <c r="E35" s="12">
        <f t="shared" si="112"/>
        <v>0.7648</v>
      </c>
      <c r="F35" s="12">
        <f t="shared" si="112"/>
        <v>0.7562</v>
      </c>
      <c r="G35" s="12">
        <f t="shared" si="112"/>
        <v>0.7302</v>
      </c>
      <c r="H35" s="12">
        <f t="shared" si="112"/>
        <v>0.7691</v>
      </c>
      <c r="I35" s="12">
        <f t="shared" si="112"/>
        <v>0.7562</v>
      </c>
      <c r="J35" s="12">
        <f t="shared" si="112"/>
        <v>0.7562</v>
      </c>
      <c r="K35" s="4"/>
      <c r="L35" s="4"/>
      <c r="M35" s="17">
        <v>5.937</v>
      </c>
      <c r="N35" s="17">
        <v>5.845</v>
      </c>
      <c r="O35" s="17">
        <v>5.575</v>
      </c>
      <c r="P35" s="17">
        <v>5.276</v>
      </c>
      <c r="Q35" s="17">
        <v>5.363</v>
      </c>
      <c r="R35" s="17">
        <v>6.645</v>
      </c>
      <c r="S35" s="17">
        <v>5.654</v>
      </c>
      <c r="T35" s="17"/>
      <c r="U35" s="3"/>
      <c r="V35" s="11" t="s">
        <v>241</v>
      </c>
      <c r="W35" s="14">
        <f t="shared" ref="W35:AC35" si="113">D35/M35</f>
        <v>0.135051372747179</v>
      </c>
      <c r="X35" s="14">
        <f t="shared" si="113"/>
        <v>0.130846877673225</v>
      </c>
      <c r="Y35" s="14">
        <f t="shared" si="113"/>
        <v>0.135641255605381</v>
      </c>
      <c r="Z35" s="14">
        <f t="shared" si="113"/>
        <v>0.138400303260046</v>
      </c>
      <c r="AA35" s="14">
        <f t="shared" si="113"/>
        <v>0.143408539996271</v>
      </c>
      <c r="AB35" s="15">
        <f t="shared" si="113"/>
        <v>0.11379984951091</v>
      </c>
      <c r="AC35" s="15">
        <f t="shared" si="113"/>
        <v>0.133746020516449</v>
      </c>
      <c r="AD35" s="4"/>
      <c r="AE35" s="4"/>
      <c r="AF35" s="14">
        <f t="shared" ref="AF35:AJ35" si="114">W35</f>
        <v>0.135051372747179</v>
      </c>
      <c r="AG35" s="14">
        <f t="shared" si="114"/>
        <v>0.130846877673225</v>
      </c>
      <c r="AH35" s="14">
        <f t="shared" si="114"/>
        <v>0.135641255605381</v>
      </c>
      <c r="AI35" s="14">
        <f t="shared" si="114"/>
        <v>0.138400303260046</v>
      </c>
      <c r="AJ35" s="14">
        <f t="shared" si="114"/>
        <v>0.143408539996271</v>
      </c>
      <c r="AK35" s="16">
        <f t="shared" si="67"/>
        <v>0.130869826937547</v>
      </c>
      <c r="AL35" s="16">
        <f t="shared" si="68"/>
        <v>0.153807923593916</v>
      </c>
      <c r="AM35" s="4"/>
      <c r="AN35" s="4"/>
      <c r="AO35" s="14">
        <f t="shared" ref="AO35:AS35" si="115">W35</f>
        <v>0.135051372747179</v>
      </c>
      <c r="AP35" s="14">
        <f t="shared" si="115"/>
        <v>0.130846877673225</v>
      </c>
      <c r="AQ35" s="14">
        <f t="shared" si="115"/>
        <v>0.135641255605381</v>
      </c>
      <c r="AR35" s="14">
        <f t="shared" si="115"/>
        <v>0.138400303260046</v>
      </c>
      <c r="AS35" s="14">
        <f t="shared" si="115"/>
        <v>0.143408539996271</v>
      </c>
      <c r="AT35" s="16">
        <f t="shared" si="70"/>
        <v>0.0967298720842739</v>
      </c>
      <c r="AU35" s="16">
        <f t="shared" si="71"/>
        <v>0.113684117438981</v>
      </c>
      <c r="AZ35" s="3"/>
      <c r="BA35" s="11" t="s">
        <v>241</v>
      </c>
      <c r="BB35" s="12">
        <v>842.2</v>
      </c>
      <c r="BC35" s="14">
        <v>801.8</v>
      </c>
      <c r="BD35" s="14">
        <v>764.8</v>
      </c>
      <c r="BE35" s="14">
        <v>756.2</v>
      </c>
      <c r="BF35" s="14">
        <v>730.2</v>
      </c>
      <c r="BG35" s="14">
        <v>769.1</v>
      </c>
      <c r="BH35" s="14">
        <v>756.2</v>
      </c>
      <c r="BI35" s="14">
        <v>756.2</v>
      </c>
      <c r="BJ35" s="4"/>
      <c r="BK35" s="4"/>
      <c r="BL35" s="17"/>
      <c r="BM35" s="17"/>
      <c r="BN35" s="17"/>
      <c r="BO35" s="17"/>
    </row>
    <row r="36" ht="15.5" spans="1:67">
      <c r="A36" s="3"/>
      <c r="B36" s="11" t="s">
        <v>242</v>
      </c>
      <c r="C36" s="12">
        <f t="shared" ref="C36:J36" si="116">BB36/1000</f>
        <v>0.2694</v>
      </c>
      <c r="D36" s="12">
        <f t="shared" si="116"/>
        <v>0.2401</v>
      </c>
      <c r="E36" s="12">
        <f t="shared" si="116"/>
        <v>0.2278</v>
      </c>
      <c r="F36" s="12">
        <f t="shared" si="116"/>
        <v>0.2249</v>
      </c>
      <c r="G36" s="12">
        <f t="shared" si="116"/>
        <v>0.2217</v>
      </c>
      <c r="H36" s="12">
        <f t="shared" si="116"/>
        <v>0.2296</v>
      </c>
      <c r="I36" s="12">
        <f t="shared" si="116"/>
        <v>0.2249</v>
      </c>
      <c r="J36" s="12">
        <f t="shared" si="116"/>
        <v>0.2249</v>
      </c>
      <c r="K36" s="4"/>
      <c r="L36" s="4"/>
      <c r="M36" s="17">
        <v>5.937</v>
      </c>
      <c r="N36" s="17">
        <v>5.845</v>
      </c>
      <c r="O36" s="17">
        <v>5.575</v>
      </c>
      <c r="P36" s="17">
        <v>5.276</v>
      </c>
      <c r="Q36" s="17">
        <v>5.363</v>
      </c>
      <c r="R36" s="17">
        <v>6.645</v>
      </c>
      <c r="S36" s="17">
        <v>5.654</v>
      </c>
      <c r="T36" s="17"/>
      <c r="U36" s="3"/>
      <c r="V36" s="11" t="s">
        <v>242</v>
      </c>
      <c r="W36" s="14">
        <f t="shared" ref="W36:AC36" si="117">D36/M36</f>
        <v>0.0404413003200269</v>
      </c>
      <c r="X36" s="14">
        <f t="shared" si="117"/>
        <v>0.0389734816082122</v>
      </c>
      <c r="Y36" s="14">
        <f t="shared" si="117"/>
        <v>0.0403408071748879</v>
      </c>
      <c r="Z36" s="14">
        <f t="shared" si="117"/>
        <v>0.0420204700530705</v>
      </c>
      <c r="AA36" s="14">
        <f t="shared" si="117"/>
        <v>0.0428118590341227</v>
      </c>
      <c r="AB36" s="15">
        <f t="shared" si="117"/>
        <v>0.0338449962377728</v>
      </c>
      <c r="AC36" s="15">
        <f t="shared" si="117"/>
        <v>0.0397771489211178</v>
      </c>
      <c r="AD36" s="4"/>
      <c r="AE36" s="4"/>
      <c r="AF36" s="14">
        <f t="shared" ref="AF36:AJ36" si="118">W36</f>
        <v>0.0404413003200269</v>
      </c>
      <c r="AG36" s="14">
        <f t="shared" si="118"/>
        <v>0.0389734816082122</v>
      </c>
      <c r="AH36" s="14">
        <f t="shared" si="118"/>
        <v>0.0403408071748879</v>
      </c>
      <c r="AI36" s="14">
        <f t="shared" si="118"/>
        <v>0.0420204700530705</v>
      </c>
      <c r="AJ36" s="14">
        <f t="shared" si="118"/>
        <v>0.0428118590341227</v>
      </c>
      <c r="AK36" s="16">
        <f t="shared" si="67"/>
        <v>0.0389217456734387</v>
      </c>
      <c r="AL36" s="16">
        <f t="shared" si="68"/>
        <v>0.0457437212592855</v>
      </c>
      <c r="AM36" s="4"/>
      <c r="AN36" s="4"/>
      <c r="AO36" s="14">
        <f t="shared" ref="AO36:AS36" si="119">W36</f>
        <v>0.0404413003200269</v>
      </c>
      <c r="AP36" s="14">
        <f t="shared" si="119"/>
        <v>0.0389734816082122</v>
      </c>
      <c r="AQ36" s="14">
        <f t="shared" si="119"/>
        <v>0.0403408071748879</v>
      </c>
      <c r="AR36" s="14">
        <f t="shared" si="119"/>
        <v>0.0420204700530705</v>
      </c>
      <c r="AS36" s="14">
        <f t="shared" si="119"/>
        <v>0.0428118590341227</v>
      </c>
      <c r="AT36" s="16">
        <f t="shared" si="70"/>
        <v>0.0287682468021069</v>
      </c>
      <c r="AU36" s="16">
        <f t="shared" si="71"/>
        <v>0.0338105765829501</v>
      </c>
      <c r="AZ36" s="3"/>
      <c r="BA36" s="11" t="s">
        <v>242</v>
      </c>
      <c r="BB36" s="12">
        <v>269.4</v>
      </c>
      <c r="BC36" s="14">
        <v>240.1</v>
      </c>
      <c r="BD36" s="14">
        <v>227.8</v>
      </c>
      <c r="BE36" s="14">
        <v>224.9</v>
      </c>
      <c r="BF36" s="14">
        <v>221.7</v>
      </c>
      <c r="BG36" s="14">
        <v>229.6</v>
      </c>
      <c r="BH36" s="14">
        <v>224.9</v>
      </c>
      <c r="BI36" s="14">
        <v>224.9</v>
      </c>
      <c r="BJ36" s="4"/>
      <c r="BK36" s="4"/>
      <c r="BL36" s="17"/>
      <c r="BM36" s="17"/>
      <c r="BN36" s="17"/>
      <c r="BO36" s="17"/>
    </row>
    <row r="37" ht="15.5" spans="1:67">
      <c r="A37" s="3"/>
      <c r="B37" s="11" t="s">
        <v>243</v>
      </c>
      <c r="C37" s="12">
        <f t="shared" ref="C37:J37" si="120">BB37/1000</f>
        <v>0.5273</v>
      </c>
      <c r="D37" s="12">
        <f t="shared" si="120"/>
        <v>0.5167</v>
      </c>
      <c r="E37" s="12">
        <f t="shared" si="120"/>
        <v>0.4931</v>
      </c>
      <c r="F37" s="12">
        <f t="shared" si="120"/>
        <v>0.4875</v>
      </c>
      <c r="G37" s="12">
        <f t="shared" si="120"/>
        <v>0.4653</v>
      </c>
      <c r="H37" s="12">
        <f t="shared" si="120"/>
        <v>0.4946</v>
      </c>
      <c r="I37" s="12">
        <f t="shared" si="120"/>
        <v>0.4875</v>
      </c>
      <c r="J37" s="12">
        <f t="shared" si="120"/>
        <v>0.4875</v>
      </c>
      <c r="K37" s="4"/>
      <c r="L37" s="4"/>
      <c r="M37" s="17">
        <v>5.937</v>
      </c>
      <c r="N37" s="17">
        <v>5.845</v>
      </c>
      <c r="O37" s="17">
        <v>5.575</v>
      </c>
      <c r="P37" s="17">
        <v>5.276</v>
      </c>
      <c r="Q37" s="17">
        <v>5.363</v>
      </c>
      <c r="R37" s="17">
        <v>6.645</v>
      </c>
      <c r="S37" s="17">
        <v>5.654</v>
      </c>
      <c r="T37" s="17"/>
      <c r="U37" s="3"/>
      <c r="V37" s="11" t="s">
        <v>243</v>
      </c>
      <c r="W37" s="14">
        <f t="shared" ref="W37:AC37" si="121">D37/M37</f>
        <v>0.0870304867778339</v>
      </c>
      <c r="X37" s="14">
        <f t="shared" si="121"/>
        <v>0.0843627031650984</v>
      </c>
      <c r="Y37" s="14">
        <f t="shared" si="121"/>
        <v>0.0874439461883408</v>
      </c>
      <c r="Z37" s="14">
        <f t="shared" si="121"/>
        <v>0.0881918119787718</v>
      </c>
      <c r="AA37" s="14">
        <f t="shared" si="121"/>
        <v>0.0922245012120082</v>
      </c>
      <c r="AB37" s="15">
        <f t="shared" si="121"/>
        <v>0.0733634311512415</v>
      </c>
      <c r="AC37" s="15">
        <f t="shared" si="121"/>
        <v>0.0862221436151397</v>
      </c>
      <c r="AD37" s="4"/>
      <c r="AE37" s="4"/>
      <c r="AF37" s="14">
        <f t="shared" ref="AF37:AJ37" si="122">W37</f>
        <v>0.0870304867778339</v>
      </c>
      <c r="AG37" s="14">
        <f t="shared" si="122"/>
        <v>0.0843627031650984</v>
      </c>
      <c r="AH37" s="14">
        <f t="shared" si="122"/>
        <v>0.0874439461883408</v>
      </c>
      <c r="AI37" s="14">
        <f t="shared" si="122"/>
        <v>0.0881918119787718</v>
      </c>
      <c r="AJ37" s="14">
        <f t="shared" si="122"/>
        <v>0.0922245012120082</v>
      </c>
      <c r="AK37" s="16">
        <f t="shared" si="67"/>
        <v>0.0843679458239278</v>
      </c>
      <c r="AL37" s="16">
        <f t="shared" si="68"/>
        <v>0.0991554651574107</v>
      </c>
      <c r="AM37" s="4"/>
      <c r="AN37" s="4"/>
      <c r="AO37" s="14">
        <f t="shared" ref="AO37:AS37" si="123">W37</f>
        <v>0.0870304867778339</v>
      </c>
      <c r="AP37" s="14">
        <f t="shared" si="123"/>
        <v>0.0843627031650984</v>
      </c>
      <c r="AQ37" s="14">
        <f t="shared" si="123"/>
        <v>0.0874439461883408</v>
      </c>
      <c r="AR37" s="14">
        <f t="shared" si="123"/>
        <v>0.0881918119787718</v>
      </c>
      <c r="AS37" s="14">
        <f t="shared" si="123"/>
        <v>0.0922245012120082</v>
      </c>
      <c r="AT37" s="16">
        <f t="shared" si="70"/>
        <v>0.0623589164785553</v>
      </c>
      <c r="AU37" s="16">
        <f t="shared" si="71"/>
        <v>0.0732888220728688</v>
      </c>
      <c r="AZ37" s="3"/>
      <c r="BA37" s="11" t="s">
        <v>243</v>
      </c>
      <c r="BB37" s="12">
        <v>527.3</v>
      </c>
      <c r="BC37" s="14">
        <v>516.7</v>
      </c>
      <c r="BD37" s="14">
        <v>493.1</v>
      </c>
      <c r="BE37" s="14">
        <v>487.5</v>
      </c>
      <c r="BF37" s="14">
        <v>465.3</v>
      </c>
      <c r="BG37" s="14">
        <v>494.6</v>
      </c>
      <c r="BH37" s="14">
        <v>487.5</v>
      </c>
      <c r="BI37" s="14">
        <v>487.5</v>
      </c>
      <c r="BJ37" s="4"/>
      <c r="BK37" s="4"/>
      <c r="BL37" s="17"/>
      <c r="BM37" s="17"/>
      <c r="BN37" s="17"/>
      <c r="BO37" s="17"/>
    </row>
    <row r="38" ht="15.5" spans="1:67">
      <c r="A38" s="3"/>
      <c r="B38" s="11" t="s">
        <v>244</v>
      </c>
      <c r="C38" s="12">
        <f t="shared" ref="C38:J38" si="124">BB38/1000</f>
        <v>0.0858</v>
      </c>
      <c r="D38" s="12">
        <f t="shared" si="124"/>
        <v>0.0793</v>
      </c>
      <c r="E38" s="12">
        <f t="shared" si="124"/>
        <v>0.0771</v>
      </c>
      <c r="F38" s="12">
        <f t="shared" si="124"/>
        <v>0.0766</v>
      </c>
      <c r="G38" s="12">
        <f t="shared" si="124"/>
        <v>0.0744</v>
      </c>
      <c r="H38" s="12">
        <f t="shared" si="124"/>
        <v>0.0767</v>
      </c>
      <c r="I38" s="12">
        <f t="shared" si="124"/>
        <v>0.0766</v>
      </c>
      <c r="J38" s="12">
        <f t="shared" si="124"/>
        <v>0.0766</v>
      </c>
      <c r="K38" s="4"/>
      <c r="L38" s="4"/>
      <c r="M38" s="17">
        <v>5.937</v>
      </c>
      <c r="N38" s="17">
        <v>5.845</v>
      </c>
      <c r="O38" s="17">
        <v>5.575</v>
      </c>
      <c r="P38" s="17">
        <v>5.276</v>
      </c>
      <c r="Q38" s="17">
        <v>5.363</v>
      </c>
      <c r="R38" s="17">
        <v>6.645</v>
      </c>
      <c r="S38" s="17">
        <v>5.654</v>
      </c>
      <c r="T38" s="17"/>
      <c r="U38" s="3"/>
      <c r="V38" s="11" t="s">
        <v>244</v>
      </c>
      <c r="W38" s="14">
        <f t="shared" ref="W38:AC38" si="125">D38/M38</f>
        <v>0.0133569142664645</v>
      </c>
      <c r="X38" s="14">
        <f t="shared" si="125"/>
        <v>0.0131907613344739</v>
      </c>
      <c r="Y38" s="14">
        <f t="shared" si="125"/>
        <v>0.0137399103139013</v>
      </c>
      <c r="Z38" s="14">
        <f t="shared" si="125"/>
        <v>0.0141015921152388</v>
      </c>
      <c r="AA38" s="14">
        <f t="shared" si="125"/>
        <v>0.0143016968114861</v>
      </c>
      <c r="AB38" s="15">
        <f t="shared" si="125"/>
        <v>0.0115274642588412</v>
      </c>
      <c r="AC38" s="15">
        <f t="shared" si="125"/>
        <v>0.0135479306685532</v>
      </c>
      <c r="AD38" s="4"/>
      <c r="AE38" s="4"/>
      <c r="AF38" s="14">
        <f t="shared" ref="AF38:AJ38" si="126">W38</f>
        <v>0.0133569142664645</v>
      </c>
      <c r="AG38" s="14">
        <f t="shared" si="126"/>
        <v>0.0131907613344739</v>
      </c>
      <c r="AH38" s="14">
        <f t="shared" si="126"/>
        <v>0.0137399103139013</v>
      </c>
      <c r="AI38" s="14">
        <f t="shared" si="126"/>
        <v>0.0141015921152388</v>
      </c>
      <c r="AJ38" s="14">
        <f t="shared" si="126"/>
        <v>0.0143016968114861</v>
      </c>
      <c r="AK38" s="16">
        <f t="shared" si="67"/>
        <v>0.0132565838976674</v>
      </c>
      <c r="AL38" s="16">
        <f t="shared" si="68"/>
        <v>0.0155801202688362</v>
      </c>
      <c r="AM38" s="4"/>
      <c r="AN38" s="4"/>
      <c r="AO38" s="14">
        <f t="shared" ref="AO38:AS38" si="127">W38</f>
        <v>0.0133569142664645</v>
      </c>
      <c r="AP38" s="14">
        <f t="shared" si="127"/>
        <v>0.0131907613344739</v>
      </c>
      <c r="AQ38" s="14">
        <f t="shared" si="127"/>
        <v>0.0137399103139013</v>
      </c>
      <c r="AR38" s="14">
        <f t="shared" si="127"/>
        <v>0.0141015921152388</v>
      </c>
      <c r="AS38" s="14">
        <f t="shared" si="127"/>
        <v>0.0143016968114861</v>
      </c>
      <c r="AT38" s="16">
        <f t="shared" si="70"/>
        <v>0.00979834462001505</v>
      </c>
      <c r="AU38" s="16">
        <f t="shared" si="71"/>
        <v>0.0115157410682703</v>
      </c>
      <c r="AZ38" s="3"/>
      <c r="BA38" s="11" t="s">
        <v>244</v>
      </c>
      <c r="BB38" s="12">
        <v>85.8</v>
      </c>
      <c r="BC38" s="14">
        <v>79.3</v>
      </c>
      <c r="BD38" s="14">
        <v>77.1</v>
      </c>
      <c r="BE38" s="14">
        <v>76.6</v>
      </c>
      <c r="BF38" s="14">
        <v>74.4</v>
      </c>
      <c r="BG38" s="14">
        <v>76.7</v>
      </c>
      <c r="BH38" s="14">
        <v>76.6</v>
      </c>
      <c r="BI38" s="14">
        <v>76.6</v>
      </c>
      <c r="BJ38" s="4"/>
      <c r="BK38" s="4"/>
      <c r="BL38" s="17"/>
      <c r="BM38" s="17"/>
      <c r="BN38" s="17"/>
      <c r="BO38" s="17"/>
    </row>
    <row r="39" ht="15.5" spans="1:67">
      <c r="A39" s="4"/>
      <c r="B39" s="4"/>
      <c r="C39" s="7"/>
      <c r="D39" s="4"/>
      <c r="E39" s="4"/>
      <c r="F39" s="4"/>
      <c r="G39" s="4"/>
      <c r="H39" s="4"/>
      <c r="I39" s="4"/>
      <c r="J39" s="4"/>
      <c r="K39" s="4"/>
      <c r="L39" s="4"/>
      <c r="M39" s="4"/>
      <c r="N39" s="4"/>
      <c r="O39" s="4"/>
      <c r="P39" s="4"/>
      <c r="Q39" s="4"/>
      <c r="R39" s="4"/>
      <c r="S39" s="4"/>
      <c r="T39" s="4"/>
      <c r="AZ39" s="4"/>
      <c r="BA39" s="4"/>
      <c r="BB39" s="7"/>
      <c r="BC39" s="4"/>
      <c r="BD39" s="4"/>
      <c r="BE39" s="4"/>
      <c r="BF39" s="4"/>
      <c r="BG39" s="4"/>
      <c r="BH39" s="4"/>
      <c r="BI39" s="4"/>
      <c r="BJ39" s="4"/>
      <c r="BK39" s="4"/>
      <c r="BL39" s="4"/>
      <c r="BM39" s="4"/>
      <c r="BN39" s="4"/>
      <c r="BO39" s="4"/>
    </row>
    <row r="40" ht="15.5" spans="1:67">
      <c r="A40" s="4"/>
      <c r="B40" s="4"/>
      <c r="C40" s="7"/>
      <c r="D40" s="4"/>
      <c r="E40" s="4"/>
      <c r="F40" s="4"/>
      <c r="G40" s="4"/>
      <c r="H40" s="4"/>
      <c r="I40" s="4"/>
      <c r="J40" s="4"/>
      <c r="K40" s="4"/>
      <c r="L40" s="4"/>
      <c r="M40" s="4"/>
      <c r="N40" s="4"/>
      <c r="O40" s="4"/>
      <c r="P40" s="4"/>
      <c r="Q40" s="4"/>
      <c r="R40" s="4"/>
      <c r="S40" s="4"/>
      <c r="T40" s="4"/>
      <c r="AZ40" s="4"/>
      <c r="BA40" s="4"/>
      <c r="BB40" s="7"/>
      <c r="BC40" s="4"/>
      <c r="BD40" s="4"/>
      <c r="BE40" s="4"/>
      <c r="BF40" s="4"/>
      <c r="BG40" s="4"/>
      <c r="BH40" s="4"/>
      <c r="BI40" s="4"/>
      <c r="BJ40" s="4"/>
      <c r="BK40" s="4"/>
      <c r="BL40" s="4"/>
      <c r="BM40" s="4"/>
      <c r="BN40" s="4"/>
      <c r="BO40" s="4"/>
    </row>
    <row r="41" ht="15.5" spans="1:67">
      <c r="A41" s="3" t="s">
        <v>260</v>
      </c>
      <c r="B41" s="3"/>
      <c r="C41" s="3"/>
      <c r="D41" s="3"/>
      <c r="E41" s="3"/>
      <c r="F41" s="3"/>
      <c r="G41" s="3"/>
      <c r="H41" s="3"/>
      <c r="I41" s="3"/>
      <c r="J41" s="3"/>
      <c r="K41" s="4"/>
      <c r="L41" s="4"/>
      <c r="M41" s="4"/>
      <c r="N41" s="4"/>
      <c r="O41" s="4"/>
      <c r="P41" s="4"/>
      <c r="Q41" s="4"/>
      <c r="R41" s="4"/>
      <c r="S41" s="4"/>
      <c r="T41" s="4"/>
      <c r="AZ41" s="3" t="s">
        <v>260</v>
      </c>
      <c r="BA41" s="3"/>
      <c r="BB41" s="3"/>
      <c r="BC41" s="3"/>
      <c r="BD41" s="3"/>
      <c r="BE41" s="3"/>
      <c r="BF41" s="3"/>
      <c r="BG41" s="3"/>
      <c r="BH41" s="3"/>
      <c r="BI41" s="3"/>
      <c r="BJ41" s="4"/>
      <c r="BK41" s="4"/>
      <c r="BL41" s="4"/>
      <c r="BM41" s="4"/>
      <c r="BN41" s="4"/>
      <c r="BO41" s="4"/>
    </row>
    <row r="42" ht="15.5" spans="1:67">
      <c r="A42" s="3" t="s">
        <v>228</v>
      </c>
      <c r="B42" s="3" t="s">
        <v>259</v>
      </c>
      <c r="C42" s="3" t="s">
        <v>230</v>
      </c>
      <c r="D42" s="3"/>
      <c r="E42" s="3"/>
      <c r="F42" s="3"/>
      <c r="G42" s="3"/>
      <c r="H42" s="3"/>
      <c r="I42" s="3"/>
      <c r="J42" s="3"/>
      <c r="K42" s="4"/>
      <c r="L42" s="4"/>
      <c r="M42" s="4"/>
      <c r="N42" s="4"/>
      <c r="O42" s="4"/>
      <c r="P42" s="4"/>
      <c r="Q42" s="4"/>
      <c r="R42" s="4"/>
      <c r="S42" s="4"/>
      <c r="T42" s="4"/>
      <c r="AZ42" s="3" t="s">
        <v>228</v>
      </c>
      <c r="BA42" s="3" t="s">
        <v>259</v>
      </c>
      <c r="BB42" s="3" t="s">
        <v>230</v>
      </c>
      <c r="BC42" s="3"/>
      <c r="BD42" s="3"/>
      <c r="BE42" s="3"/>
      <c r="BF42" s="3"/>
      <c r="BG42" s="3"/>
      <c r="BH42" s="3"/>
      <c r="BI42" s="3"/>
      <c r="BJ42" s="4"/>
      <c r="BK42" s="4"/>
      <c r="BL42" s="4"/>
      <c r="BM42" s="4"/>
      <c r="BN42" s="4"/>
      <c r="BO42" s="4"/>
    </row>
    <row r="43" ht="30" spans="1:67">
      <c r="A43" s="3"/>
      <c r="B43" s="3"/>
      <c r="C43" s="7" t="s">
        <v>231</v>
      </c>
      <c r="D43" s="4" t="s">
        <v>232</v>
      </c>
      <c r="E43" s="4" t="s">
        <v>233</v>
      </c>
      <c r="F43" s="8" t="s">
        <v>234</v>
      </c>
      <c r="G43" s="4" t="s">
        <v>235</v>
      </c>
      <c r="H43" s="4" t="s">
        <v>236</v>
      </c>
      <c r="I43" s="4" t="s">
        <v>237</v>
      </c>
      <c r="J43" s="4" t="s">
        <v>238</v>
      </c>
      <c r="K43" s="4"/>
      <c r="L43" s="4"/>
      <c r="M43" s="4" t="s">
        <v>232</v>
      </c>
      <c r="N43" s="4" t="s">
        <v>233</v>
      </c>
      <c r="O43" s="4" t="s">
        <v>234</v>
      </c>
      <c r="P43" s="4" t="s">
        <v>235</v>
      </c>
      <c r="Q43" s="4" t="s">
        <v>236</v>
      </c>
      <c r="R43" s="4" t="s">
        <v>237</v>
      </c>
      <c r="S43" s="4" t="s">
        <v>238</v>
      </c>
      <c r="T43" s="4"/>
      <c r="U43" s="4"/>
      <c r="V43" s="6" t="s">
        <v>257</v>
      </c>
      <c r="W43" s="4" t="s">
        <v>232</v>
      </c>
      <c r="X43" s="4" t="s">
        <v>233</v>
      </c>
      <c r="Y43" s="8" t="s">
        <v>234</v>
      </c>
      <c r="Z43" s="4" t="s">
        <v>235</v>
      </c>
      <c r="AA43" s="4" t="s">
        <v>236</v>
      </c>
      <c r="AB43" s="10" t="s">
        <v>237</v>
      </c>
      <c r="AC43" s="10" t="s">
        <v>238</v>
      </c>
      <c r="AD43" s="4"/>
      <c r="AE43" s="4"/>
      <c r="AF43" s="4" t="s">
        <v>232</v>
      </c>
      <c r="AG43" s="4" t="s">
        <v>233</v>
      </c>
      <c r="AH43" s="8" t="s">
        <v>234</v>
      </c>
      <c r="AI43" s="4" t="s">
        <v>235</v>
      </c>
      <c r="AJ43" s="4" t="s">
        <v>236</v>
      </c>
      <c r="AK43" s="10" t="s">
        <v>237</v>
      </c>
      <c r="AL43" s="10" t="s">
        <v>238</v>
      </c>
      <c r="AO43" s="4" t="s">
        <v>232</v>
      </c>
      <c r="AP43" s="4" t="s">
        <v>233</v>
      </c>
      <c r="AQ43" s="8" t="s">
        <v>234</v>
      </c>
      <c r="AR43" s="4" t="s">
        <v>235</v>
      </c>
      <c r="AS43" s="4" t="s">
        <v>236</v>
      </c>
      <c r="AT43" s="10" t="s">
        <v>237</v>
      </c>
      <c r="AU43" s="10" t="s">
        <v>238</v>
      </c>
      <c r="AZ43" s="3"/>
      <c r="BA43" s="3"/>
      <c r="BB43" s="7" t="s">
        <v>231</v>
      </c>
      <c r="BC43" s="4" t="s">
        <v>232</v>
      </c>
      <c r="BD43" s="4" t="s">
        <v>233</v>
      </c>
      <c r="BE43" s="8" t="s">
        <v>234</v>
      </c>
      <c r="BF43" s="4" t="s">
        <v>235</v>
      </c>
      <c r="BG43" s="4" t="s">
        <v>236</v>
      </c>
      <c r="BH43" s="4" t="s">
        <v>237</v>
      </c>
      <c r="BI43" s="4" t="s">
        <v>238</v>
      </c>
      <c r="BJ43" s="4"/>
      <c r="BK43" s="4"/>
      <c r="BL43" s="4"/>
      <c r="BM43" s="4"/>
      <c r="BN43" s="4"/>
      <c r="BO43" s="4"/>
    </row>
    <row r="44" ht="15.5" spans="1:67">
      <c r="A44" s="3" t="s">
        <v>239</v>
      </c>
      <c r="B44" s="11" t="s">
        <v>240</v>
      </c>
      <c r="C44" s="12">
        <f t="shared" ref="C44:J44" si="128">BB44/1000</f>
        <v>0.6652</v>
      </c>
      <c r="D44" s="12">
        <f t="shared" si="128"/>
        <v>0.5864</v>
      </c>
      <c r="E44" s="12">
        <f t="shared" si="128"/>
        <v>0.5679</v>
      </c>
      <c r="F44" s="12">
        <f t="shared" si="128"/>
        <v>0.5636</v>
      </c>
      <c r="G44" s="12">
        <f t="shared" si="128"/>
        <v>0.5409</v>
      </c>
      <c r="H44" s="12">
        <f t="shared" si="128"/>
        <v>0.5521</v>
      </c>
      <c r="I44" s="12">
        <f t="shared" si="128"/>
        <v>0.5636</v>
      </c>
      <c r="J44" s="12">
        <f t="shared" si="128"/>
        <v>0.5636</v>
      </c>
      <c r="K44" s="4"/>
      <c r="L44" s="4"/>
      <c r="M44" s="13">
        <v>5.937</v>
      </c>
      <c r="N44" s="13">
        <v>5.845</v>
      </c>
      <c r="O44" s="13">
        <v>5.575</v>
      </c>
      <c r="P44" s="13">
        <v>5.276</v>
      </c>
      <c r="Q44" s="13">
        <v>5.363</v>
      </c>
      <c r="R44" s="13">
        <v>6.645</v>
      </c>
      <c r="S44" s="13">
        <v>5.654</v>
      </c>
      <c r="T44" s="13"/>
      <c r="U44" s="3" t="s">
        <v>239</v>
      </c>
      <c r="V44" s="11" t="s">
        <v>240</v>
      </c>
      <c r="W44" s="14">
        <f t="shared" ref="W44:AC44" si="129">D44/M44</f>
        <v>0.098770422772444</v>
      </c>
      <c r="X44" s="14">
        <f t="shared" si="129"/>
        <v>0.0971599657827203</v>
      </c>
      <c r="Y44" s="14">
        <f t="shared" si="129"/>
        <v>0.101094170403587</v>
      </c>
      <c r="Z44" s="14">
        <f t="shared" si="129"/>
        <v>0.102520849128127</v>
      </c>
      <c r="AA44" s="14">
        <f t="shared" si="129"/>
        <v>0.102946112250606</v>
      </c>
      <c r="AB44" s="15">
        <f t="shared" si="129"/>
        <v>0.0848156508653123</v>
      </c>
      <c r="AC44" s="15">
        <f t="shared" si="129"/>
        <v>0.0996816413158826</v>
      </c>
      <c r="AD44" s="4"/>
      <c r="AE44" s="4"/>
      <c r="AF44" s="14">
        <f t="shared" ref="AF44:AJ44" si="130">W44</f>
        <v>0.098770422772444</v>
      </c>
      <c r="AG44" s="14">
        <f t="shared" si="130"/>
        <v>0.0971599657827203</v>
      </c>
      <c r="AH44" s="14">
        <f t="shared" si="130"/>
        <v>0.101094170403587</v>
      </c>
      <c r="AI44" s="14">
        <f t="shared" si="130"/>
        <v>0.102520849128127</v>
      </c>
      <c r="AJ44" s="14">
        <f t="shared" si="130"/>
        <v>0.102946112250606</v>
      </c>
      <c r="AK44" s="16">
        <f t="shared" ref="AK44:AK58" si="131">AB44*1.15</f>
        <v>0.0975379984951091</v>
      </c>
      <c r="AL44" s="16">
        <f t="shared" ref="AL44:AL58" si="132">AC44*1.15</f>
        <v>0.114633887513265</v>
      </c>
      <c r="AO44" s="14">
        <f t="shared" ref="AO44:AS44" si="133">W44</f>
        <v>0.098770422772444</v>
      </c>
      <c r="AP44" s="14">
        <f t="shared" si="133"/>
        <v>0.0971599657827203</v>
      </c>
      <c r="AQ44" s="14">
        <f t="shared" si="133"/>
        <v>0.101094170403587</v>
      </c>
      <c r="AR44" s="14">
        <f t="shared" si="133"/>
        <v>0.102520849128127</v>
      </c>
      <c r="AS44" s="14">
        <f t="shared" si="133"/>
        <v>0.102946112250606</v>
      </c>
      <c r="AT44" s="16">
        <f t="shared" ref="AT44:AT58" si="134">AB44*0.85</f>
        <v>0.0720933032355154</v>
      </c>
      <c r="AU44" s="16">
        <f t="shared" ref="AU44:AU58" si="135">AC44*0.85</f>
        <v>0.0847293951185002</v>
      </c>
      <c r="AZ44" s="3" t="s">
        <v>239</v>
      </c>
      <c r="BA44" s="11" t="s">
        <v>240</v>
      </c>
      <c r="BB44" s="12">
        <v>665.2</v>
      </c>
      <c r="BC44" s="14">
        <v>586.4</v>
      </c>
      <c r="BD44" s="14">
        <v>567.9</v>
      </c>
      <c r="BE44" s="14">
        <v>563.6</v>
      </c>
      <c r="BF44" s="14">
        <v>540.9</v>
      </c>
      <c r="BG44" s="14">
        <v>552.1</v>
      </c>
      <c r="BH44" s="14">
        <v>563.6</v>
      </c>
      <c r="BI44" s="14">
        <v>563.6</v>
      </c>
      <c r="BJ44" s="4"/>
      <c r="BK44" s="4"/>
      <c r="BL44" s="13"/>
      <c r="BM44" s="13"/>
      <c r="BN44" s="13"/>
      <c r="BO44" s="13"/>
    </row>
    <row r="45" ht="15.5" spans="1:67">
      <c r="A45" s="3"/>
      <c r="B45" s="11" t="s">
        <v>241</v>
      </c>
      <c r="C45" s="12">
        <f t="shared" ref="C45:J45" si="136">BB45/1000</f>
        <v>0.6092</v>
      </c>
      <c r="D45" s="12">
        <f t="shared" si="136"/>
        <v>0.5396</v>
      </c>
      <c r="E45" s="12">
        <f t="shared" si="136"/>
        <v>0.5232</v>
      </c>
      <c r="F45" s="12">
        <f t="shared" si="136"/>
        <v>0.5193</v>
      </c>
      <c r="G45" s="12">
        <f t="shared" si="136"/>
        <v>0.499</v>
      </c>
      <c r="H45" s="12">
        <f t="shared" si="136"/>
        <v>0.5091</v>
      </c>
      <c r="I45" s="12">
        <f t="shared" si="136"/>
        <v>0.5193</v>
      </c>
      <c r="J45" s="12">
        <f t="shared" si="136"/>
        <v>0.5193</v>
      </c>
      <c r="K45" s="4"/>
      <c r="L45" s="4"/>
      <c r="M45" s="17">
        <v>5.937</v>
      </c>
      <c r="N45" s="17">
        <v>5.845</v>
      </c>
      <c r="O45" s="17">
        <v>5.575</v>
      </c>
      <c r="P45" s="17">
        <v>5.276</v>
      </c>
      <c r="Q45" s="17">
        <v>5.363</v>
      </c>
      <c r="R45" s="17">
        <v>6.645</v>
      </c>
      <c r="S45" s="17">
        <v>5.654</v>
      </c>
      <c r="T45" s="17"/>
      <c r="U45" s="3"/>
      <c r="V45" s="11" t="s">
        <v>241</v>
      </c>
      <c r="W45" s="14">
        <f t="shared" ref="W45:AC45" si="137">D45/M45</f>
        <v>0.0908876536971534</v>
      </c>
      <c r="X45" s="14">
        <f t="shared" si="137"/>
        <v>0.0895124037639008</v>
      </c>
      <c r="Y45" s="14">
        <f t="shared" si="137"/>
        <v>0.0931479820627803</v>
      </c>
      <c r="Z45" s="14">
        <f t="shared" si="137"/>
        <v>0.094579226686884</v>
      </c>
      <c r="AA45" s="14">
        <f t="shared" si="137"/>
        <v>0.0949282118217415</v>
      </c>
      <c r="AB45" s="15">
        <f t="shared" si="137"/>
        <v>0.0781489841986456</v>
      </c>
      <c r="AC45" s="15">
        <f t="shared" si="137"/>
        <v>0.0918464803678811</v>
      </c>
      <c r="AD45" s="4"/>
      <c r="AE45" s="4"/>
      <c r="AF45" s="14">
        <f t="shared" ref="AF45:AJ45" si="138">W45</f>
        <v>0.0908876536971534</v>
      </c>
      <c r="AG45" s="14">
        <f t="shared" si="138"/>
        <v>0.0895124037639008</v>
      </c>
      <c r="AH45" s="14">
        <f t="shared" si="138"/>
        <v>0.0931479820627803</v>
      </c>
      <c r="AI45" s="14">
        <f t="shared" si="138"/>
        <v>0.094579226686884</v>
      </c>
      <c r="AJ45" s="14">
        <f t="shared" si="138"/>
        <v>0.0949282118217415</v>
      </c>
      <c r="AK45" s="16">
        <f t="shared" si="131"/>
        <v>0.0898713318284424</v>
      </c>
      <c r="AL45" s="16">
        <f t="shared" si="132"/>
        <v>0.105623452423063</v>
      </c>
      <c r="AO45" s="14">
        <f t="shared" ref="AO45:AS45" si="139">W45</f>
        <v>0.0908876536971534</v>
      </c>
      <c r="AP45" s="14">
        <f t="shared" si="139"/>
        <v>0.0895124037639008</v>
      </c>
      <c r="AQ45" s="14">
        <f t="shared" si="139"/>
        <v>0.0931479820627803</v>
      </c>
      <c r="AR45" s="14">
        <f t="shared" si="139"/>
        <v>0.094579226686884</v>
      </c>
      <c r="AS45" s="14">
        <f t="shared" si="139"/>
        <v>0.0949282118217415</v>
      </c>
      <c r="AT45" s="16">
        <f t="shared" si="134"/>
        <v>0.0664266365688488</v>
      </c>
      <c r="AU45" s="16">
        <f t="shared" si="135"/>
        <v>0.078069508312699</v>
      </c>
      <c r="AZ45" s="3"/>
      <c r="BA45" s="11" t="s">
        <v>241</v>
      </c>
      <c r="BB45" s="12">
        <v>609.2</v>
      </c>
      <c r="BC45" s="14">
        <v>539.6</v>
      </c>
      <c r="BD45" s="14">
        <v>523.2</v>
      </c>
      <c r="BE45" s="14">
        <v>519.3</v>
      </c>
      <c r="BF45" s="14">
        <v>499</v>
      </c>
      <c r="BG45" s="14">
        <v>509.1</v>
      </c>
      <c r="BH45" s="14">
        <v>519.3</v>
      </c>
      <c r="BI45" s="14">
        <v>519.3</v>
      </c>
      <c r="BJ45" s="4"/>
      <c r="BK45" s="4"/>
      <c r="BL45" s="17"/>
      <c r="BM45" s="17"/>
      <c r="BN45" s="17"/>
      <c r="BO45" s="17"/>
    </row>
    <row r="46" ht="15.5" spans="1:67">
      <c r="A46" s="3"/>
      <c r="B46" s="11" t="s">
        <v>242</v>
      </c>
      <c r="C46" s="12">
        <f t="shared" ref="C46:J46" si="140">BB46/1000</f>
        <v>0.1429</v>
      </c>
      <c r="D46" s="12">
        <f t="shared" si="140"/>
        <v>0.1194</v>
      </c>
      <c r="E46" s="12">
        <f t="shared" si="140"/>
        <v>0.114</v>
      </c>
      <c r="F46" s="12">
        <f t="shared" si="140"/>
        <v>0.1127</v>
      </c>
      <c r="G46" s="12">
        <f t="shared" si="140"/>
        <v>0.1061</v>
      </c>
      <c r="H46" s="12">
        <f t="shared" si="140"/>
        <v>0.1094</v>
      </c>
      <c r="I46" s="12">
        <f t="shared" si="140"/>
        <v>0.1127</v>
      </c>
      <c r="J46" s="12">
        <f t="shared" si="140"/>
        <v>0.1127</v>
      </c>
      <c r="K46" s="4"/>
      <c r="L46" s="4"/>
      <c r="M46" s="17">
        <v>5.937</v>
      </c>
      <c r="N46" s="17">
        <v>5.845</v>
      </c>
      <c r="O46" s="17">
        <v>5.575</v>
      </c>
      <c r="P46" s="17">
        <v>5.276</v>
      </c>
      <c r="Q46" s="17">
        <v>5.363</v>
      </c>
      <c r="R46" s="17">
        <v>6.645</v>
      </c>
      <c r="S46" s="17">
        <v>5.654</v>
      </c>
      <c r="T46" s="17"/>
      <c r="U46" s="3"/>
      <c r="V46" s="11" t="s">
        <v>242</v>
      </c>
      <c r="W46" s="14">
        <f t="shared" ref="W46:AC46" si="141">D46/M46</f>
        <v>0.02011116725619</v>
      </c>
      <c r="X46" s="14">
        <f t="shared" si="141"/>
        <v>0.0195038494439692</v>
      </c>
      <c r="Y46" s="14">
        <f t="shared" si="141"/>
        <v>0.0202152466367713</v>
      </c>
      <c r="Z46" s="14">
        <f t="shared" si="141"/>
        <v>0.0201099317664898</v>
      </c>
      <c r="AA46" s="14">
        <f t="shared" si="141"/>
        <v>0.0203990303934365</v>
      </c>
      <c r="AB46" s="15">
        <f t="shared" si="141"/>
        <v>0.0169601203912716</v>
      </c>
      <c r="AC46" s="15">
        <f t="shared" si="141"/>
        <v>0.0199327909444641</v>
      </c>
      <c r="AD46" s="4"/>
      <c r="AE46" s="4"/>
      <c r="AF46" s="14">
        <f t="shared" ref="AF46:AJ46" si="142">W46</f>
        <v>0.02011116725619</v>
      </c>
      <c r="AG46" s="14">
        <f t="shared" si="142"/>
        <v>0.0195038494439692</v>
      </c>
      <c r="AH46" s="14">
        <f t="shared" si="142"/>
        <v>0.0202152466367713</v>
      </c>
      <c r="AI46" s="14">
        <f t="shared" si="142"/>
        <v>0.0201099317664898</v>
      </c>
      <c r="AJ46" s="14">
        <f t="shared" si="142"/>
        <v>0.0203990303934365</v>
      </c>
      <c r="AK46" s="16">
        <f t="shared" si="131"/>
        <v>0.0195041384499624</v>
      </c>
      <c r="AL46" s="16">
        <f t="shared" si="132"/>
        <v>0.0229227095861337</v>
      </c>
      <c r="AO46" s="14">
        <f t="shared" ref="AO46:AS46" si="143">W46</f>
        <v>0.02011116725619</v>
      </c>
      <c r="AP46" s="14">
        <f t="shared" si="143"/>
        <v>0.0195038494439692</v>
      </c>
      <c r="AQ46" s="14">
        <f t="shared" si="143"/>
        <v>0.0202152466367713</v>
      </c>
      <c r="AR46" s="14">
        <f t="shared" si="143"/>
        <v>0.0201099317664898</v>
      </c>
      <c r="AS46" s="14">
        <f t="shared" si="143"/>
        <v>0.0203990303934365</v>
      </c>
      <c r="AT46" s="16">
        <f t="shared" si="134"/>
        <v>0.0144161023325809</v>
      </c>
      <c r="AU46" s="16">
        <f t="shared" si="135"/>
        <v>0.0169428723027945</v>
      </c>
      <c r="AZ46" s="3"/>
      <c r="BA46" s="11" t="s">
        <v>242</v>
      </c>
      <c r="BB46" s="12">
        <v>142.9</v>
      </c>
      <c r="BC46" s="14">
        <v>119.4</v>
      </c>
      <c r="BD46" s="14">
        <v>114</v>
      </c>
      <c r="BE46" s="14">
        <v>112.7</v>
      </c>
      <c r="BF46" s="14">
        <v>106.1</v>
      </c>
      <c r="BG46" s="14">
        <v>109.4</v>
      </c>
      <c r="BH46" s="14">
        <v>112.7</v>
      </c>
      <c r="BI46" s="14">
        <v>112.7</v>
      </c>
      <c r="BJ46" s="4"/>
      <c r="BK46" s="4"/>
      <c r="BL46" s="17"/>
      <c r="BM46" s="17"/>
      <c r="BN46" s="17"/>
      <c r="BO46" s="17"/>
    </row>
    <row r="47" ht="15.5" spans="1:67">
      <c r="A47" s="3"/>
      <c r="B47" s="11" t="s">
        <v>243</v>
      </c>
      <c r="C47" s="12">
        <f t="shared" ref="C47:J47" si="144">BB47/1000</f>
        <v>0.4256</v>
      </c>
      <c r="D47" s="12">
        <f t="shared" si="144"/>
        <v>0.3807</v>
      </c>
      <c r="E47" s="12">
        <f t="shared" si="144"/>
        <v>0.3703</v>
      </c>
      <c r="F47" s="12">
        <f t="shared" si="144"/>
        <v>0.3679</v>
      </c>
      <c r="G47" s="12">
        <f t="shared" si="144"/>
        <v>0.3552</v>
      </c>
      <c r="H47" s="12">
        <f t="shared" si="144"/>
        <v>0.3613</v>
      </c>
      <c r="I47" s="12">
        <f t="shared" si="144"/>
        <v>0.3679</v>
      </c>
      <c r="J47" s="12">
        <f t="shared" si="144"/>
        <v>0.3679</v>
      </c>
      <c r="K47" s="4"/>
      <c r="L47" s="4"/>
      <c r="M47" s="17">
        <v>5.937</v>
      </c>
      <c r="N47" s="17">
        <v>5.845</v>
      </c>
      <c r="O47" s="17">
        <v>5.575</v>
      </c>
      <c r="P47" s="17">
        <v>5.276</v>
      </c>
      <c r="Q47" s="17">
        <v>5.363</v>
      </c>
      <c r="R47" s="17">
        <v>6.645</v>
      </c>
      <c r="S47" s="17">
        <v>5.654</v>
      </c>
      <c r="T47" s="17"/>
      <c r="U47" s="3"/>
      <c r="V47" s="11" t="s">
        <v>243</v>
      </c>
      <c r="W47" s="14">
        <f t="shared" ref="W47:AC47" si="145">D47/M47</f>
        <v>0.0641232945932289</v>
      </c>
      <c r="X47" s="14">
        <f t="shared" si="145"/>
        <v>0.0633532934131737</v>
      </c>
      <c r="Y47" s="14">
        <f t="shared" si="145"/>
        <v>0.0659910313901345</v>
      </c>
      <c r="Z47" s="14">
        <f t="shared" si="145"/>
        <v>0.0673237300985595</v>
      </c>
      <c r="AA47" s="14">
        <f t="shared" si="145"/>
        <v>0.0673690098825284</v>
      </c>
      <c r="AB47" s="15">
        <f t="shared" si="145"/>
        <v>0.055364936042137</v>
      </c>
      <c r="AC47" s="15">
        <f t="shared" si="145"/>
        <v>0.0650689777148921</v>
      </c>
      <c r="AD47" s="4"/>
      <c r="AE47" s="4"/>
      <c r="AF47" s="14">
        <f t="shared" ref="AF47:AJ47" si="146">W47</f>
        <v>0.0641232945932289</v>
      </c>
      <c r="AG47" s="14">
        <f t="shared" si="146"/>
        <v>0.0633532934131737</v>
      </c>
      <c r="AH47" s="14">
        <f t="shared" si="146"/>
        <v>0.0659910313901345</v>
      </c>
      <c r="AI47" s="14">
        <f t="shared" si="146"/>
        <v>0.0673237300985595</v>
      </c>
      <c r="AJ47" s="14">
        <f t="shared" si="146"/>
        <v>0.0673690098825284</v>
      </c>
      <c r="AK47" s="16">
        <f t="shared" si="131"/>
        <v>0.0636696764484575</v>
      </c>
      <c r="AL47" s="16">
        <f t="shared" si="132"/>
        <v>0.0748293243721259</v>
      </c>
      <c r="AO47" s="14">
        <f t="shared" ref="AO47:AS47" si="147">W47</f>
        <v>0.0641232945932289</v>
      </c>
      <c r="AP47" s="14">
        <f t="shared" si="147"/>
        <v>0.0633532934131737</v>
      </c>
      <c r="AQ47" s="14">
        <f t="shared" si="147"/>
        <v>0.0659910313901345</v>
      </c>
      <c r="AR47" s="14">
        <f t="shared" si="147"/>
        <v>0.0673237300985595</v>
      </c>
      <c r="AS47" s="14">
        <f t="shared" si="147"/>
        <v>0.0673690098825284</v>
      </c>
      <c r="AT47" s="16">
        <f t="shared" si="134"/>
        <v>0.0470601956358164</v>
      </c>
      <c r="AU47" s="16">
        <f t="shared" si="135"/>
        <v>0.0553086310576583</v>
      </c>
      <c r="AZ47" s="3"/>
      <c r="BA47" s="11" t="s">
        <v>243</v>
      </c>
      <c r="BB47" s="12">
        <v>425.6</v>
      </c>
      <c r="BC47" s="14">
        <v>380.7</v>
      </c>
      <c r="BD47" s="14">
        <v>370.3</v>
      </c>
      <c r="BE47" s="14">
        <v>367.9</v>
      </c>
      <c r="BF47" s="14">
        <v>355.2</v>
      </c>
      <c r="BG47" s="14">
        <v>361.3</v>
      </c>
      <c r="BH47" s="14">
        <v>367.9</v>
      </c>
      <c r="BI47" s="14">
        <v>367.9</v>
      </c>
      <c r="BJ47" s="4"/>
      <c r="BK47" s="4"/>
      <c r="BL47" s="17"/>
      <c r="BM47" s="17"/>
      <c r="BN47" s="17"/>
      <c r="BO47" s="17"/>
    </row>
    <row r="48" ht="15.5" spans="1:67">
      <c r="A48" s="3"/>
      <c r="B48" s="11" t="s">
        <v>244</v>
      </c>
      <c r="C48" s="12">
        <f t="shared" ref="C48:J48" si="148">BB48/1000</f>
        <v>0.0846</v>
      </c>
      <c r="D48" s="12">
        <f t="shared" si="148"/>
        <v>0.077</v>
      </c>
      <c r="E48" s="12">
        <f t="shared" si="148"/>
        <v>0.0749</v>
      </c>
      <c r="F48" s="12">
        <f t="shared" si="148"/>
        <v>0.0744</v>
      </c>
      <c r="G48" s="12">
        <f t="shared" si="148"/>
        <v>0.0717</v>
      </c>
      <c r="H48" s="12">
        <f t="shared" si="148"/>
        <v>0.0731</v>
      </c>
      <c r="I48" s="12">
        <f t="shared" si="148"/>
        <v>0.0744</v>
      </c>
      <c r="J48" s="12">
        <f t="shared" si="148"/>
        <v>0.0744</v>
      </c>
      <c r="K48" s="4"/>
      <c r="L48" s="4"/>
      <c r="M48" s="17">
        <v>5.937</v>
      </c>
      <c r="N48" s="17">
        <v>5.845</v>
      </c>
      <c r="O48" s="17">
        <v>5.575</v>
      </c>
      <c r="P48" s="17">
        <v>5.276</v>
      </c>
      <c r="Q48" s="17">
        <v>5.363</v>
      </c>
      <c r="R48" s="17">
        <v>6.645</v>
      </c>
      <c r="S48" s="17">
        <v>5.654</v>
      </c>
      <c r="T48" s="17"/>
      <c r="U48" s="3"/>
      <c r="V48" s="11" t="s">
        <v>244</v>
      </c>
      <c r="W48" s="14">
        <f t="shared" ref="W48:AC48" si="149">D48/M48</f>
        <v>0.0129695132221661</v>
      </c>
      <c r="X48" s="14">
        <f t="shared" si="149"/>
        <v>0.012814371257485</v>
      </c>
      <c r="Y48" s="14">
        <f t="shared" si="149"/>
        <v>0.0133452914798206</v>
      </c>
      <c r="Z48" s="14">
        <f t="shared" si="149"/>
        <v>0.0135898407884761</v>
      </c>
      <c r="AA48" s="14">
        <f t="shared" si="149"/>
        <v>0.0136304307290695</v>
      </c>
      <c r="AB48" s="15">
        <f t="shared" si="149"/>
        <v>0.011196388261851</v>
      </c>
      <c r="AC48" s="15">
        <f t="shared" si="149"/>
        <v>0.0131588256101875</v>
      </c>
      <c r="AD48" s="4"/>
      <c r="AE48" s="4"/>
      <c r="AF48" s="14">
        <f t="shared" ref="AF48:AJ48" si="150">W48</f>
        <v>0.0129695132221661</v>
      </c>
      <c r="AG48" s="14">
        <f t="shared" si="150"/>
        <v>0.012814371257485</v>
      </c>
      <c r="AH48" s="14">
        <f t="shared" si="150"/>
        <v>0.0133452914798206</v>
      </c>
      <c r="AI48" s="14">
        <f t="shared" si="150"/>
        <v>0.0135898407884761</v>
      </c>
      <c r="AJ48" s="14">
        <f t="shared" si="150"/>
        <v>0.0136304307290695</v>
      </c>
      <c r="AK48" s="16">
        <f t="shared" si="131"/>
        <v>0.0128758465011287</v>
      </c>
      <c r="AL48" s="16">
        <f t="shared" si="132"/>
        <v>0.0151326494517156</v>
      </c>
      <c r="AO48" s="14">
        <f t="shared" ref="AO48:AS48" si="151">W48</f>
        <v>0.0129695132221661</v>
      </c>
      <c r="AP48" s="14">
        <f t="shared" si="151"/>
        <v>0.012814371257485</v>
      </c>
      <c r="AQ48" s="14">
        <f t="shared" si="151"/>
        <v>0.0133452914798206</v>
      </c>
      <c r="AR48" s="14">
        <f t="shared" si="151"/>
        <v>0.0135898407884761</v>
      </c>
      <c r="AS48" s="14">
        <f t="shared" si="151"/>
        <v>0.0136304307290695</v>
      </c>
      <c r="AT48" s="16">
        <f t="shared" si="134"/>
        <v>0.00951693002257336</v>
      </c>
      <c r="AU48" s="16">
        <f t="shared" si="135"/>
        <v>0.0111850017686594</v>
      </c>
      <c r="AZ48" s="3"/>
      <c r="BA48" s="11" t="s">
        <v>244</v>
      </c>
      <c r="BB48" s="12">
        <v>84.6</v>
      </c>
      <c r="BC48" s="14">
        <v>77</v>
      </c>
      <c r="BD48" s="14">
        <v>74.9</v>
      </c>
      <c r="BE48" s="14">
        <v>74.4</v>
      </c>
      <c r="BF48" s="14">
        <v>71.7</v>
      </c>
      <c r="BG48" s="14">
        <v>73.1</v>
      </c>
      <c r="BH48" s="14">
        <v>74.4</v>
      </c>
      <c r="BI48" s="14">
        <v>74.4</v>
      </c>
      <c r="BJ48" s="4"/>
      <c r="BK48" s="4"/>
      <c r="BL48" s="17"/>
      <c r="BM48" s="17"/>
      <c r="BN48" s="17"/>
      <c r="BO48" s="17"/>
    </row>
    <row r="49" ht="15.5" spans="1:67">
      <c r="A49" s="3" t="s">
        <v>245</v>
      </c>
      <c r="B49" s="11" t="s">
        <v>240</v>
      </c>
      <c r="C49" s="12">
        <f t="shared" ref="C49:J49" si="152">BB49/1000</f>
        <v>0.6792</v>
      </c>
      <c r="D49" s="12">
        <f t="shared" si="152"/>
        <v>0.5984</v>
      </c>
      <c r="E49" s="12">
        <f t="shared" si="152"/>
        <v>0.5794</v>
      </c>
      <c r="F49" s="12">
        <f t="shared" si="152"/>
        <v>0.575</v>
      </c>
      <c r="G49" s="12">
        <f t="shared" si="152"/>
        <v>0.5517</v>
      </c>
      <c r="H49" s="12">
        <f t="shared" si="152"/>
        <v>0.5632</v>
      </c>
      <c r="I49" s="12">
        <f t="shared" si="152"/>
        <v>0.575</v>
      </c>
      <c r="J49" s="12">
        <f t="shared" si="152"/>
        <v>0.575</v>
      </c>
      <c r="K49" s="4"/>
      <c r="L49" s="4"/>
      <c r="M49" s="17">
        <v>5.937</v>
      </c>
      <c r="N49" s="17">
        <v>5.845</v>
      </c>
      <c r="O49" s="17">
        <v>5.575</v>
      </c>
      <c r="P49" s="17">
        <v>5.276</v>
      </c>
      <c r="Q49" s="17">
        <v>5.363</v>
      </c>
      <c r="R49" s="17">
        <v>6.645</v>
      </c>
      <c r="S49" s="17">
        <v>5.654</v>
      </c>
      <c r="T49" s="17"/>
      <c r="U49" s="3" t="s">
        <v>245</v>
      </c>
      <c r="V49" s="11" t="s">
        <v>240</v>
      </c>
      <c r="W49" s="14">
        <f t="shared" ref="W49:AC49" si="153">D49/M49</f>
        <v>0.100791645612262</v>
      </c>
      <c r="X49" s="14">
        <f t="shared" si="153"/>
        <v>0.0991274593669803</v>
      </c>
      <c r="Y49" s="14">
        <f t="shared" si="153"/>
        <v>0.103139013452915</v>
      </c>
      <c r="Z49" s="14">
        <f t="shared" si="153"/>
        <v>0.104567854435178</v>
      </c>
      <c r="AA49" s="14">
        <f t="shared" si="153"/>
        <v>0.105015849338057</v>
      </c>
      <c r="AB49" s="15">
        <f t="shared" si="153"/>
        <v>0.0865312264860798</v>
      </c>
      <c r="AC49" s="15">
        <f t="shared" si="153"/>
        <v>0.10169791298196</v>
      </c>
      <c r="AD49" s="4"/>
      <c r="AE49" s="4"/>
      <c r="AF49" s="14">
        <f t="shared" ref="AF49:AJ49" si="154">W49</f>
        <v>0.100791645612262</v>
      </c>
      <c r="AG49" s="14">
        <f t="shared" si="154"/>
        <v>0.0991274593669803</v>
      </c>
      <c r="AH49" s="14">
        <f t="shared" si="154"/>
        <v>0.103139013452915</v>
      </c>
      <c r="AI49" s="14">
        <f t="shared" si="154"/>
        <v>0.104567854435178</v>
      </c>
      <c r="AJ49" s="14">
        <f t="shared" si="154"/>
        <v>0.105015849338057</v>
      </c>
      <c r="AK49" s="16">
        <f t="shared" si="131"/>
        <v>0.0995109104589917</v>
      </c>
      <c r="AL49" s="16">
        <f t="shared" si="132"/>
        <v>0.116952599929254</v>
      </c>
      <c r="AO49" s="14">
        <f t="shared" ref="AO49:AS49" si="155">W49</f>
        <v>0.100791645612262</v>
      </c>
      <c r="AP49" s="14">
        <f t="shared" si="155"/>
        <v>0.0991274593669803</v>
      </c>
      <c r="AQ49" s="14">
        <f t="shared" si="155"/>
        <v>0.103139013452915</v>
      </c>
      <c r="AR49" s="14">
        <f t="shared" si="155"/>
        <v>0.104567854435178</v>
      </c>
      <c r="AS49" s="14">
        <f t="shared" si="155"/>
        <v>0.105015849338057</v>
      </c>
      <c r="AT49" s="16">
        <f t="shared" si="134"/>
        <v>0.0735515425131678</v>
      </c>
      <c r="AU49" s="16">
        <f t="shared" si="135"/>
        <v>0.0864432260346657</v>
      </c>
      <c r="AZ49" s="3" t="s">
        <v>245</v>
      </c>
      <c r="BA49" s="11" t="s">
        <v>240</v>
      </c>
      <c r="BB49" s="12">
        <v>679.2</v>
      </c>
      <c r="BC49" s="14">
        <v>598.4</v>
      </c>
      <c r="BD49" s="14">
        <v>579.4</v>
      </c>
      <c r="BE49" s="14">
        <v>575</v>
      </c>
      <c r="BF49" s="14">
        <v>551.7</v>
      </c>
      <c r="BG49" s="14">
        <v>563.2</v>
      </c>
      <c r="BH49" s="14">
        <v>575</v>
      </c>
      <c r="BI49" s="14">
        <v>575</v>
      </c>
      <c r="BJ49" s="4"/>
      <c r="BK49" s="4"/>
      <c r="BL49" s="17"/>
      <c r="BM49" s="17"/>
      <c r="BN49" s="17"/>
      <c r="BO49" s="17"/>
    </row>
    <row r="50" ht="15.5" spans="1:67">
      <c r="A50" s="3"/>
      <c r="B50" s="11" t="s">
        <v>241</v>
      </c>
      <c r="C50" s="12">
        <f t="shared" ref="C50:J50" si="156">BB50/1000</f>
        <v>0.6241</v>
      </c>
      <c r="D50" s="12">
        <f t="shared" si="156"/>
        <v>0.5523</v>
      </c>
      <c r="E50" s="12">
        <f t="shared" si="156"/>
        <v>0.5353</v>
      </c>
      <c r="F50" s="12">
        <f t="shared" si="156"/>
        <v>0.5314</v>
      </c>
      <c r="G50" s="12">
        <f t="shared" si="156"/>
        <v>0.5105</v>
      </c>
      <c r="H50" s="12">
        <f t="shared" si="156"/>
        <v>0.5209</v>
      </c>
      <c r="I50" s="12">
        <f t="shared" si="156"/>
        <v>0.5314</v>
      </c>
      <c r="J50" s="12">
        <f t="shared" si="156"/>
        <v>0.5314</v>
      </c>
      <c r="K50" s="4"/>
      <c r="L50" s="4"/>
      <c r="M50" s="17">
        <v>5.937</v>
      </c>
      <c r="N50" s="17">
        <v>5.845</v>
      </c>
      <c r="O50" s="17">
        <v>5.575</v>
      </c>
      <c r="P50" s="17">
        <v>5.276</v>
      </c>
      <c r="Q50" s="17">
        <v>5.363</v>
      </c>
      <c r="R50" s="17">
        <v>6.645</v>
      </c>
      <c r="S50" s="17">
        <v>5.654</v>
      </c>
      <c r="T50" s="17"/>
      <c r="U50" s="3"/>
      <c r="V50" s="11" t="s">
        <v>241</v>
      </c>
      <c r="W50" s="14">
        <f t="shared" ref="W50:AC50" si="157">D50/M50</f>
        <v>0.0930267812026276</v>
      </c>
      <c r="X50" s="14">
        <f t="shared" si="157"/>
        <v>0.0915825491873396</v>
      </c>
      <c r="Y50" s="14">
        <f t="shared" si="157"/>
        <v>0.0953183856502242</v>
      </c>
      <c r="Z50" s="14">
        <f t="shared" si="157"/>
        <v>0.0967589082638362</v>
      </c>
      <c r="AA50" s="14">
        <f t="shared" si="157"/>
        <v>0.0971284728696625</v>
      </c>
      <c r="AB50" s="15">
        <f t="shared" si="157"/>
        <v>0.0799699021820918</v>
      </c>
      <c r="AC50" s="15">
        <f t="shared" si="157"/>
        <v>0.0939865581888928</v>
      </c>
      <c r="AD50" s="4"/>
      <c r="AE50" s="4"/>
      <c r="AF50" s="14">
        <f t="shared" ref="AF50:AJ50" si="158">W50</f>
        <v>0.0930267812026276</v>
      </c>
      <c r="AG50" s="14">
        <f t="shared" si="158"/>
        <v>0.0915825491873396</v>
      </c>
      <c r="AH50" s="14">
        <f t="shared" si="158"/>
        <v>0.0953183856502242</v>
      </c>
      <c r="AI50" s="14">
        <f t="shared" si="158"/>
        <v>0.0967589082638362</v>
      </c>
      <c r="AJ50" s="14">
        <f t="shared" si="158"/>
        <v>0.0971284728696625</v>
      </c>
      <c r="AK50" s="16">
        <f t="shared" si="131"/>
        <v>0.0919653875094056</v>
      </c>
      <c r="AL50" s="16">
        <f t="shared" si="132"/>
        <v>0.108084541917227</v>
      </c>
      <c r="AO50" s="14">
        <f t="shared" ref="AO50:AS50" si="159">W50</f>
        <v>0.0930267812026276</v>
      </c>
      <c r="AP50" s="14">
        <f t="shared" si="159"/>
        <v>0.0915825491873396</v>
      </c>
      <c r="AQ50" s="14">
        <f t="shared" si="159"/>
        <v>0.0953183856502242</v>
      </c>
      <c r="AR50" s="14">
        <f t="shared" si="159"/>
        <v>0.0967589082638362</v>
      </c>
      <c r="AS50" s="14">
        <f t="shared" si="159"/>
        <v>0.0971284728696625</v>
      </c>
      <c r="AT50" s="16">
        <f t="shared" si="134"/>
        <v>0.067974416854778</v>
      </c>
      <c r="AU50" s="16">
        <f t="shared" si="135"/>
        <v>0.0798885744605589</v>
      </c>
      <c r="AZ50" s="3"/>
      <c r="BA50" s="11" t="s">
        <v>241</v>
      </c>
      <c r="BB50" s="12">
        <v>624.1</v>
      </c>
      <c r="BC50" s="14">
        <v>552.3</v>
      </c>
      <c r="BD50" s="14">
        <v>535.3</v>
      </c>
      <c r="BE50" s="14">
        <v>531.4</v>
      </c>
      <c r="BF50" s="14">
        <v>510.5</v>
      </c>
      <c r="BG50" s="14">
        <v>520.9</v>
      </c>
      <c r="BH50" s="14">
        <v>531.4</v>
      </c>
      <c r="BI50" s="14">
        <v>531.4</v>
      </c>
      <c r="BJ50" s="4"/>
      <c r="BK50" s="4"/>
      <c r="BL50" s="17"/>
      <c r="BM50" s="17"/>
      <c r="BN50" s="17"/>
      <c r="BO50" s="17"/>
    </row>
    <row r="51" ht="15.5" spans="1:67">
      <c r="A51" s="3"/>
      <c r="B51" s="11" t="s">
        <v>242</v>
      </c>
      <c r="C51" s="12">
        <f t="shared" ref="C51:J51" si="160">BB51/1000</f>
        <v>0.1745</v>
      </c>
      <c r="D51" s="12">
        <f t="shared" si="160"/>
        <v>0.1463</v>
      </c>
      <c r="E51" s="12">
        <f t="shared" si="160"/>
        <v>0.1398</v>
      </c>
      <c r="F51" s="12">
        <f t="shared" si="160"/>
        <v>0.1383</v>
      </c>
      <c r="G51" s="12">
        <f t="shared" si="160"/>
        <v>0.1304</v>
      </c>
      <c r="H51" s="12">
        <f t="shared" si="160"/>
        <v>0.1343</v>
      </c>
      <c r="I51" s="12">
        <f t="shared" si="160"/>
        <v>0.1383</v>
      </c>
      <c r="J51" s="12">
        <f t="shared" si="160"/>
        <v>0.1383</v>
      </c>
      <c r="K51" s="4"/>
      <c r="L51" s="4"/>
      <c r="M51" s="17">
        <v>5.937</v>
      </c>
      <c r="N51" s="17">
        <v>5.845</v>
      </c>
      <c r="O51" s="17">
        <v>5.575</v>
      </c>
      <c r="P51" s="17">
        <v>5.276</v>
      </c>
      <c r="Q51" s="17">
        <v>5.363</v>
      </c>
      <c r="R51" s="17">
        <v>6.645</v>
      </c>
      <c r="S51" s="17">
        <v>5.654</v>
      </c>
      <c r="T51" s="17"/>
      <c r="U51" s="3"/>
      <c r="V51" s="11" t="s">
        <v>242</v>
      </c>
      <c r="W51" s="14">
        <f t="shared" ref="W51:AC51" si="161">D51/M51</f>
        <v>0.0246420751221155</v>
      </c>
      <c r="X51" s="14">
        <f t="shared" si="161"/>
        <v>0.023917878528657</v>
      </c>
      <c r="Y51" s="14">
        <f t="shared" si="161"/>
        <v>0.0248071748878924</v>
      </c>
      <c r="Z51" s="14">
        <f t="shared" si="161"/>
        <v>0.0247156937073541</v>
      </c>
      <c r="AA51" s="14">
        <f t="shared" si="161"/>
        <v>0.025041954130151</v>
      </c>
      <c r="AB51" s="15">
        <f t="shared" si="161"/>
        <v>0.0208126410835214</v>
      </c>
      <c r="AC51" s="15">
        <f t="shared" si="161"/>
        <v>0.0244605588963566</v>
      </c>
      <c r="AD51" s="4"/>
      <c r="AE51" s="4"/>
      <c r="AF51" s="14">
        <f t="shared" ref="AF51:AJ51" si="162">W51</f>
        <v>0.0246420751221155</v>
      </c>
      <c r="AG51" s="14">
        <f t="shared" si="162"/>
        <v>0.023917878528657</v>
      </c>
      <c r="AH51" s="14">
        <f t="shared" si="162"/>
        <v>0.0248071748878924</v>
      </c>
      <c r="AI51" s="14">
        <f t="shared" si="162"/>
        <v>0.0247156937073541</v>
      </c>
      <c r="AJ51" s="14">
        <f t="shared" si="162"/>
        <v>0.025041954130151</v>
      </c>
      <c r="AK51" s="16">
        <f t="shared" si="131"/>
        <v>0.0239345372460497</v>
      </c>
      <c r="AL51" s="16">
        <f t="shared" si="132"/>
        <v>0.02812964273081</v>
      </c>
      <c r="AO51" s="14">
        <f t="shared" ref="AO51:AS51" si="163">W51</f>
        <v>0.0246420751221155</v>
      </c>
      <c r="AP51" s="14">
        <f t="shared" si="163"/>
        <v>0.023917878528657</v>
      </c>
      <c r="AQ51" s="14">
        <f t="shared" si="163"/>
        <v>0.0248071748878924</v>
      </c>
      <c r="AR51" s="14">
        <f t="shared" si="163"/>
        <v>0.0247156937073541</v>
      </c>
      <c r="AS51" s="14">
        <f t="shared" si="163"/>
        <v>0.025041954130151</v>
      </c>
      <c r="AT51" s="16">
        <f t="shared" si="134"/>
        <v>0.0176907449209932</v>
      </c>
      <c r="AU51" s="16">
        <f t="shared" si="135"/>
        <v>0.0207914750619031</v>
      </c>
      <c r="AZ51" s="3"/>
      <c r="BA51" s="11" t="s">
        <v>242</v>
      </c>
      <c r="BB51" s="12">
        <v>174.5</v>
      </c>
      <c r="BC51" s="14">
        <v>146.3</v>
      </c>
      <c r="BD51" s="14">
        <v>139.8</v>
      </c>
      <c r="BE51" s="14">
        <v>138.3</v>
      </c>
      <c r="BF51" s="14">
        <v>130.4</v>
      </c>
      <c r="BG51" s="14">
        <v>134.3</v>
      </c>
      <c r="BH51" s="14">
        <v>138.3</v>
      </c>
      <c r="BI51" s="14">
        <v>138.3</v>
      </c>
      <c r="BJ51" s="4"/>
      <c r="BK51" s="4"/>
      <c r="BL51" s="17"/>
      <c r="BM51" s="17"/>
      <c r="BN51" s="17"/>
      <c r="BO51" s="17"/>
    </row>
    <row r="52" ht="15.5" spans="1:67">
      <c r="A52" s="3"/>
      <c r="B52" s="11" t="s">
        <v>243</v>
      </c>
      <c r="C52" s="12">
        <f t="shared" ref="C52:J52" si="164">BB52/1000</f>
        <v>0.4064</v>
      </c>
      <c r="D52" s="12">
        <f t="shared" si="164"/>
        <v>0.3643</v>
      </c>
      <c r="E52" s="12">
        <f t="shared" si="164"/>
        <v>0.3546</v>
      </c>
      <c r="F52" s="12">
        <f t="shared" si="164"/>
        <v>0.3523</v>
      </c>
      <c r="G52" s="12">
        <f t="shared" si="164"/>
        <v>0.3404</v>
      </c>
      <c r="H52" s="12">
        <f t="shared" si="164"/>
        <v>0.3462</v>
      </c>
      <c r="I52" s="12">
        <f t="shared" si="164"/>
        <v>0.3523</v>
      </c>
      <c r="J52" s="12">
        <f t="shared" si="164"/>
        <v>0.3523</v>
      </c>
      <c r="K52" s="4"/>
      <c r="L52" s="4"/>
      <c r="M52" s="17">
        <v>5.937</v>
      </c>
      <c r="N52" s="17">
        <v>5.845</v>
      </c>
      <c r="O52" s="17">
        <v>5.575</v>
      </c>
      <c r="P52" s="17">
        <v>5.276</v>
      </c>
      <c r="Q52" s="17">
        <v>5.363</v>
      </c>
      <c r="R52" s="17">
        <v>6.645</v>
      </c>
      <c r="S52" s="17">
        <v>5.654</v>
      </c>
      <c r="T52" s="17"/>
      <c r="U52" s="3"/>
      <c r="V52" s="11" t="s">
        <v>243</v>
      </c>
      <c r="W52" s="14">
        <f t="shared" ref="W52:AC52" si="165">D52/M52</f>
        <v>0.0613609567121442</v>
      </c>
      <c r="X52" s="14">
        <f t="shared" si="165"/>
        <v>0.0606672369546621</v>
      </c>
      <c r="Y52" s="14">
        <f t="shared" si="165"/>
        <v>0.0631928251121076</v>
      </c>
      <c r="Z52" s="14">
        <f t="shared" si="165"/>
        <v>0.0645185746777862</v>
      </c>
      <c r="AA52" s="14">
        <f t="shared" si="165"/>
        <v>0.0645534215923923</v>
      </c>
      <c r="AB52" s="15">
        <f t="shared" si="165"/>
        <v>0.0530173062452972</v>
      </c>
      <c r="AC52" s="15">
        <f t="shared" si="165"/>
        <v>0.0623098691192076</v>
      </c>
      <c r="AD52" s="4"/>
      <c r="AE52" s="4"/>
      <c r="AF52" s="14">
        <f t="shared" ref="AF52:AJ52" si="166">W52</f>
        <v>0.0613609567121442</v>
      </c>
      <c r="AG52" s="14">
        <f t="shared" si="166"/>
        <v>0.0606672369546621</v>
      </c>
      <c r="AH52" s="14">
        <f t="shared" si="166"/>
        <v>0.0631928251121076</v>
      </c>
      <c r="AI52" s="14">
        <f t="shared" si="166"/>
        <v>0.0645185746777862</v>
      </c>
      <c r="AJ52" s="14">
        <f t="shared" si="166"/>
        <v>0.0645534215923923</v>
      </c>
      <c r="AK52" s="16">
        <f t="shared" si="131"/>
        <v>0.0609699021820918</v>
      </c>
      <c r="AL52" s="16">
        <f t="shared" si="132"/>
        <v>0.0716563494870888</v>
      </c>
      <c r="AO52" s="14">
        <f t="shared" ref="AO52:AS52" si="167">W52</f>
        <v>0.0613609567121442</v>
      </c>
      <c r="AP52" s="14">
        <f t="shared" si="167"/>
        <v>0.0606672369546621</v>
      </c>
      <c r="AQ52" s="14">
        <f t="shared" si="167"/>
        <v>0.0631928251121076</v>
      </c>
      <c r="AR52" s="14">
        <f t="shared" si="167"/>
        <v>0.0645185746777862</v>
      </c>
      <c r="AS52" s="14">
        <f t="shared" si="167"/>
        <v>0.0645534215923923</v>
      </c>
      <c r="AT52" s="16">
        <f t="shared" si="134"/>
        <v>0.0450647103085026</v>
      </c>
      <c r="AU52" s="16">
        <f t="shared" si="135"/>
        <v>0.0529633887513265</v>
      </c>
      <c r="AZ52" s="3"/>
      <c r="BA52" s="11" t="s">
        <v>243</v>
      </c>
      <c r="BB52" s="12">
        <v>406.4</v>
      </c>
      <c r="BC52" s="14">
        <v>364.3</v>
      </c>
      <c r="BD52" s="14">
        <v>354.6</v>
      </c>
      <c r="BE52" s="14">
        <v>352.3</v>
      </c>
      <c r="BF52" s="14">
        <v>340.4</v>
      </c>
      <c r="BG52" s="14">
        <v>346.2</v>
      </c>
      <c r="BH52" s="14">
        <v>352.3</v>
      </c>
      <c r="BI52" s="14">
        <v>352.3</v>
      </c>
      <c r="BJ52" s="4"/>
      <c r="BK52" s="4"/>
      <c r="BL52" s="17"/>
      <c r="BM52" s="17"/>
      <c r="BN52" s="17"/>
      <c r="BO52" s="17"/>
    </row>
    <row r="53" ht="15.5" spans="1:67">
      <c r="A53" s="3"/>
      <c r="B53" s="11" t="s">
        <v>244</v>
      </c>
      <c r="C53" s="12">
        <f t="shared" ref="C53:J53" si="168">BB53/1000</f>
        <v>0.0872</v>
      </c>
      <c r="D53" s="12">
        <f t="shared" si="168"/>
        <v>0.0791</v>
      </c>
      <c r="E53" s="12">
        <f t="shared" si="168"/>
        <v>0.077</v>
      </c>
      <c r="F53" s="12">
        <f t="shared" si="168"/>
        <v>0.0765</v>
      </c>
      <c r="G53" s="12">
        <f t="shared" si="168"/>
        <v>0.0737</v>
      </c>
      <c r="H53" s="12">
        <f t="shared" si="168"/>
        <v>0.0751</v>
      </c>
      <c r="I53" s="12">
        <f t="shared" si="168"/>
        <v>0.0765</v>
      </c>
      <c r="J53" s="12">
        <f t="shared" si="168"/>
        <v>0.0765</v>
      </c>
      <c r="K53" s="4"/>
      <c r="L53" s="4"/>
      <c r="M53" s="17">
        <v>5.937</v>
      </c>
      <c r="N53" s="17">
        <v>5.845</v>
      </c>
      <c r="O53" s="17">
        <v>5.575</v>
      </c>
      <c r="P53" s="17">
        <v>5.276</v>
      </c>
      <c r="Q53" s="17">
        <v>5.363</v>
      </c>
      <c r="R53" s="17">
        <v>6.645</v>
      </c>
      <c r="S53" s="17">
        <v>5.654</v>
      </c>
      <c r="T53" s="17"/>
      <c r="U53" s="3"/>
      <c r="V53" s="11" t="s">
        <v>244</v>
      </c>
      <c r="W53" s="14">
        <f t="shared" ref="W53:AC53" si="169">D53/M53</f>
        <v>0.0133232272191342</v>
      </c>
      <c r="X53" s="14">
        <f t="shared" si="169"/>
        <v>0.0131736526946108</v>
      </c>
      <c r="Y53" s="14">
        <f t="shared" si="169"/>
        <v>0.0137219730941704</v>
      </c>
      <c r="Z53" s="14">
        <f t="shared" si="169"/>
        <v>0.0139689158453374</v>
      </c>
      <c r="AA53" s="14">
        <f t="shared" si="169"/>
        <v>0.0140033563304121</v>
      </c>
      <c r="AB53" s="15">
        <f t="shared" si="169"/>
        <v>0.0115124153498871</v>
      </c>
      <c r="AC53" s="15">
        <f t="shared" si="169"/>
        <v>0.0135302440749912</v>
      </c>
      <c r="AD53" s="4"/>
      <c r="AE53" s="4"/>
      <c r="AF53" s="14">
        <f t="shared" ref="AF53:AJ53" si="170">W53</f>
        <v>0.0133232272191342</v>
      </c>
      <c r="AG53" s="14">
        <f t="shared" si="170"/>
        <v>0.0131736526946108</v>
      </c>
      <c r="AH53" s="14">
        <f t="shared" si="170"/>
        <v>0.0137219730941704</v>
      </c>
      <c r="AI53" s="14">
        <f t="shared" si="170"/>
        <v>0.0139689158453374</v>
      </c>
      <c r="AJ53" s="14">
        <f t="shared" si="170"/>
        <v>0.0140033563304121</v>
      </c>
      <c r="AK53" s="16">
        <f t="shared" si="131"/>
        <v>0.0132392776523702</v>
      </c>
      <c r="AL53" s="16">
        <f t="shared" si="132"/>
        <v>0.0155597806862398</v>
      </c>
      <c r="AO53" s="14">
        <f t="shared" ref="AO53:AS53" si="171">W53</f>
        <v>0.0133232272191342</v>
      </c>
      <c r="AP53" s="14">
        <f t="shared" si="171"/>
        <v>0.0131736526946108</v>
      </c>
      <c r="AQ53" s="14">
        <f t="shared" si="171"/>
        <v>0.0137219730941704</v>
      </c>
      <c r="AR53" s="14">
        <f t="shared" si="171"/>
        <v>0.0139689158453374</v>
      </c>
      <c r="AS53" s="14">
        <f t="shared" si="171"/>
        <v>0.0140033563304121</v>
      </c>
      <c r="AT53" s="16">
        <f t="shared" si="134"/>
        <v>0.00978555304740406</v>
      </c>
      <c r="AU53" s="16">
        <f t="shared" si="135"/>
        <v>0.0115007074637425</v>
      </c>
      <c r="AZ53" s="3"/>
      <c r="BA53" s="11" t="s">
        <v>244</v>
      </c>
      <c r="BB53" s="12">
        <v>87.2</v>
      </c>
      <c r="BC53" s="14">
        <v>79.1</v>
      </c>
      <c r="BD53" s="14">
        <v>77</v>
      </c>
      <c r="BE53" s="14">
        <v>76.5</v>
      </c>
      <c r="BF53" s="14">
        <v>73.7</v>
      </c>
      <c r="BG53" s="14">
        <v>75.1</v>
      </c>
      <c r="BH53" s="14">
        <v>76.5</v>
      </c>
      <c r="BI53" s="14">
        <v>76.5</v>
      </c>
      <c r="BJ53" s="4"/>
      <c r="BK53" s="4"/>
      <c r="BL53" s="17"/>
      <c r="BM53" s="17"/>
      <c r="BN53" s="17"/>
      <c r="BO53" s="17"/>
    </row>
    <row r="54" ht="15.5" spans="1:67">
      <c r="A54" s="3" t="s">
        <v>11</v>
      </c>
      <c r="B54" s="11" t="s">
        <v>240</v>
      </c>
      <c r="C54" s="12">
        <f t="shared" ref="C54:J54" si="172">BB54/1000</f>
        <v>0.6916</v>
      </c>
      <c r="D54" s="12">
        <f t="shared" si="172"/>
        <v>0.6089</v>
      </c>
      <c r="E54" s="12">
        <f t="shared" si="172"/>
        <v>0.5895</v>
      </c>
      <c r="F54" s="12">
        <f t="shared" si="172"/>
        <v>0.585</v>
      </c>
      <c r="G54" s="12">
        <f t="shared" si="172"/>
        <v>0.5612</v>
      </c>
      <c r="H54" s="12">
        <f t="shared" si="172"/>
        <v>0.573</v>
      </c>
      <c r="I54" s="12">
        <f t="shared" si="172"/>
        <v>0.585</v>
      </c>
      <c r="J54" s="12">
        <f t="shared" si="172"/>
        <v>0.585</v>
      </c>
      <c r="K54" s="4"/>
      <c r="L54" s="4"/>
      <c r="M54" s="17">
        <v>5.937</v>
      </c>
      <c r="N54" s="17">
        <v>5.845</v>
      </c>
      <c r="O54" s="17">
        <v>5.575</v>
      </c>
      <c r="P54" s="17">
        <v>5.276</v>
      </c>
      <c r="Q54" s="17">
        <v>5.363</v>
      </c>
      <c r="R54" s="17">
        <v>6.645</v>
      </c>
      <c r="S54" s="17">
        <v>5.654</v>
      </c>
      <c r="T54" s="17"/>
      <c r="U54" s="3" t="s">
        <v>11</v>
      </c>
      <c r="V54" s="11" t="s">
        <v>240</v>
      </c>
      <c r="W54" s="14">
        <f t="shared" ref="W54:AC54" si="173">D54/M54</f>
        <v>0.102560215597103</v>
      </c>
      <c r="X54" s="14">
        <f t="shared" si="173"/>
        <v>0.100855431993157</v>
      </c>
      <c r="Y54" s="14">
        <f t="shared" si="173"/>
        <v>0.104932735426009</v>
      </c>
      <c r="Z54" s="14">
        <f t="shared" si="173"/>
        <v>0.106368460955269</v>
      </c>
      <c r="AA54" s="14">
        <f t="shared" si="173"/>
        <v>0.106843184784635</v>
      </c>
      <c r="AB54" s="15">
        <f t="shared" si="173"/>
        <v>0.0880361173814898</v>
      </c>
      <c r="AC54" s="15">
        <f t="shared" si="173"/>
        <v>0.103466572338168</v>
      </c>
      <c r="AD54" s="4"/>
      <c r="AE54" s="4"/>
      <c r="AF54" s="14">
        <f t="shared" ref="AF54:AJ54" si="174">W54</f>
        <v>0.102560215597103</v>
      </c>
      <c r="AG54" s="14">
        <f t="shared" si="174"/>
        <v>0.100855431993157</v>
      </c>
      <c r="AH54" s="14">
        <f t="shared" si="174"/>
        <v>0.104932735426009</v>
      </c>
      <c r="AI54" s="14">
        <f t="shared" si="174"/>
        <v>0.106368460955269</v>
      </c>
      <c r="AJ54" s="14">
        <f t="shared" si="174"/>
        <v>0.106843184784635</v>
      </c>
      <c r="AK54" s="16">
        <f t="shared" si="131"/>
        <v>0.101241534988713</v>
      </c>
      <c r="AL54" s="16">
        <f t="shared" si="132"/>
        <v>0.118986558188893</v>
      </c>
      <c r="AO54" s="14">
        <f t="shared" ref="AO54:AS54" si="175">W54</f>
        <v>0.102560215597103</v>
      </c>
      <c r="AP54" s="14">
        <f t="shared" si="175"/>
        <v>0.100855431993157</v>
      </c>
      <c r="AQ54" s="14">
        <f t="shared" si="175"/>
        <v>0.104932735426009</v>
      </c>
      <c r="AR54" s="14">
        <f t="shared" si="175"/>
        <v>0.106368460955269</v>
      </c>
      <c r="AS54" s="14">
        <f t="shared" si="175"/>
        <v>0.106843184784635</v>
      </c>
      <c r="AT54" s="16">
        <f t="shared" si="134"/>
        <v>0.0748306997742664</v>
      </c>
      <c r="AU54" s="16">
        <f t="shared" si="135"/>
        <v>0.0879465864874425</v>
      </c>
      <c r="AZ54" s="3" t="s">
        <v>11</v>
      </c>
      <c r="BA54" s="11" t="s">
        <v>240</v>
      </c>
      <c r="BB54" s="12">
        <v>691.6</v>
      </c>
      <c r="BC54" s="14">
        <v>608.9</v>
      </c>
      <c r="BD54" s="14">
        <v>589.5</v>
      </c>
      <c r="BE54" s="14">
        <v>585</v>
      </c>
      <c r="BF54" s="14">
        <v>561.2</v>
      </c>
      <c r="BG54" s="14">
        <v>573</v>
      </c>
      <c r="BH54" s="14">
        <v>585</v>
      </c>
      <c r="BI54" s="14">
        <v>585</v>
      </c>
      <c r="BJ54" s="4"/>
      <c r="BK54" s="4"/>
      <c r="BL54" s="17"/>
      <c r="BM54" s="17"/>
      <c r="BN54" s="17"/>
      <c r="BO54" s="17"/>
    </row>
    <row r="55" ht="15.5" spans="1:67">
      <c r="A55" s="3"/>
      <c r="B55" s="11" t="s">
        <v>241</v>
      </c>
      <c r="C55" s="12">
        <f t="shared" ref="C55:J55" si="176">BB55/1000</f>
        <v>0.634</v>
      </c>
      <c r="D55" s="12">
        <f t="shared" si="176"/>
        <v>0.5608</v>
      </c>
      <c r="E55" s="12">
        <f t="shared" si="176"/>
        <v>0.5435</v>
      </c>
      <c r="F55" s="12">
        <f t="shared" si="176"/>
        <v>0.5394</v>
      </c>
      <c r="G55" s="12">
        <f t="shared" si="176"/>
        <v>0.5181</v>
      </c>
      <c r="H55" s="12">
        <f t="shared" si="176"/>
        <v>0.5287</v>
      </c>
      <c r="I55" s="12">
        <f t="shared" si="176"/>
        <v>0.5394</v>
      </c>
      <c r="J55" s="12">
        <f t="shared" si="176"/>
        <v>0.5394</v>
      </c>
      <c r="K55" s="4"/>
      <c r="L55" s="4"/>
      <c r="M55" s="17">
        <v>5.937</v>
      </c>
      <c r="N55" s="17">
        <v>5.845</v>
      </c>
      <c r="O55" s="17">
        <v>5.575</v>
      </c>
      <c r="P55" s="17">
        <v>5.276</v>
      </c>
      <c r="Q55" s="17">
        <v>5.363</v>
      </c>
      <c r="R55" s="17">
        <v>6.645</v>
      </c>
      <c r="S55" s="17">
        <v>5.654</v>
      </c>
      <c r="T55" s="17"/>
      <c r="U55" s="3"/>
      <c r="V55" s="11" t="s">
        <v>241</v>
      </c>
      <c r="W55" s="14">
        <f t="shared" ref="W55:AC55" si="177">D55/M55</f>
        <v>0.0944584807141654</v>
      </c>
      <c r="X55" s="14">
        <f t="shared" si="177"/>
        <v>0.0929854576561163</v>
      </c>
      <c r="Y55" s="14">
        <f t="shared" si="177"/>
        <v>0.0967533632286995</v>
      </c>
      <c r="Z55" s="14">
        <f t="shared" si="177"/>
        <v>0.098199393479909</v>
      </c>
      <c r="AA55" s="14">
        <f t="shared" si="177"/>
        <v>0.0985828827148984</v>
      </c>
      <c r="AB55" s="15">
        <f t="shared" si="177"/>
        <v>0.0811738148984199</v>
      </c>
      <c r="AC55" s="15">
        <f t="shared" si="177"/>
        <v>0.0954014856738592</v>
      </c>
      <c r="AD55" s="4"/>
      <c r="AE55" s="4"/>
      <c r="AF55" s="14">
        <f t="shared" ref="AF55:AJ55" si="178">W55</f>
        <v>0.0944584807141654</v>
      </c>
      <c r="AG55" s="14">
        <f t="shared" si="178"/>
        <v>0.0929854576561163</v>
      </c>
      <c r="AH55" s="14">
        <f t="shared" si="178"/>
        <v>0.0967533632286995</v>
      </c>
      <c r="AI55" s="14">
        <f t="shared" si="178"/>
        <v>0.098199393479909</v>
      </c>
      <c r="AJ55" s="14">
        <f t="shared" si="178"/>
        <v>0.0985828827148984</v>
      </c>
      <c r="AK55" s="16">
        <f t="shared" si="131"/>
        <v>0.0933498871331828</v>
      </c>
      <c r="AL55" s="16">
        <f t="shared" si="132"/>
        <v>0.109711708524938</v>
      </c>
      <c r="AO55" s="14">
        <f t="shared" ref="AO55:AS55" si="179">W55</f>
        <v>0.0944584807141654</v>
      </c>
      <c r="AP55" s="14">
        <f t="shared" si="179"/>
        <v>0.0929854576561163</v>
      </c>
      <c r="AQ55" s="14">
        <f t="shared" si="179"/>
        <v>0.0967533632286995</v>
      </c>
      <c r="AR55" s="14">
        <f t="shared" si="179"/>
        <v>0.098199393479909</v>
      </c>
      <c r="AS55" s="14">
        <f t="shared" si="179"/>
        <v>0.0985828827148984</v>
      </c>
      <c r="AT55" s="16">
        <f t="shared" si="134"/>
        <v>0.0689977426636569</v>
      </c>
      <c r="AU55" s="16">
        <f t="shared" si="135"/>
        <v>0.0810912628227803</v>
      </c>
      <c r="AZ55" s="3"/>
      <c r="BA55" s="11" t="s">
        <v>241</v>
      </c>
      <c r="BB55" s="12">
        <v>634</v>
      </c>
      <c r="BC55" s="14">
        <v>560.8</v>
      </c>
      <c r="BD55" s="14">
        <v>543.5</v>
      </c>
      <c r="BE55" s="14">
        <v>539.4</v>
      </c>
      <c r="BF55" s="14">
        <v>518.1</v>
      </c>
      <c r="BG55" s="14">
        <v>528.7</v>
      </c>
      <c r="BH55" s="14">
        <v>539.4</v>
      </c>
      <c r="BI55" s="14">
        <v>539.4</v>
      </c>
      <c r="BJ55" s="4"/>
      <c r="BK55" s="4"/>
      <c r="BL55" s="17"/>
      <c r="BM55" s="17"/>
      <c r="BN55" s="17"/>
      <c r="BO55" s="17"/>
    </row>
    <row r="56" ht="15.5" spans="1:67">
      <c r="A56" s="3"/>
      <c r="B56" s="11" t="s">
        <v>242</v>
      </c>
      <c r="C56" s="12">
        <f t="shared" ref="C56:J56" si="180">BB56/1000</f>
        <v>0.2256</v>
      </c>
      <c r="D56" s="12">
        <f t="shared" si="180"/>
        <v>0.1898</v>
      </c>
      <c r="E56" s="12">
        <f t="shared" si="180"/>
        <v>0.1816</v>
      </c>
      <c r="F56" s="12">
        <f t="shared" si="180"/>
        <v>0.1797</v>
      </c>
      <c r="G56" s="12">
        <f t="shared" si="180"/>
        <v>0.1697</v>
      </c>
      <c r="H56" s="12">
        <f t="shared" si="180"/>
        <v>0.1747</v>
      </c>
      <c r="I56" s="12">
        <f t="shared" si="180"/>
        <v>0.1797</v>
      </c>
      <c r="J56" s="12">
        <f t="shared" si="180"/>
        <v>0.1797</v>
      </c>
      <c r="K56" s="4"/>
      <c r="L56" s="4"/>
      <c r="M56" s="17">
        <v>5.937</v>
      </c>
      <c r="N56" s="17">
        <v>5.845</v>
      </c>
      <c r="O56" s="17">
        <v>5.575</v>
      </c>
      <c r="P56" s="17">
        <v>5.276</v>
      </c>
      <c r="Q56" s="17">
        <v>5.363</v>
      </c>
      <c r="R56" s="17">
        <v>6.645</v>
      </c>
      <c r="S56" s="17">
        <v>5.654</v>
      </c>
      <c r="T56" s="17"/>
      <c r="U56" s="3"/>
      <c r="V56" s="11" t="s">
        <v>242</v>
      </c>
      <c r="W56" s="14">
        <f t="shared" ref="W56:AC56" si="181">D56/M56</f>
        <v>0.0319690079164561</v>
      </c>
      <c r="X56" s="14">
        <f t="shared" si="181"/>
        <v>0.0310692899914457</v>
      </c>
      <c r="Y56" s="14">
        <f t="shared" si="181"/>
        <v>0.0322331838565022</v>
      </c>
      <c r="Z56" s="14">
        <f t="shared" si="181"/>
        <v>0.0321645185746778</v>
      </c>
      <c r="AA56" s="14">
        <f t="shared" si="181"/>
        <v>0.0325750512772702</v>
      </c>
      <c r="AB56" s="15">
        <f t="shared" si="181"/>
        <v>0.0270428893905192</v>
      </c>
      <c r="AC56" s="15">
        <f t="shared" si="181"/>
        <v>0.0317828086310577</v>
      </c>
      <c r="AD56" s="4"/>
      <c r="AE56" s="4"/>
      <c r="AF56" s="14">
        <f t="shared" ref="AF56:AJ56" si="182">W56</f>
        <v>0.0319690079164561</v>
      </c>
      <c r="AG56" s="14">
        <f t="shared" si="182"/>
        <v>0.0310692899914457</v>
      </c>
      <c r="AH56" s="14">
        <f t="shared" si="182"/>
        <v>0.0322331838565022</v>
      </c>
      <c r="AI56" s="14">
        <f t="shared" si="182"/>
        <v>0.0321645185746778</v>
      </c>
      <c r="AJ56" s="14">
        <f t="shared" si="182"/>
        <v>0.0325750512772702</v>
      </c>
      <c r="AK56" s="16">
        <f t="shared" si="131"/>
        <v>0.0310993227990971</v>
      </c>
      <c r="AL56" s="16">
        <f t="shared" si="132"/>
        <v>0.0365502299257163</v>
      </c>
      <c r="AO56" s="14">
        <f t="shared" ref="AO56:AS56" si="183">W56</f>
        <v>0.0319690079164561</v>
      </c>
      <c r="AP56" s="14">
        <f t="shared" si="183"/>
        <v>0.0310692899914457</v>
      </c>
      <c r="AQ56" s="14">
        <f t="shared" si="183"/>
        <v>0.0322331838565022</v>
      </c>
      <c r="AR56" s="14">
        <f t="shared" si="183"/>
        <v>0.0321645185746778</v>
      </c>
      <c r="AS56" s="14">
        <f t="shared" si="183"/>
        <v>0.0325750512772702</v>
      </c>
      <c r="AT56" s="16">
        <f t="shared" si="134"/>
        <v>0.0229864559819413</v>
      </c>
      <c r="AU56" s="16">
        <f t="shared" si="135"/>
        <v>0.027015387336399</v>
      </c>
      <c r="AZ56" s="3"/>
      <c r="BA56" s="11" t="s">
        <v>242</v>
      </c>
      <c r="BB56" s="12">
        <v>225.6</v>
      </c>
      <c r="BC56" s="14">
        <v>189.8</v>
      </c>
      <c r="BD56" s="14">
        <v>181.6</v>
      </c>
      <c r="BE56" s="14">
        <v>179.7</v>
      </c>
      <c r="BF56" s="14">
        <v>169.7</v>
      </c>
      <c r="BG56" s="14">
        <v>174.7</v>
      </c>
      <c r="BH56" s="14">
        <v>179.7</v>
      </c>
      <c r="BI56" s="14">
        <v>179.7</v>
      </c>
      <c r="BJ56" s="4"/>
      <c r="BK56" s="4"/>
      <c r="BL56" s="17"/>
      <c r="BM56" s="17"/>
      <c r="BN56" s="17"/>
      <c r="BO56" s="17"/>
    </row>
    <row r="57" ht="15.5" spans="1:67">
      <c r="A57" s="3"/>
      <c r="B57" s="11" t="s">
        <v>243</v>
      </c>
      <c r="C57" s="12">
        <f t="shared" ref="C57:J57" si="184">BB57/1000</f>
        <v>0.3671</v>
      </c>
      <c r="D57" s="12">
        <f t="shared" si="184"/>
        <v>0.3308</v>
      </c>
      <c r="E57" s="12">
        <f t="shared" si="184"/>
        <v>0.3224</v>
      </c>
      <c r="F57" s="12">
        <f t="shared" si="184"/>
        <v>0.3205</v>
      </c>
      <c r="G57" s="12">
        <f t="shared" si="184"/>
        <v>0.3101</v>
      </c>
      <c r="H57" s="12">
        <f t="shared" si="184"/>
        <v>0.3151</v>
      </c>
      <c r="I57" s="12">
        <f t="shared" si="184"/>
        <v>0.3205</v>
      </c>
      <c r="J57" s="12">
        <f t="shared" si="184"/>
        <v>0.3205</v>
      </c>
      <c r="K57" s="4"/>
      <c r="L57" s="4"/>
      <c r="M57" s="17">
        <v>5.937</v>
      </c>
      <c r="N57" s="17">
        <v>5.845</v>
      </c>
      <c r="O57" s="17">
        <v>5.575</v>
      </c>
      <c r="P57" s="17">
        <v>5.276</v>
      </c>
      <c r="Q57" s="17">
        <v>5.363</v>
      </c>
      <c r="R57" s="17">
        <v>6.645</v>
      </c>
      <c r="S57" s="17">
        <v>5.654</v>
      </c>
      <c r="T57" s="17"/>
      <c r="U57" s="3"/>
      <c r="V57" s="11" t="s">
        <v>243</v>
      </c>
      <c r="W57" s="14">
        <f t="shared" ref="W57:AC57" si="185">D57/M57</f>
        <v>0.0557183762843187</v>
      </c>
      <c r="X57" s="14">
        <f t="shared" si="185"/>
        <v>0.055158254918734</v>
      </c>
      <c r="Y57" s="14">
        <f t="shared" si="185"/>
        <v>0.0574887892376682</v>
      </c>
      <c r="Z57" s="14">
        <f t="shared" si="185"/>
        <v>0.0587755875663381</v>
      </c>
      <c r="AA57" s="14">
        <f t="shared" si="185"/>
        <v>0.0587544284915159</v>
      </c>
      <c r="AB57" s="15">
        <f t="shared" si="185"/>
        <v>0.0482317531978932</v>
      </c>
      <c r="AC57" s="15">
        <f t="shared" si="185"/>
        <v>0.0566855323664662</v>
      </c>
      <c r="AD57" s="4"/>
      <c r="AE57" s="4"/>
      <c r="AF57" s="14">
        <f t="shared" ref="AF57:AJ57" si="186">W57</f>
        <v>0.0557183762843187</v>
      </c>
      <c r="AG57" s="14">
        <f t="shared" si="186"/>
        <v>0.055158254918734</v>
      </c>
      <c r="AH57" s="14">
        <f t="shared" si="186"/>
        <v>0.0574887892376682</v>
      </c>
      <c r="AI57" s="14">
        <f t="shared" si="186"/>
        <v>0.0587755875663381</v>
      </c>
      <c r="AJ57" s="14">
        <f t="shared" si="186"/>
        <v>0.0587544284915159</v>
      </c>
      <c r="AK57" s="16">
        <f t="shared" si="131"/>
        <v>0.0554665161775771</v>
      </c>
      <c r="AL57" s="16">
        <f t="shared" si="132"/>
        <v>0.0651883622214361</v>
      </c>
      <c r="AO57" s="14">
        <f t="shared" ref="AO57:AS57" si="187">W57</f>
        <v>0.0557183762843187</v>
      </c>
      <c r="AP57" s="14">
        <f t="shared" si="187"/>
        <v>0.055158254918734</v>
      </c>
      <c r="AQ57" s="14">
        <f t="shared" si="187"/>
        <v>0.0574887892376682</v>
      </c>
      <c r="AR57" s="14">
        <f t="shared" si="187"/>
        <v>0.0587755875663381</v>
      </c>
      <c r="AS57" s="14">
        <f t="shared" si="187"/>
        <v>0.0587544284915159</v>
      </c>
      <c r="AT57" s="16">
        <f t="shared" si="134"/>
        <v>0.0409969902182092</v>
      </c>
      <c r="AU57" s="16">
        <f t="shared" si="135"/>
        <v>0.0481827025114963</v>
      </c>
      <c r="AZ57" s="3"/>
      <c r="BA57" s="11" t="s">
        <v>243</v>
      </c>
      <c r="BB57" s="12">
        <v>367.1</v>
      </c>
      <c r="BC57" s="14">
        <v>330.8</v>
      </c>
      <c r="BD57" s="14">
        <v>322.4</v>
      </c>
      <c r="BE57" s="14">
        <v>320.5</v>
      </c>
      <c r="BF57" s="14">
        <v>310.1</v>
      </c>
      <c r="BG57" s="14">
        <v>315.1</v>
      </c>
      <c r="BH57" s="14">
        <v>320.5</v>
      </c>
      <c r="BI57" s="14">
        <v>320.5</v>
      </c>
      <c r="BJ57" s="4"/>
      <c r="BK57" s="4"/>
      <c r="BL57" s="17"/>
      <c r="BM57" s="17"/>
      <c r="BN57" s="17"/>
      <c r="BO57" s="17"/>
    </row>
    <row r="58" ht="15.5" spans="1:67">
      <c r="A58" s="3"/>
      <c r="B58" s="11" t="s">
        <v>244</v>
      </c>
      <c r="C58" s="12">
        <f t="shared" ref="C58:J58" si="188">BB58/1000</f>
        <v>0.0853</v>
      </c>
      <c r="D58" s="12">
        <f t="shared" si="188"/>
        <v>0.0775</v>
      </c>
      <c r="E58" s="12">
        <f t="shared" si="188"/>
        <v>0.0755</v>
      </c>
      <c r="F58" s="12">
        <f t="shared" si="188"/>
        <v>0.075</v>
      </c>
      <c r="G58" s="12">
        <f t="shared" si="188"/>
        <v>0.0722</v>
      </c>
      <c r="H58" s="12">
        <f t="shared" si="188"/>
        <v>0.0736</v>
      </c>
      <c r="I58" s="12">
        <f t="shared" si="188"/>
        <v>0.075</v>
      </c>
      <c r="J58" s="12">
        <f t="shared" si="188"/>
        <v>0.075</v>
      </c>
      <c r="K58" s="4"/>
      <c r="L58" s="4"/>
      <c r="M58" s="17">
        <v>5.937</v>
      </c>
      <c r="N58" s="17">
        <v>5.845</v>
      </c>
      <c r="O58" s="17">
        <v>5.575</v>
      </c>
      <c r="P58" s="17">
        <v>5.276</v>
      </c>
      <c r="Q58" s="17">
        <v>5.363</v>
      </c>
      <c r="R58" s="17">
        <v>6.645</v>
      </c>
      <c r="S58" s="17">
        <v>5.654</v>
      </c>
      <c r="T58" s="17"/>
      <c r="U58" s="3"/>
      <c r="V58" s="11" t="s">
        <v>244</v>
      </c>
      <c r="W58" s="14">
        <f t="shared" ref="W58:AC58" si="189">D58/M58</f>
        <v>0.0130537308404918</v>
      </c>
      <c r="X58" s="14">
        <f t="shared" si="189"/>
        <v>0.0129170230966638</v>
      </c>
      <c r="Y58" s="14">
        <f t="shared" si="189"/>
        <v>0.0134529147982063</v>
      </c>
      <c r="Z58" s="14">
        <f t="shared" si="189"/>
        <v>0.0136846095526914</v>
      </c>
      <c r="AA58" s="14">
        <f t="shared" si="189"/>
        <v>0.0137236621294052</v>
      </c>
      <c r="AB58" s="15">
        <f t="shared" si="189"/>
        <v>0.0112866817155756</v>
      </c>
      <c r="AC58" s="15">
        <f t="shared" si="189"/>
        <v>0.01326494517156</v>
      </c>
      <c r="AD58" s="4"/>
      <c r="AE58" s="4"/>
      <c r="AF58" s="14">
        <f t="shared" ref="AF58:AJ58" si="190">W58</f>
        <v>0.0130537308404918</v>
      </c>
      <c r="AG58" s="14">
        <f t="shared" si="190"/>
        <v>0.0129170230966638</v>
      </c>
      <c r="AH58" s="14">
        <f t="shared" si="190"/>
        <v>0.0134529147982063</v>
      </c>
      <c r="AI58" s="14">
        <f t="shared" si="190"/>
        <v>0.0136846095526914</v>
      </c>
      <c r="AJ58" s="14">
        <f t="shared" si="190"/>
        <v>0.0137236621294052</v>
      </c>
      <c r="AK58" s="16">
        <f t="shared" si="131"/>
        <v>0.012979683972912</v>
      </c>
      <c r="AL58" s="16">
        <f t="shared" si="132"/>
        <v>0.0152546869472939</v>
      </c>
      <c r="AO58" s="14">
        <f t="shared" ref="AO58:AS58" si="191">W58</f>
        <v>0.0130537308404918</v>
      </c>
      <c r="AP58" s="14">
        <f t="shared" si="191"/>
        <v>0.0129170230966638</v>
      </c>
      <c r="AQ58" s="14">
        <f t="shared" si="191"/>
        <v>0.0134529147982063</v>
      </c>
      <c r="AR58" s="14">
        <f t="shared" si="191"/>
        <v>0.0136846095526914</v>
      </c>
      <c r="AS58" s="14">
        <f t="shared" si="191"/>
        <v>0.0137236621294052</v>
      </c>
      <c r="AT58" s="16">
        <f t="shared" si="134"/>
        <v>0.00959367945823928</v>
      </c>
      <c r="AU58" s="16">
        <f t="shared" si="135"/>
        <v>0.011275203395826</v>
      </c>
      <c r="AZ58" s="3"/>
      <c r="BA58" s="11" t="s">
        <v>244</v>
      </c>
      <c r="BB58" s="12">
        <v>85.3</v>
      </c>
      <c r="BC58" s="14">
        <v>77.5</v>
      </c>
      <c r="BD58" s="14">
        <v>75.5</v>
      </c>
      <c r="BE58" s="14">
        <v>75</v>
      </c>
      <c r="BF58" s="14">
        <v>72.2</v>
      </c>
      <c r="BG58" s="14">
        <v>73.6</v>
      </c>
      <c r="BH58" s="14">
        <v>75</v>
      </c>
      <c r="BI58" s="14">
        <v>75</v>
      </c>
      <c r="BJ58" s="4"/>
      <c r="BK58" s="4"/>
      <c r="BL58" s="17"/>
      <c r="BM58" s="17"/>
      <c r="BN58" s="17"/>
      <c r="BO58" s="17"/>
    </row>
    <row r="59" ht="15.5" spans="1:67">
      <c r="A59" s="4"/>
      <c r="B59" s="4"/>
      <c r="C59" s="7"/>
      <c r="D59" s="4"/>
      <c r="E59" s="4"/>
      <c r="F59" s="4"/>
      <c r="G59" s="4"/>
      <c r="H59" s="4"/>
      <c r="I59" s="4"/>
      <c r="J59" s="4"/>
      <c r="K59" s="4"/>
      <c r="L59" s="4"/>
      <c r="M59" s="4"/>
      <c r="N59" s="4"/>
      <c r="O59" s="4"/>
      <c r="P59" s="4"/>
      <c r="Q59" s="4"/>
      <c r="R59" s="4"/>
      <c r="S59" s="4"/>
      <c r="T59" s="4"/>
      <c r="AZ59" s="4"/>
      <c r="BA59" s="4"/>
      <c r="BB59" s="7"/>
      <c r="BC59" s="4"/>
      <c r="BD59" s="4"/>
      <c r="BE59" s="4"/>
      <c r="BF59" s="4"/>
      <c r="BG59" s="4"/>
      <c r="BH59" s="4"/>
      <c r="BI59" s="4"/>
      <c r="BJ59" s="4"/>
      <c r="BK59" s="4"/>
      <c r="BL59" s="4"/>
      <c r="BM59" s="4"/>
      <c r="BN59" s="4"/>
      <c r="BO59" s="4"/>
    </row>
    <row r="60" ht="15.5" spans="1:67">
      <c r="A60" s="4" t="s">
        <v>246</v>
      </c>
      <c r="B60" s="4"/>
      <c r="C60" s="7"/>
      <c r="D60" s="4"/>
      <c r="E60" s="4"/>
      <c r="F60" s="4"/>
      <c r="G60" s="4"/>
      <c r="H60" s="4"/>
      <c r="I60" s="4"/>
      <c r="J60" s="4"/>
      <c r="K60" s="4"/>
      <c r="L60" s="4"/>
      <c r="M60" s="4"/>
      <c r="N60" s="4"/>
      <c r="O60" s="4"/>
      <c r="P60" s="4"/>
      <c r="Q60" s="4"/>
      <c r="R60" s="4"/>
      <c r="S60" s="4"/>
      <c r="T60" s="4"/>
      <c r="AZ60" s="4" t="s">
        <v>246</v>
      </c>
      <c r="BA60" s="4"/>
      <c r="BB60" s="7"/>
      <c r="BC60" s="4"/>
      <c r="BD60" s="4"/>
      <c r="BE60" s="4"/>
      <c r="BF60" s="4"/>
      <c r="BG60" s="4"/>
      <c r="BH60" s="4"/>
      <c r="BI60" s="4"/>
      <c r="BJ60" s="4"/>
      <c r="BK60" s="4"/>
      <c r="BL60" s="4"/>
      <c r="BM60" s="4"/>
      <c r="BN60" s="4"/>
      <c r="BO60" s="4"/>
    </row>
    <row r="61" ht="15.5" spans="1:67">
      <c r="A61" s="4" t="s">
        <v>261</v>
      </c>
      <c r="B61" s="4"/>
      <c r="C61" s="7"/>
      <c r="D61" s="4"/>
      <c r="E61" s="4"/>
      <c r="F61" s="4"/>
      <c r="G61" s="4"/>
      <c r="H61" s="4"/>
      <c r="I61" s="4"/>
      <c r="J61" s="4"/>
      <c r="K61" s="4"/>
      <c r="L61" s="4"/>
      <c r="M61" s="4"/>
      <c r="N61" s="4"/>
      <c r="O61" s="4"/>
      <c r="P61" s="4"/>
      <c r="Q61" s="4"/>
      <c r="R61" s="4"/>
      <c r="S61" s="4"/>
      <c r="T61" s="4"/>
      <c r="AZ61" s="4" t="s">
        <v>261</v>
      </c>
      <c r="BA61" s="4"/>
      <c r="BB61" s="7"/>
      <c r="BC61" s="4"/>
      <c r="BD61" s="4"/>
      <c r="BE61" s="4"/>
      <c r="BF61" s="4"/>
      <c r="BG61" s="4"/>
      <c r="BH61" s="4"/>
      <c r="BI61" s="4"/>
      <c r="BJ61" s="4"/>
      <c r="BK61" s="4"/>
      <c r="BL61" s="4"/>
      <c r="BM61" s="4"/>
      <c r="BN61" s="4"/>
      <c r="BO61" s="4"/>
    </row>
    <row r="62" ht="15.5" spans="1:67">
      <c r="A62" s="4" t="s">
        <v>262</v>
      </c>
      <c r="B62" s="4"/>
      <c r="C62" s="7"/>
      <c r="D62" s="4"/>
      <c r="E62" s="4"/>
      <c r="F62" s="4"/>
      <c r="G62" s="4"/>
      <c r="H62" s="4"/>
      <c r="I62" s="4"/>
      <c r="J62" s="4"/>
      <c r="K62" s="4"/>
      <c r="L62" s="4"/>
      <c r="M62" s="4"/>
      <c r="N62" s="4"/>
      <c r="O62" s="4"/>
      <c r="P62" s="4"/>
      <c r="Q62" s="4"/>
      <c r="R62" s="4"/>
      <c r="S62" s="4"/>
      <c r="T62" s="4"/>
      <c r="AZ62" s="4" t="s">
        <v>262</v>
      </c>
      <c r="BA62" s="4"/>
      <c r="BB62" s="7"/>
      <c r="BC62" s="4"/>
      <c r="BD62" s="4"/>
      <c r="BE62" s="4"/>
      <c r="BF62" s="4"/>
      <c r="BG62" s="4"/>
      <c r="BH62" s="4"/>
      <c r="BI62" s="4"/>
      <c r="BJ62" s="4"/>
      <c r="BK62" s="4"/>
      <c r="BL62" s="4"/>
      <c r="BM62" s="4"/>
      <c r="BN62" s="4"/>
      <c r="BO62" s="4"/>
    </row>
    <row r="71" ht="15.5" spans="21:47">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row>
    <row r="72" ht="15.5" spans="21:47">
      <c r="U72" s="4"/>
      <c r="V72" s="4"/>
      <c r="W72" s="4" t="s">
        <v>232</v>
      </c>
      <c r="X72" s="4" t="s">
        <v>233</v>
      </c>
      <c r="Y72" s="8" t="s">
        <v>234</v>
      </c>
      <c r="Z72" s="4" t="s">
        <v>235</v>
      </c>
      <c r="AA72" s="4" t="s">
        <v>236</v>
      </c>
      <c r="AB72" s="10" t="s">
        <v>237</v>
      </c>
      <c r="AC72" s="10" t="s">
        <v>238</v>
      </c>
      <c r="AD72" s="4"/>
      <c r="AE72" s="4"/>
      <c r="AF72" s="4" t="s">
        <v>232</v>
      </c>
      <c r="AG72" s="4" t="s">
        <v>233</v>
      </c>
      <c r="AH72" s="8" t="s">
        <v>234</v>
      </c>
      <c r="AI72" s="4" t="s">
        <v>235</v>
      </c>
      <c r="AJ72" s="4" t="s">
        <v>236</v>
      </c>
      <c r="AK72" s="10" t="s">
        <v>237</v>
      </c>
      <c r="AL72" s="10" t="s">
        <v>238</v>
      </c>
      <c r="AM72" s="4"/>
      <c r="AN72" s="4"/>
      <c r="AO72" s="4" t="s">
        <v>232</v>
      </c>
      <c r="AP72" s="4" t="s">
        <v>233</v>
      </c>
      <c r="AQ72" s="8" t="s">
        <v>234</v>
      </c>
      <c r="AR72" s="4" t="s">
        <v>235</v>
      </c>
      <c r="AS72" s="4" t="s">
        <v>236</v>
      </c>
      <c r="AT72" s="10" t="s">
        <v>237</v>
      </c>
      <c r="AU72" s="10"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263</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264</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265</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263</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264</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4"/>
      <c r="AE79" s="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4"/>
      <c r="AN79" s="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265</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4"/>
      <c r="AE80" s="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4"/>
      <c r="AN80" s="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266</v>
      </c>
      <c r="V81" s="18" t="s">
        <v>105</v>
      </c>
      <c r="W81" s="4">
        <f t="shared" ref="W81:AC81" si="216">W14-W15</f>
        <v>0.010830385716692</v>
      </c>
      <c r="X81" s="4">
        <f t="shared" si="216"/>
        <v>0.0104020530367836</v>
      </c>
      <c r="Y81" s="4">
        <f t="shared" si="216"/>
        <v>0.0107085201793722</v>
      </c>
      <c r="Z81" s="4">
        <f t="shared" si="216"/>
        <v>0.0117702805155421</v>
      </c>
      <c r="AA81" s="4">
        <f t="shared" si="216"/>
        <v>0.011933619242961</v>
      </c>
      <c r="AB81" s="4">
        <f t="shared" si="216"/>
        <v>0.00898419864559818</v>
      </c>
      <c r="AC81" s="4">
        <f t="shared" si="216"/>
        <v>0.0105588963565617</v>
      </c>
      <c r="AD81" s="4"/>
      <c r="AE81" s="4"/>
      <c r="AF81" s="4">
        <f t="shared" ref="AF81:AL81" si="217">AF14-AF15</f>
        <v>0.010830385716692</v>
      </c>
      <c r="AG81" s="4">
        <f t="shared" si="217"/>
        <v>0.0104020530367836</v>
      </c>
      <c r="AH81" s="4">
        <f t="shared" si="217"/>
        <v>0.0107085201793722</v>
      </c>
      <c r="AI81" s="4">
        <f t="shared" si="217"/>
        <v>0.0117702805155421</v>
      </c>
      <c r="AJ81" s="4">
        <f t="shared" si="217"/>
        <v>0.011933619242961</v>
      </c>
      <c r="AK81" s="4">
        <f t="shared" si="217"/>
        <v>0.0103318284424379</v>
      </c>
      <c r="AL81" s="4">
        <f t="shared" si="217"/>
        <v>0.012142730810046</v>
      </c>
      <c r="AM81" s="4"/>
      <c r="AN81" s="4"/>
      <c r="AO81" s="4">
        <f t="shared" ref="AO81:AU81" si="218">AO14-AO15</f>
        <v>0.010830385716692</v>
      </c>
      <c r="AP81" s="4">
        <f t="shared" si="218"/>
        <v>0.0104020530367836</v>
      </c>
      <c r="AQ81" s="4">
        <f t="shared" si="218"/>
        <v>0.0107085201793722</v>
      </c>
      <c r="AR81" s="4">
        <f t="shared" si="218"/>
        <v>0.0117702805155421</v>
      </c>
      <c r="AS81" s="4">
        <f t="shared" si="218"/>
        <v>0.011933619242961</v>
      </c>
      <c r="AT81" s="4">
        <f t="shared" si="218"/>
        <v>0.00763656884875846</v>
      </c>
      <c r="AU81" s="4">
        <f t="shared" si="218"/>
        <v>0.00897506190307747</v>
      </c>
    </row>
    <row r="82" ht="15.5" spans="21:47">
      <c r="U82" s="3"/>
      <c r="V82" s="19" t="s">
        <v>263</v>
      </c>
      <c r="W82" s="4">
        <f t="shared" ref="W82:AC82" si="219">W16</f>
        <v>0.0447027118073101</v>
      </c>
      <c r="X82" s="4">
        <f t="shared" si="219"/>
        <v>0.0428058169375535</v>
      </c>
      <c r="Y82" s="4">
        <f t="shared" si="219"/>
        <v>0.0441255605381166</v>
      </c>
      <c r="Z82" s="4">
        <f t="shared" si="219"/>
        <v>0.0456406368460955</v>
      </c>
      <c r="AA82" s="4">
        <f t="shared" si="219"/>
        <v>0.0467275778482193</v>
      </c>
      <c r="AB82" s="4">
        <f t="shared" si="219"/>
        <v>0.037020316027088</v>
      </c>
      <c r="AC82" s="4">
        <f t="shared" si="219"/>
        <v>0.0435090201627167</v>
      </c>
      <c r="AD82" s="4"/>
      <c r="AE82" s="4"/>
      <c r="AF82" s="4">
        <f t="shared" ref="AF82:AL82" si="220">AF16</f>
        <v>0.0447027118073101</v>
      </c>
      <c r="AG82" s="4">
        <f t="shared" si="220"/>
        <v>0.0428058169375535</v>
      </c>
      <c r="AH82" s="4">
        <f t="shared" si="220"/>
        <v>0.0441255605381166</v>
      </c>
      <c r="AI82" s="4">
        <f t="shared" si="220"/>
        <v>0.0456406368460955</v>
      </c>
      <c r="AJ82" s="4">
        <f t="shared" si="220"/>
        <v>0.0467275778482193</v>
      </c>
      <c r="AK82" s="4">
        <f t="shared" si="220"/>
        <v>0.0425733634311512</v>
      </c>
      <c r="AL82" s="4">
        <f t="shared" si="220"/>
        <v>0.0500353731871242</v>
      </c>
      <c r="AM82" s="4"/>
      <c r="AN82" s="4"/>
      <c r="AO82" s="4">
        <f t="shared" ref="AO82:AU82" si="221">AO16</f>
        <v>0.0447027118073101</v>
      </c>
      <c r="AP82" s="4">
        <f t="shared" si="221"/>
        <v>0.0428058169375535</v>
      </c>
      <c r="AQ82" s="4">
        <f t="shared" si="221"/>
        <v>0.0441255605381166</v>
      </c>
      <c r="AR82" s="4">
        <f t="shared" si="221"/>
        <v>0.0456406368460955</v>
      </c>
      <c r="AS82" s="4">
        <f t="shared" si="221"/>
        <v>0.0467275778482193</v>
      </c>
      <c r="AT82" s="4">
        <f t="shared" si="221"/>
        <v>0.0314672686230248</v>
      </c>
      <c r="AU82" s="4">
        <f t="shared" si="221"/>
        <v>0.0369826671383092</v>
      </c>
    </row>
    <row r="83" ht="15.5" spans="21:47">
      <c r="U83" s="3"/>
      <c r="V83" s="18" t="s">
        <v>264</v>
      </c>
      <c r="W83" s="4">
        <f t="shared" ref="W83:AC83" si="222">W17</f>
        <v>0.0724945258548088</v>
      </c>
      <c r="X83" s="4">
        <f t="shared" si="222"/>
        <v>0.0706073567151412</v>
      </c>
      <c r="Y83" s="4">
        <f t="shared" si="222"/>
        <v>0.0732017937219731</v>
      </c>
      <c r="Z83" s="4">
        <f t="shared" si="222"/>
        <v>0.076516300227445</v>
      </c>
      <c r="AA83" s="4">
        <f t="shared" si="222"/>
        <v>0.0803841133693828</v>
      </c>
      <c r="AB83" s="4">
        <f t="shared" si="222"/>
        <v>0.0614145974416855</v>
      </c>
      <c r="AC83" s="4">
        <f t="shared" si="222"/>
        <v>0.0721789883268483</v>
      </c>
      <c r="AD83" s="4"/>
      <c r="AE83" s="4"/>
      <c r="AF83" s="4">
        <f t="shared" ref="AF83:AL83" si="223">AF17</f>
        <v>0.0724945258548088</v>
      </c>
      <c r="AG83" s="4">
        <f t="shared" si="223"/>
        <v>0.0706073567151412</v>
      </c>
      <c r="AH83" s="4">
        <f t="shared" si="223"/>
        <v>0.0732017937219731</v>
      </c>
      <c r="AI83" s="4">
        <f t="shared" si="223"/>
        <v>0.076516300227445</v>
      </c>
      <c r="AJ83" s="4">
        <f t="shared" si="223"/>
        <v>0.0803841133693828</v>
      </c>
      <c r="AK83" s="4">
        <f t="shared" si="223"/>
        <v>0.0706267870579383</v>
      </c>
      <c r="AL83" s="4">
        <f t="shared" si="223"/>
        <v>0.0830058365758755</v>
      </c>
      <c r="AM83" s="4"/>
      <c r="AN83" s="4"/>
      <c r="AO83" s="4">
        <f t="shared" ref="AO83:AU83" si="224">AO17</f>
        <v>0.0724945258548088</v>
      </c>
      <c r="AP83" s="4">
        <f t="shared" si="224"/>
        <v>0.0706073567151412</v>
      </c>
      <c r="AQ83" s="4">
        <f t="shared" si="224"/>
        <v>0.0732017937219731</v>
      </c>
      <c r="AR83" s="4">
        <f t="shared" si="224"/>
        <v>0.076516300227445</v>
      </c>
      <c r="AS83" s="4">
        <f t="shared" si="224"/>
        <v>0.0803841133693828</v>
      </c>
      <c r="AT83" s="4">
        <f t="shared" si="224"/>
        <v>0.0522024078254327</v>
      </c>
      <c r="AU83" s="4">
        <f t="shared" si="224"/>
        <v>0.061352140077821</v>
      </c>
    </row>
    <row r="84" ht="15.5" spans="21:47">
      <c r="U84" s="3"/>
      <c r="V84" s="18" t="s">
        <v>265</v>
      </c>
      <c r="W84" s="4">
        <f t="shared" ref="W84:AC84" si="225">W18</f>
        <v>0.0131547919824827</v>
      </c>
      <c r="X84" s="4">
        <f t="shared" si="225"/>
        <v>0.0128656971770744</v>
      </c>
      <c r="Y84" s="4">
        <f t="shared" si="225"/>
        <v>0.0133273542600897</v>
      </c>
      <c r="Z84" s="4">
        <f t="shared" si="225"/>
        <v>0.0145564821834723</v>
      </c>
      <c r="AA84" s="4">
        <f t="shared" si="225"/>
        <v>0.0148610852134999</v>
      </c>
      <c r="AB84" s="4">
        <f t="shared" si="225"/>
        <v>0.0111813393528969</v>
      </c>
      <c r="AC84" s="4">
        <f t="shared" si="225"/>
        <v>0.0131411390166254</v>
      </c>
      <c r="AD84" s="4"/>
      <c r="AE84" s="4"/>
      <c r="AF84" s="4">
        <f t="shared" ref="AF84:AL84" si="226">AF18</f>
        <v>0.0131547919824827</v>
      </c>
      <c r="AG84" s="4">
        <f t="shared" si="226"/>
        <v>0.0128656971770744</v>
      </c>
      <c r="AH84" s="4">
        <f t="shared" si="226"/>
        <v>0.0133273542600897</v>
      </c>
      <c r="AI84" s="4">
        <f t="shared" si="226"/>
        <v>0.0145564821834723</v>
      </c>
      <c r="AJ84" s="4">
        <f t="shared" si="226"/>
        <v>0.0148610852134999</v>
      </c>
      <c r="AK84" s="4">
        <f t="shared" si="226"/>
        <v>0.0128585402558315</v>
      </c>
      <c r="AL84" s="4">
        <f t="shared" si="226"/>
        <v>0.0151123098691192</v>
      </c>
      <c r="AM84" s="4"/>
      <c r="AN84" s="4"/>
      <c r="AO84" s="4">
        <f t="shared" ref="AO84:AU84" si="227">AO18</f>
        <v>0.0131547919824827</v>
      </c>
      <c r="AP84" s="4">
        <f t="shared" si="227"/>
        <v>0.0128656971770744</v>
      </c>
      <c r="AQ84" s="4">
        <f t="shared" si="227"/>
        <v>0.0133273542600897</v>
      </c>
      <c r="AR84" s="4">
        <f t="shared" si="227"/>
        <v>0.0145564821834723</v>
      </c>
      <c r="AS84" s="4">
        <f t="shared" si="227"/>
        <v>0.0148610852134999</v>
      </c>
      <c r="AT84" s="4">
        <f t="shared" si="227"/>
        <v>0.00950413844996238</v>
      </c>
      <c r="AU84" s="4">
        <f t="shared" si="227"/>
        <v>0.0111699681641316</v>
      </c>
    </row>
    <row r="85" ht="15.5" spans="21:47">
      <c r="U85" s="26" t="s">
        <v>239</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4"/>
      <c r="AE85" s="4"/>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4"/>
      <c r="AN85" s="4"/>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263</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4"/>
      <c r="AE86" s="4"/>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4"/>
      <c r="AN86" s="4"/>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264</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4"/>
      <c r="AE87" s="4"/>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4"/>
      <c r="AN87" s="4"/>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265</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4"/>
      <c r="AE88" s="4"/>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4"/>
      <c r="AN88" s="4"/>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row>
    <row r="90" ht="15.5" spans="21:47">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row>
    <row r="91" ht="15.5" spans="21:47">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row>
    <row r="92" ht="15.5" spans="21:47">
      <c r="U92" s="4"/>
      <c r="V92" s="4"/>
      <c r="W92" s="4" t="s">
        <v>232</v>
      </c>
      <c r="X92" s="4" t="s">
        <v>233</v>
      </c>
      <c r="Y92" s="8" t="s">
        <v>234</v>
      </c>
      <c r="Z92" s="4" t="s">
        <v>235</v>
      </c>
      <c r="AA92" s="4" t="s">
        <v>236</v>
      </c>
      <c r="AB92" s="10" t="s">
        <v>237</v>
      </c>
      <c r="AC92" s="10" t="s">
        <v>238</v>
      </c>
      <c r="AD92" s="4"/>
      <c r="AE92" s="4"/>
      <c r="AF92" s="4" t="s">
        <v>232</v>
      </c>
      <c r="AG92" s="4" t="s">
        <v>233</v>
      </c>
      <c r="AH92" s="8" t="s">
        <v>234</v>
      </c>
      <c r="AI92" s="4" t="s">
        <v>235</v>
      </c>
      <c r="AJ92" s="4" t="s">
        <v>236</v>
      </c>
      <c r="AK92" s="10" t="s">
        <v>237</v>
      </c>
      <c r="AL92" s="10" t="s">
        <v>238</v>
      </c>
      <c r="AM92" s="4"/>
      <c r="AN92" s="4"/>
      <c r="AO92" s="4" t="s">
        <v>232</v>
      </c>
      <c r="AP92" s="4" t="s">
        <v>233</v>
      </c>
      <c r="AQ92" s="8" t="s">
        <v>234</v>
      </c>
      <c r="AR92" s="4" t="s">
        <v>235</v>
      </c>
      <c r="AS92" s="4" t="s">
        <v>236</v>
      </c>
      <c r="AT92" s="10" t="s">
        <v>237</v>
      </c>
      <c r="AU92" s="10"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263</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264</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265</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263</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264</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4"/>
      <c r="AE99" s="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4"/>
      <c r="AN99" s="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265</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4"/>
      <c r="AE100" s="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4"/>
      <c r="AN100" s="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266</v>
      </c>
      <c r="V101" s="18" t="s">
        <v>105</v>
      </c>
      <c r="W101" s="4">
        <f t="shared" ref="W101:AC101" si="264">W34-W35</f>
        <v>0.011840997136601</v>
      </c>
      <c r="X101" s="4">
        <f t="shared" si="264"/>
        <v>0.011377245508982</v>
      </c>
      <c r="Y101" s="4">
        <f t="shared" si="264"/>
        <v>0.0117668161434977</v>
      </c>
      <c r="Z101" s="4">
        <f t="shared" si="264"/>
        <v>0.0120924943138741</v>
      </c>
      <c r="AA101" s="4">
        <f t="shared" si="264"/>
        <v>0.0122878985642364</v>
      </c>
      <c r="AB101" s="4">
        <f t="shared" si="264"/>
        <v>0.00987208427389014</v>
      </c>
      <c r="AC101" s="4">
        <f t="shared" si="264"/>
        <v>0.0116024053767244</v>
      </c>
      <c r="AD101" s="4"/>
      <c r="AE101" s="4"/>
      <c r="AF101" s="4">
        <f t="shared" ref="AF101:AL101" si="265">AF34-AF35</f>
        <v>0.011840997136601</v>
      </c>
      <c r="AG101" s="4">
        <f t="shared" si="265"/>
        <v>0.011377245508982</v>
      </c>
      <c r="AH101" s="4">
        <f t="shared" si="265"/>
        <v>0.0117668161434977</v>
      </c>
      <c r="AI101" s="4">
        <f t="shared" si="265"/>
        <v>0.0120924943138741</v>
      </c>
      <c r="AJ101" s="4">
        <f t="shared" si="265"/>
        <v>0.0122878985642364</v>
      </c>
      <c r="AK101" s="4">
        <f t="shared" si="265"/>
        <v>0.0113528969149737</v>
      </c>
      <c r="AL101" s="4">
        <f t="shared" si="265"/>
        <v>0.0133427661832331</v>
      </c>
      <c r="AM101" s="4"/>
      <c r="AN101" s="4"/>
      <c r="AO101" s="4">
        <f t="shared" ref="AO101:AU101" si="266">AO34-AO35</f>
        <v>0.011840997136601</v>
      </c>
      <c r="AP101" s="4">
        <f t="shared" si="266"/>
        <v>0.011377245508982</v>
      </c>
      <c r="AQ101" s="4">
        <f t="shared" si="266"/>
        <v>0.0117668161434977</v>
      </c>
      <c r="AR101" s="4">
        <f t="shared" si="266"/>
        <v>0.0120924943138741</v>
      </c>
      <c r="AS101" s="4">
        <f t="shared" si="266"/>
        <v>0.0122878985642364</v>
      </c>
      <c r="AT101" s="4">
        <f t="shared" si="266"/>
        <v>0.00839127163280662</v>
      </c>
      <c r="AU101" s="4">
        <f t="shared" si="266"/>
        <v>0.00986204457021578</v>
      </c>
    </row>
    <row r="102" ht="15.5" spans="21:47">
      <c r="U102" s="3"/>
      <c r="V102" s="19" t="s">
        <v>263</v>
      </c>
      <c r="W102" s="4">
        <f t="shared" ref="W102:AC102" si="267">W36</f>
        <v>0.0404413003200269</v>
      </c>
      <c r="X102" s="4">
        <f t="shared" si="267"/>
        <v>0.0389734816082122</v>
      </c>
      <c r="Y102" s="4">
        <f t="shared" si="267"/>
        <v>0.0403408071748879</v>
      </c>
      <c r="Z102" s="4">
        <f t="shared" si="267"/>
        <v>0.0420204700530705</v>
      </c>
      <c r="AA102" s="4">
        <f t="shared" si="267"/>
        <v>0.0428118590341227</v>
      </c>
      <c r="AB102" s="4">
        <f t="shared" si="267"/>
        <v>0.0338449962377728</v>
      </c>
      <c r="AC102" s="4">
        <f t="shared" si="267"/>
        <v>0.0397771489211178</v>
      </c>
      <c r="AD102" s="4"/>
      <c r="AE102" s="4"/>
      <c r="AF102" s="4">
        <f t="shared" ref="AF102:AL102" si="268">AF36</f>
        <v>0.0404413003200269</v>
      </c>
      <c r="AG102" s="4">
        <f t="shared" si="268"/>
        <v>0.0389734816082122</v>
      </c>
      <c r="AH102" s="4">
        <f t="shared" si="268"/>
        <v>0.0403408071748879</v>
      </c>
      <c r="AI102" s="4">
        <f t="shared" si="268"/>
        <v>0.0420204700530705</v>
      </c>
      <c r="AJ102" s="4">
        <f t="shared" si="268"/>
        <v>0.0428118590341227</v>
      </c>
      <c r="AK102" s="4">
        <f t="shared" si="268"/>
        <v>0.0389217456734387</v>
      </c>
      <c r="AL102" s="4">
        <f t="shared" si="268"/>
        <v>0.0457437212592855</v>
      </c>
      <c r="AM102" s="4"/>
      <c r="AN102" s="4"/>
      <c r="AO102" s="4">
        <f t="shared" ref="AO102:AU102" si="269">AO36</f>
        <v>0.0404413003200269</v>
      </c>
      <c r="AP102" s="4">
        <f t="shared" si="269"/>
        <v>0.0389734816082122</v>
      </c>
      <c r="AQ102" s="4">
        <f t="shared" si="269"/>
        <v>0.0403408071748879</v>
      </c>
      <c r="AR102" s="4">
        <f t="shared" si="269"/>
        <v>0.0420204700530705</v>
      </c>
      <c r="AS102" s="4">
        <f t="shared" si="269"/>
        <v>0.0428118590341227</v>
      </c>
      <c r="AT102" s="4">
        <f t="shared" si="269"/>
        <v>0.0287682468021069</v>
      </c>
      <c r="AU102" s="4">
        <f t="shared" si="269"/>
        <v>0.0338105765829501</v>
      </c>
    </row>
    <row r="103" ht="15.5" spans="21:47">
      <c r="U103" s="3"/>
      <c r="V103" s="18" t="s">
        <v>264</v>
      </c>
      <c r="W103" s="4">
        <f t="shared" ref="W103:AC103" si="270">W37</f>
        <v>0.0870304867778339</v>
      </c>
      <c r="X103" s="4">
        <f t="shared" si="270"/>
        <v>0.0843627031650984</v>
      </c>
      <c r="Y103" s="4">
        <f t="shared" si="270"/>
        <v>0.0874439461883408</v>
      </c>
      <c r="Z103" s="4">
        <f t="shared" si="270"/>
        <v>0.0881918119787718</v>
      </c>
      <c r="AA103" s="4">
        <f t="shared" si="270"/>
        <v>0.0922245012120082</v>
      </c>
      <c r="AB103" s="4">
        <f t="shared" si="270"/>
        <v>0.0733634311512415</v>
      </c>
      <c r="AC103" s="4">
        <f t="shared" si="270"/>
        <v>0.0862221436151397</v>
      </c>
      <c r="AD103" s="4"/>
      <c r="AE103" s="4"/>
      <c r="AF103" s="4">
        <f t="shared" ref="AF103:AL103" si="271">AF37</f>
        <v>0.0870304867778339</v>
      </c>
      <c r="AG103" s="4">
        <f t="shared" si="271"/>
        <v>0.0843627031650984</v>
      </c>
      <c r="AH103" s="4">
        <f t="shared" si="271"/>
        <v>0.0874439461883408</v>
      </c>
      <c r="AI103" s="4">
        <f t="shared" si="271"/>
        <v>0.0881918119787718</v>
      </c>
      <c r="AJ103" s="4">
        <f t="shared" si="271"/>
        <v>0.0922245012120082</v>
      </c>
      <c r="AK103" s="4">
        <f t="shared" si="271"/>
        <v>0.0843679458239278</v>
      </c>
      <c r="AL103" s="4">
        <f t="shared" si="271"/>
        <v>0.0991554651574107</v>
      </c>
      <c r="AM103" s="4"/>
      <c r="AN103" s="4"/>
      <c r="AO103" s="4">
        <f t="shared" ref="AO103:AU103" si="272">AO37</f>
        <v>0.0870304867778339</v>
      </c>
      <c r="AP103" s="4">
        <f t="shared" si="272"/>
        <v>0.0843627031650984</v>
      </c>
      <c r="AQ103" s="4">
        <f t="shared" si="272"/>
        <v>0.0874439461883408</v>
      </c>
      <c r="AR103" s="4">
        <f t="shared" si="272"/>
        <v>0.0881918119787718</v>
      </c>
      <c r="AS103" s="4">
        <f t="shared" si="272"/>
        <v>0.0922245012120082</v>
      </c>
      <c r="AT103" s="4">
        <f t="shared" si="272"/>
        <v>0.0623589164785553</v>
      </c>
      <c r="AU103" s="4">
        <f t="shared" si="272"/>
        <v>0.0732888220728688</v>
      </c>
    </row>
    <row r="104" ht="15.5" spans="21:47">
      <c r="U104" s="3"/>
      <c r="V104" s="18" t="s">
        <v>265</v>
      </c>
      <c r="W104" s="4">
        <f t="shared" ref="W104:AC104" si="273">W38</f>
        <v>0.0133569142664645</v>
      </c>
      <c r="X104" s="4">
        <f t="shared" si="273"/>
        <v>0.0131907613344739</v>
      </c>
      <c r="Y104" s="4">
        <f t="shared" si="273"/>
        <v>0.0137399103139013</v>
      </c>
      <c r="Z104" s="4">
        <f t="shared" si="273"/>
        <v>0.0141015921152388</v>
      </c>
      <c r="AA104" s="4">
        <f t="shared" si="273"/>
        <v>0.0143016968114861</v>
      </c>
      <c r="AB104" s="4">
        <f t="shared" si="273"/>
        <v>0.0115274642588412</v>
      </c>
      <c r="AC104" s="4">
        <f t="shared" si="273"/>
        <v>0.0135479306685532</v>
      </c>
      <c r="AD104" s="4"/>
      <c r="AE104" s="4"/>
      <c r="AF104" s="4">
        <f t="shared" ref="AF104:AL104" si="274">AF38</f>
        <v>0.0133569142664645</v>
      </c>
      <c r="AG104" s="4">
        <f t="shared" si="274"/>
        <v>0.0131907613344739</v>
      </c>
      <c r="AH104" s="4">
        <f t="shared" si="274"/>
        <v>0.0137399103139013</v>
      </c>
      <c r="AI104" s="4">
        <f t="shared" si="274"/>
        <v>0.0141015921152388</v>
      </c>
      <c r="AJ104" s="4">
        <f t="shared" si="274"/>
        <v>0.0143016968114861</v>
      </c>
      <c r="AK104" s="4">
        <f t="shared" si="274"/>
        <v>0.0132565838976674</v>
      </c>
      <c r="AL104" s="4">
        <f t="shared" si="274"/>
        <v>0.0155801202688362</v>
      </c>
      <c r="AM104" s="4"/>
      <c r="AN104" s="4"/>
      <c r="AO104" s="4">
        <f t="shared" ref="AO104:AU104" si="275">AO38</f>
        <v>0.0133569142664645</v>
      </c>
      <c r="AP104" s="4">
        <f t="shared" si="275"/>
        <v>0.0131907613344739</v>
      </c>
      <c r="AQ104" s="4">
        <f t="shared" si="275"/>
        <v>0.0137399103139013</v>
      </c>
      <c r="AR104" s="4">
        <f t="shared" si="275"/>
        <v>0.0141015921152388</v>
      </c>
      <c r="AS104" s="4">
        <f t="shared" si="275"/>
        <v>0.0143016968114861</v>
      </c>
      <c r="AT104" s="4">
        <f t="shared" si="275"/>
        <v>0.00979834462001505</v>
      </c>
      <c r="AU104" s="4">
        <f t="shared" si="275"/>
        <v>0.0115157410682703</v>
      </c>
    </row>
    <row r="105" ht="15.5" spans="21:47">
      <c r="U105" s="26" t="s">
        <v>239</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4"/>
      <c r="AE105" s="4"/>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4"/>
      <c r="AN105" s="4"/>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263</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4"/>
      <c r="AE106" s="4"/>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4"/>
      <c r="AN106" s="4"/>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264</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4"/>
      <c r="AE107" s="4"/>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4"/>
      <c r="AN107" s="4"/>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265</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4"/>
      <c r="AE108" s="4"/>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4"/>
      <c r="AN108" s="4"/>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4"/>
      <c r="V112" s="4"/>
      <c r="W112" s="4" t="s">
        <v>232</v>
      </c>
      <c r="X112" s="4" t="s">
        <v>233</v>
      </c>
      <c r="Y112" s="8" t="s">
        <v>234</v>
      </c>
      <c r="Z112" s="4" t="s">
        <v>235</v>
      </c>
      <c r="AA112" s="4" t="s">
        <v>236</v>
      </c>
      <c r="AB112" s="10" t="s">
        <v>237</v>
      </c>
      <c r="AC112" s="10" t="s">
        <v>238</v>
      </c>
      <c r="AD112" s="4"/>
      <c r="AE112" s="4"/>
      <c r="AF112" s="4" t="s">
        <v>232</v>
      </c>
      <c r="AG112" s="4" t="s">
        <v>233</v>
      </c>
      <c r="AH112" s="8" t="s">
        <v>234</v>
      </c>
      <c r="AI112" s="4" t="s">
        <v>235</v>
      </c>
      <c r="AJ112" s="4" t="s">
        <v>236</v>
      </c>
      <c r="AK112" s="10" t="s">
        <v>237</v>
      </c>
      <c r="AL112" s="10" t="s">
        <v>238</v>
      </c>
      <c r="AM112" s="4"/>
      <c r="AN112" s="4"/>
      <c r="AO112" s="4" t="s">
        <v>232</v>
      </c>
      <c r="AP112" s="4" t="s">
        <v>233</v>
      </c>
      <c r="AQ112" s="8" t="s">
        <v>234</v>
      </c>
      <c r="AR112" s="4" t="s">
        <v>235</v>
      </c>
      <c r="AS112" s="4" t="s">
        <v>236</v>
      </c>
      <c r="AT112" s="10" t="s">
        <v>237</v>
      </c>
      <c r="AU112" s="10"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263</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264</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265</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263</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264</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4"/>
      <c r="AE119" s="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4"/>
      <c r="AN119" s="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265</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4"/>
      <c r="AE120" s="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4"/>
      <c r="AN120" s="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266</v>
      </c>
      <c r="V121" s="18" t="s">
        <v>105</v>
      </c>
      <c r="W121" s="4">
        <f t="shared" ref="W121:AC121" si="312">W54-W55</f>
        <v>0.00810173488293751</v>
      </c>
      <c r="X121" s="4">
        <f t="shared" si="312"/>
        <v>0.00786997433704022</v>
      </c>
      <c r="Y121" s="4">
        <f t="shared" si="312"/>
        <v>0.00817937219730942</v>
      </c>
      <c r="Z121" s="4">
        <f t="shared" si="312"/>
        <v>0.00816906747536013</v>
      </c>
      <c r="AA121" s="4">
        <f t="shared" si="312"/>
        <v>0.00826030206973706</v>
      </c>
      <c r="AB121" s="4">
        <f t="shared" si="312"/>
        <v>0.00686230248306997</v>
      </c>
      <c r="AC121" s="4">
        <f t="shared" si="312"/>
        <v>0.00806508666430845</v>
      </c>
      <c r="AD121" s="4"/>
      <c r="AE121" s="4"/>
      <c r="AF121" s="4">
        <f t="shared" ref="AF121:AL121" si="313">AF54-AF55</f>
        <v>0.00810173488293751</v>
      </c>
      <c r="AG121" s="4">
        <f t="shared" si="313"/>
        <v>0.00786997433704022</v>
      </c>
      <c r="AH121" s="4">
        <f t="shared" si="313"/>
        <v>0.00817937219730942</v>
      </c>
      <c r="AI121" s="4">
        <f t="shared" si="313"/>
        <v>0.00816906747536013</v>
      </c>
      <c r="AJ121" s="4">
        <f t="shared" si="313"/>
        <v>0.00826030206973706</v>
      </c>
      <c r="AK121" s="4">
        <f t="shared" si="313"/>
        <v>0.00789164785553047</v>
      </c>
      <c r="AL121" s="4">
        <f t="shared" si="313"/>
        <v>0.00927484966395473</v>
      </c>
      <c r="AM121" s="4"/>
      <c r="AN121" s="4"/>
      <c r="AO121" s="4">
        <f t="shared" ref="AO121:AU121" si="314">AO54-AO55</f>
        <v>0.00810173488293751</v>
      </c>
      <c r="AP121" s="4">
        <f t="shared" si="314"/>
        <v>0.00786997433704022</v>
      </c>
      <c r="AQ121" s="4">
        <f t="shared" si="314"/>
        <v>0.00817937219730942</v>
      </c>
      <c r="AR121" s="4">
        <f t="shared" si="314"/>
        <v>0.00816906747536013</v>
      </c>
      <c r="AS121" s="4">
        <f t="shared" si="314"/>
        <v>0.00826030206973706</v>
      </c>
      <c r="AT121" s="4">
        <f t="shared" si="314"/>
        <v>0.00583295711060948</v>
      </c>
      <c r="AU121" s="4">
        <f t="shared" si="314"/>
        <v>0.00685532366466218</v>
      </c>
    </row>
    <row r="122" ht="15.5" spans="21:47">
      <c r="U122" s="3"/>
      <c r="V122" s="19" t="s">
        <v>263</v>
      </c>
      <c r="W122" s="4">
        <f t="shared" ref="W122:AC122" si="315">W56</f>
        <v>0.0319690079164561</v>
      </c>
      <c r="X122" s="4">
        <f t="shared" si="315"/>
        <v>0.0310692899914457</v>
      </c>
      <c r="Y122" s="4">
        <f t="shared" si="315"/>
        <v>0.0322331838565022</v>
      </c>
      <c r="Z122" s="4">
        <f t="shared" si="315"/>
        <v>0.0321645185746778</v>
      </c>
      <c r="AA122" s="4">
        <f t="shared" si="315"/>
        <v>0.0325750512772702</v>
      </c>
      <c r="AB122" s="4">
        <f t="shared" si="315"/>
        <v>0.0270428893905192</v>
      </c>
      <c r="AC122" s="4">
        <f t="shared" si="315"/>
        <v>0.0317828086310577</v>
      </c>
      <c r="AD122" s="4"/>
      <c r="AE122" s="4"/>
      <c r="AF122" s="4">
        <f t="shared" ref="AF122:AL122" si="316">AF56</f>
        <v>0.0319690079164561</v>
      </c>
      <c r="AG122" s="4">
        <f t="shared" si="316"/>
        <v>0.0310692899914457</v>
      </c>
      <c r="AH122" s="4">
        <f t="shared" si="316"/>
        <v>0.0322331838565022</v>
      </c>
      <c r="AI122" s="4">
        <f t="shared" si="316"/>
        <v>0.0321645185746778</v>
      </c>
      <c r="AJ122" s="4">
        <f t="shared" si="316"/>
        <v>0.0325750512772702</v>
      </c>
      <c r="AK122" s="4">
        <f t="shared" si="316"/>
        <v>0.0310993227990971</v>
      </c>
      <c r="AL122" s="4">
        <f t="shared" si="316"/>
        <v>0.0365502299257163</v>
      </c>
      <c r="AM122" s="4"/>
      <c r="AN122" s="4"/>
      <c r="AO122" s="4">
        <f t="shared" ref="AO122:AU122" si="317">AO56</f>
        <v>0.0319690079164561</v>
      </c>
      <c r="AP122" s="4">
        <f t="shared" si="317"/>
        <v>0.0310692899914457</v>
      </c>
      <c r="AQ122" s="4">
        <f t="shared" si="317"/>
        <v>0.0322331838565022</v>
      </c>
      <c r="AR122" s="4">
        <f t="shared" si="317"/>
        <v>0.0321645185746778</v>
      </c>
      <c r="AS122" s="4">
        <f t="shared" si="317"/>
        <v>0.0325750512772702</v>
      </c>
      <c r="AT122" s="4">
        <f t="shared" si="317"/>
        <v>0.0229864559819413</v>
      </c>
      <c r="AU122" s="4">
        <f t="shared" si="317"/>
        <v>0.027015387336399</v>
      </c>
    </row>
    <row r="123" ht="15.5" spans="21:47">
      <c r="U123" s="3"/>
      <c r="V123" s="18" t="s">
        <v>264</v>
      </c>
      <c r="W123" s="4">
        <f t="shared" ref="W123:AC123" si="318">W57</f>
        <v>0.0557183762843187</v>
      </c>
      <c r="X123" s="4">
        <f t="shared" si="318"/>
        <v>0.055158254918734</v>
      </c>
      <c r="Y123" s="4">
        <f t="shared" si="318"/>
        <v>0.0574887892376682</v>
      </c>
      <c r="Z123" s="4">
        <f t="shared" si="318"/>
        <v>0.0587755875663381</v>
      </c>
      <c r="AA123" s="4">
        <f t="shared" si="318"/>
        <v>0.0587544284915159</v>
      </c>
      <c r="AB123" s="4">
        <f t="shared" si="318"/>
        <v>0.0482317531978932</v>
      </c>
      <c r="AC123" s="4">
        <f t="shared" si="318"/>
        <v>0.0566855323664662</v>
      </c>
      <c r="AD123" s="4"/>
      <c r="AE123" s="4"/>
      <c r="AF123" s="4">
        <f t="shared" ref="AF123:AL123" si="319">AF57</f>
        <v>0.0557183762843187</v>
      </c>
      <c r="AG123" s="4">
        <f t="shared" si="319"/>
        <v>0.055158254918734</v>
      </c>
      <c r="AH123" s="4">
        <f t="shared" si="319"/>
        <v>0.0574887892376682</v>
      </c>
      <c r="AI123" s="4">
        <f t="shared" si="319"/>
        <v>0.0587755875663381</v>
      </c>
      <c r="AJ123" s="4">
        <f t="shared" si="319"/>
        <v>0.0587544284915159</v>
      </c>
      <c r="AK123" s="4">
        <f t="shared" si="319"/>
        <v>0.0554665161775771</v>
      </c>
      <c r="AL123" s="4">
        <f t="shared" si="319"/>
        <v>0.0651883622214361</v>
      </c>
      <c r="AM123" s="4"/>
      <c r="AN123" s="4"/>
      <c r="AO123" s="4">
        <f t="shared" ref="AO123:AU123" si="320">AO57</f>
        <v>0.0557183762843187</v>
      </c>
      <c r="AP123" s="4">
        <f t="shared" si="320"/>
        <v>0.055158254918734</v>
      </c>
      <c r="AQ123" s="4">
        <f t="shared" si="320"/>
        <v>0.0574887892376682</v>
      </c>
      <c r="AR123" s="4">
        <f t="shared" si="320"/>
        <v>0.0587755875663381</v>
      </c>
      <c r="AS123" s="4">
        <f t="shared" si="320"/>
        <v>0.0587544284915159</v>
      </c>
      <c r="AT123" s="4">
        <f t="shared" si="320"/>
        <v>0.0409969902182092</v>
      </c>
      <c r="AU123" s="4">
        <f t="shared" si="320"/>
        <v>0.0481827025114963</v>
      </c>
    </row>
    <row r="124" ht="15.5" spans="21:47">
      <c r="U124" s="3"/>
      <c r="V124" s="18" t="s">
        <v>265</v>
      </c>
      <c r="W124" s="4">
        <f t="shared" ref="W124:AC124" si="321">W58</f>
        <v>0.0130537308404918</v>
      </c>
      <c r="X124" s="4">
        <f t="shared" si="321"/>
        <v>0.0129170230966638</v>
      </c>
      <c r="Y124" s="4">
        <f t="shared" si="321"/>
        <v>0.0134529147982063</v>
      </c>
      <c r="Z124" s="4">
        <f t="shared" si="321"/>
        <v>0.0136846095526914</v>
      </c>
      <c r="AA124" s="4">
        <f t="shared" si="321"/>
        <v>0.0137236621294052</v>
      </c>
      <c r="AB124" s="4">
        <f t="shared" si="321"/>
        <v>0.0112866817155756</v>
      </c>
      <c r="AC124" s="4">
        <f t="shared" si="321"/>
        <v>0.01326494517156</v>
      </c>
      <c r="AD124" s="4"/>
      <c r="AE124" s="4"/>
      <c r="AF124" s="4">
        <f t="shared" ref="AF124:AL124" si="322">AF58</f>
        <v>0.0130537308404918</v>
      </c>
      <c r="AG124" s="4">
        <f t="shared" si="322"/>
        <v>0.0129170230966638</v>
      </c>
      <c r="AH124" s="4">
        <f t="shared" si="322"/>
        <v>0.0134529147982063</v>
      </c>
      <c r="AI124" s="4">
        <f t="shared" si="322"/>
        <v>0.0136846095526914</v>
      </c>
      <c r="AJ124" s="4">
        <f t="shared" si="322"/>
        <v>0.0137236621294052</v>
      </c>
      <c r="AK124" s="4">
        <f t="shared" si="322"/>
        <v>0.012979683972912</v>
      </c>
      <c r="AL124" s="4">
        <f t="shared" si="322"/>
        <v>0.0152546869472939</v>
      </c>
      <c r="AM124" s="4"/>
      <c r="AN124" s="4"/>
      <c r="AO124" s="4">
        <f t="shared" ref="AO124:AU124" si="323">AO58</f>
        <v>0.0130537308404918</v>
      </c>
      <c r="AP124" s="4">
        <f t="shared" si="323"/>
        <v>0.0129170230966638</v>
      </c>
      <c r="AQ124" s="4">
        <f t="shared" si="323"/>
        <v>0.0134529147982063</v>
      </c>
      <c r="AR124" s="4">
        <f t="shared" si="323"/>
        <v>0.0136846095526914</v>
      </c>
      <c r="AS124" s="4">
        <f t="shared" si="323"/>
        <v>0.0137236621294052</v>
      </c>
      <c r="AT124" s="4">
        <f t="shared" si="323"/>
        <v>0.00959367945823928</v>
      </c>
      <c r="AU124" s="4">
        <f t="shared" si="323"/>
        <v>0.011275203395826</v>
      </c>
    </row>
    <row r="125" ht="15.5" spans="21:47">
      <c r="U125" s="26" t="s">
        <v>239</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4"/>
      <c r="AE125" s="4"/>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4"/>
      <c r="AN125" s="4"/>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263</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4"/>
      <c r="AE126" s="4"/>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4"/>
      <c r="AN126" s="4"/>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264</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4"/>
      <c r="AE127" s="4"/>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4"/>
      <c r="AN127" s="4"/>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265</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4"/>
      <c r="AE128" s="4"/>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4"/>
      <c r="AN128" s="4"/>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53">
      <c r="U160" s="21"/>
      <c r="V160" s="22" t="s">
        <v>215</v>
      </c>
      <c r="W160" s="21"/>
      <c r="Y160" s="23"/>
      <c r="Z160" s="21"/>
      <c r="AA160" s="22" t="s">
        <v>215</v>
      </c>
      <c r="AB160" s="21"/>
      <c r="AD160" s="23"/>
      <c r="AE160" s="21"/>
      <c r="AF160" s="22" t="s">
        <v>215</v>
      </c>
      <c r="AG160" s="21"/>
      <c r="AI160" s="23"/>
      <c r="AJ160" s="21"/>
      <c r="AK160" s="22" t="s">
        <v>215</v>
      </c>
      <c r="AL160" s="21"/>
      <c r="AN160" s="23"/>
      <c r="AO160" s="21"/>
      <c r="AP160" s="22" t="s">
        <v>215</v>
      </c>
      <c r="AQ160" s="21"/>
      <c r="AS160" s="23"/>
      <c r="AT160" s="21"/>
      <c r="AU160" s="22" t="s">
        <v>215</v>
      </c>
      <c r="AV160" s="21"/>
      <c r="AW160" s="23"/>
      <c r="AY160" s="21"/>
      <c r="AZ160" s="22" t="s">
        <v>215</v>
      </c>
      <c r="BA160" s="21"/>
    </row>
    <row r="161" ht="15.5" spans="21:53">
      <c r="U161" s="22" t="s">
        <v>64</v>
      </c>
      <c r="V161" s="22" t="s">
        <v>95</v>
      </c>
      <c r="W161" s="22" t="s">
        <v>25</v>
      </c>
      <c r="Y161" s="23"/>
      <c r="Z161" s="22" t="s">
        <v>64</v>
      </c>
      <c r="AA161" s="22" t="s">
        <v>95</v>
      </c>
      <c r="AB161" s="22" t="s">
        <v>25</v>
      </c>
      <c r="AD161" s="23"/>
      <c r="AE161" s="22" t="s">
        <v>64</v>
      </c>
      <c r="AF161" s="22" t="s">
        <v>95</v>
      </c>
      <c r="AG161" s="22" t="s">
        <v>25</v>
      </c>
      <c r="AI161" s="23"/>
      <c r="AJ161" s="22" t="s">
        <v>64</v>
      </c>
      <c r="AK161" s="22" t="s">
        <v>95</v>
      </c>
      <c r="AL161" s="22" t="s">
        <v>25</v>
      </c>
      <c r="AN161" s="23"/>
      <c r="AO161" s="22" t="s">
        <v>64</v>
      </c>
      <c r="AP161" s="22" t="s">
        <v>95</v>
      </c>
      <c r="AQ161" s="22" t="s">
        <v>25</v>
      </c>
      <c r="AS161" s="23"/>
      <c r="AT161" s="22" t="s">
        <v>64</v>
      </c>
      <c r="AU161" s="22" t="s">
        <v>95</v>
      </c>
      <c r="AV161" s="22" t="s">
        <v>25</v>
      </c>
      <c r="AW161" s="23"/>
      <c r="AY161" s="22" t="s">
        <v>64</v>
      </c>
      <c r="AZ161" s="22" t="s">
        <v>95</v>
      </c>
      <c r="BA161" s="22" t="s">
        <v>25</v>
      </c>
    </row>
    <row r="162" ht="15.5" spans="21:53">
      <c r="U162" s="23" t="s">
        <v>189</v>
      </c>
      <c r="V162" s="24" t="s">
        <v>217</v>
      </c>
      <c r="W162" s="23">
        <f t="shared" ref="W162:W165" si="336">W85</f>
        <v>0.0105103587670541</v>
      </c>
      <c r="Y162" s="23"/>
      <c r="Z162" s="23" t="s">
        <v>190</v>
      </c>
      <c r="AA162" s="24" t="s">
        <v>217</v>
      </c>
      <c r="AB162" s="23">
        <f t="shared" ref="AB162:AB165" si="337">X85</f>
        <v>0.0100940975192472</v>
      </c>
      <c r="AD162" s="23"/>
      <c r="AE162" s="23" t="s">
        <v>191</v>
      </c>
      <c r="AF162" s="24" t="s">
        <v>217</v>
      </c>
      <c r="AG162" s="23">
        <f t="shared" ref="AG162:AG165" si="338">Y85</f>
        <v>0.0103856502242152</v>
      </c>
      <c r="AI162" s="23"/>
      <c r="AJ162" s="23" t="s">
        <v>192</v>
      </c>
      <c r="AK162" s="24" t="s">
        <v>217</v>
      </c>
      <c r="AL162" s="23">
        <f t="shared" ref="AL162:AL165" si="339">Z85</f>
        <v>0.0114291129643669</v>
      </c>
      <c r="AN162" s="23"/>
      <c r="AO162" s="23" t="s">
        <v>188</v>
      </c>
      <c r="AP162" s="24" t="s">
        <v>217</v>
      </c>
      <c r="AQ162" s="23">
        <f t="shared" ref="AQ162:AQ165" si="340">AA85</f>
        <v>0.0115979862017528</v>
      </c>
      <c r="AS162" s="23"/>
      <c r="AT162" s="23" t="s">
        <v>187</v>
      </c>
      <c r="AU162" s="24" t="s">
        <v>217</v>
      </c>
      <c r="AV162" s="23">
        <f t="shared" ref="AV162:AV165" si="341">AB85</f>
        <v>0.00871331828442437</v>
      </c>
      <c r="AW162" s="23"/>
      <c r="AY162" s="23" t="s">
        <v>186</v>
      </c>
      <c r="AZ162" s="24" t="s">
        <v>217</v>
      </c>
      <c r="BA162" s="23">
        <f t="shared" ref="BA162:BA165" si="342">AC85</f>
        <v>0.0102405376724443</v>
      </c>
    </row>
    <row r="163" ht="15.5" spans="21:53">
      <c r="U163" s="23" t="str">
        <f>U162</f>
        <v>PyroRecy-NMC111</v>
      </c>
      <c r="V163" s="24" t="s">
        <v>224</v>
      </c>
      <c r="W163" s="23">
        <f t="shared" si="336"/>
        <v>0.0289203301330638</v>
      </c>
      <c r="Y163" s="23"/>
      <c r="Z163" s="23" t="str">
        <f t="shared" ref="Z163:Z165" si="343">Z162</f>
        <v>PyroRecy-NMC532</v>
      </c>
      <c r="AA163" s="24" t="s">
        <v>224</v>
      </c>
      <c r="AB163" s="23">
        <f t="shared" si="337"/>
        <v>0.0275620188195039</v>
      </c>
      <c r="AD163" s="23"/>
      <c r="AE163" s="23" t="str">
        <f t="shared" ref="AE163:AE165" si="344">AE162</f>
        <v>PyroRecy-NMC622</v>
      </c>
      <c r="AF163" s="24" t="s">
        <v>224</v>
      </c>
      <c r="AG163" s="23">
        <f t="shared" si="338"/>
        <v>0.028322869955157</v>
      </c>
      <c r="AI163" s="23"/>
      <c r="AJ163" s="23" t="str">
        <f t="shared" ref="AJ163:AJ165" si="345">AJ162</f>
        <v>PyroRecy-NMC811</v>
      </c>
      <c r="AK163" s="24" t="s">
        <v>224</v>
      </c>
      <c r="AL163" s="23">
        <f t="shared" si="339"/>
        <v>0.0288286580742987</v>
      </c>
      <c r="AN163" s="23"/>
      <c r="AO163" s="23" t="str">
        <f t="shared" ref="AO163:AO165" si="346">AO162</f>
        <v>PyroRecy-NCA</v>
      </c>
      <c r="AP163" s="24" t="s">
        <v>224</v>
      </c>
      <c r="AQ163" s="23">
        <f t="shared" si="340"/>
        <v>0.0296102927465971</v>
      </c>
      <c r="AS163" s="23"/>
      <c r="AT163" s="23" t="str">
        <f t="shared" ref="AT163:AT165" si="347">AT162</f>
        <v>PyroRecy-LMO</v>
      </c>
      <c r="AU163" s="24" t="s">
        <v>224</v>
      </c>
      <c r="AV163" s="23">
        <f t="shared" si="341"/>
        <v>0.0237622272385252</v>
      </c>
      <c r="AW163" s="23"/>
      <c r="AY163" s="23" t="str">
        <f t="shared" ref="AY163:AY165" si="348">AY162</f>
        <v>PyroRecy-LFP</v>
      </c>
      <c r="AZ163" s="24" t="s">
        <v>224</v>
      </c>
      <c r="BA163" s="23">
        <f t="shared" si="342"/>
        <v>0.0279271312345242</v>
      </c>
    </row>
    <row r="164" ht="15.5" spans="21:53">
      <c r="U164" s="23" t="str">
        <f>U163</f>
        <v>PyroRecy-NMC111</v>
      </c>
      <c r="V164" s="24" t="s">
        <v>225</v>
      </c>
      <c r="W164" s="23">
        <f t="shared" si="336"/>
        <v>0.0836617820448038</v>
      </c>
      <c r="Y164" s="23"/>
      <c r="Z164" s="23" t="str">
        <f t="shared" si="343"/>
        <v>PyroRecy-NMC532</v>
      </c>
      <c r="AA164" s="24" t="s">
        <v>225</v>
      </c>
      <c r="AB164" s="23">
        <f t="shared" si="337"/>
        <v>0.0814029084687767</v>
      </c>
      <c r="AD164" s="23"/>
      <c r="AE164" s="23" t="str">
        <f t="shared" si="344"/>
        <v>PyroRecy-NMC622</v>
      </c>
      <c r="AF164" s="24" t="s">
        <v>225</v>
      </c>
      <c r="AG164" s="23">
        <f t="shared" si="338"/>
        <v>0.0843946188340807</v>
      </c>
      <c r="AI164" s="23"/>
      <c r="AJ164" s="23" t="str">
        <f t="shared" si="345"/>
        <v>PyroRecy-NMC811</v>
      </c>
      <c r="AK164" s="24" t="s">
        <v>225</v>
      </c>
      <c r="AL164" s="23">
        <f t="shared" si="339"/>
        <v>0.0884192570128886</v>
      </c>
      <c r="AN164" s="23"/>
      <c r="AO164" s="23" t="str">
        <f t="shared" si="346"/>
        <v>PyroRecy-NCA</v>
      </c>
      <c r="AP164" s="24" t="s">
        <v>225</v>
      </c>
      <c r="AQ164" s="23">
        <f t="shared" si="340"/>
        <v>0.092485549132948</v>
      </c>
      <c r="AS164" s="23"/>
      <c r="AT164" s="23" t="str">
        <f t="shared" si="347"/>
        <v>PyroRecy-LMO</v>
      </c>
      <c r="AU164" s="24" t="s">
        <v>225</v>
      </c>
      <c r="AV164" s="23">
        <f t="shared" si="341"/>
        <v>0.0708051166290444</v>
      </c>
      <c r="AW164" s="23"/>
      <c r="AY164" s="23" t="str">
        <f t="shared" si="348"/>
        <v>PyroRecy-LFP</v>
      </c>
      <c r="AZ164" s="24" t="s">
        <v>225</v>
      </c>
      <c r="BA164" s="23">
        <f t="shared" si="342"/>
        <v>0.0832154227095861</v>
      </c>
    </row>
    <row r="165" ht="15.5" spans="21:53">
      <c r="U165" s="23" t="str">
        <f>U164</f>
        <v>PyroRecy-NMC111</v>
      </c>
      <c r="V165" s="24" t="s">
        <v>226</v>
      </c>
      <c r="W165" s="23">
        <f t="shared" si="336"/>
        <v>0.0130200437931615</v>
      </c>
      <c r="Y165" s="25"/>
      <c r="Z165" s="23" t="str">
        <f t="shared" si="343"/>
        <v>PyroRecy-NMC532</v>
      </c>
      <c r="AA165" s="24" t="s">
        <v>226</v>
      </c>
      <c r="AB165" s="23">
        <f t="shared" si="337"/>
        <v>0.0127459366980325</v>
      </c>
      <c r="AD165" s="25"/>
      <c r="AE165" s="23" t="str">
        <f t="shared" si="344"/>
        <v>PyroRecy-NMC622</v>
      </c>
      <c r="AF165" s="24" t="s">
        <v>226</v>
      </c>
      <c r="AG165" s="23">
        <f t="shared" si="338"/>
        <v>0.0132017937219731</v>
      </c>
      <c r="AI165" s="25"/>
      <c r="AJ165" s="23" t="str">
        <f t="shared" si="345"/>
        <v>PyroRecy-NMC811</v>
      </c>
      <c r="AK165" s="24" t="s">
        <v>226</v>
      </c>
      <c r="AL165" s="23">
        <f t="shared" si="339"/>
        <v>0.0144238059135709</v>
      </c>
      <c r="AN165" s="25"/>
      <c r="AO165" s="23" t="str">
        <f t="shared" si="346"/>
        <v>PyroRecy-NCA</v>
      </c>
      <c r="AP165" s="24" t="s">
        <v>226</v>
      </c>
      <c r="AQ165" s="23">
        <f t="shared" si="340"/>
        <v>0.0147119149729629</v>
      </c>
      <c r="AS165" s="25"/>
      <c r="AT165" s="23" t="str">
        <f t="shared" si="347"/>
        <v>PyroRecy-LMO</v>
      </c>
      <c r="AU165" s="24" t="s">
        <v>226</v>
      </c>
      <c r="AV165" s="23">
        <f t="shared" si="341"/>
        <v>0.0110759969902182</v>
      </c>
      <c r="AW165" s="25"/>
      <c r="AY165" s="23" t="str">
        <f t="shared" si="348"/>
        <v>PyroRecy-LFP</v>
      </c>
      <c r="AZ165" s="24" t="s">
        <v>226</v>
      </c>
      <c r="BA165" s="23">
        <f t="shared" si="342"/>
        <v>0.0130173328616908</v>
      </c>
    </row>
    <row r="166" ht="15.5" spans="21:53">
      <c r="U166" s="25"/>
      <c r="V166" s="25"/>
      <c r="W166" s="25"/>
      <c r="Y166" s="25"/>
      <c r="Z166" s="25"/>
      <c r="AA166" s="25"/>
      <c r="AB166" s="25"/>
      <c r="AD166" s="25"/>
      <c r="AE166" s="25"/>
      <c r="AF166" s="25"/>
      <c r="AG166" s="25"/>
      <c r="AI166" s="25"/>
      <c r="AJ166" s="25"/>
      <c r="AK166" s="25"/>
      <c r="AL166" s="25"/>
      <c r="AN166" s="25"/>
      <c r="AO166" s="25"/>
      <c r="AP166" s="25"/>
      <c r="AQ166" s="25"/>
      <c r="AS166" s="25"/>
      <c r="AT166" s="25"/>
      <c r="AU166" s="25"/>
      <c r="AV166" s="25"/>
      <c r="AW166" s="25"/>
      <c r="AY166" s="25"/>
      <c r="AZ166" s="25"/>
      <c r="BA166" s="25"/>
    </row>
    <row r="167" ht="15.5" spans="21:53">
      <c r="U167" s="4"/>
      <c r="V167" s="4"/>
      <c r="W167" s="4"/>
      <c r="Y167" s="4"/>
      <c r="Z167" s="4"/>
      <c r="AA167" s="4"/>
      <c r="AB167" s="4"/>
      <c r="AD167" s="4"/>
      <c r="AE167" s="4"/>
      <c r="AF167" s="4"/>
      <c r="AG167" s="4"/>
      <c r="AI167" s="4"/>
      <c r="AJ167" s="4"/>
      <c r="AK167" s="4"/>
      <c r="AL167" s="4"/>
      <c r="AN167" s="4"/>
      <c r="AO167" s="4"/>
      <c r="AP167" s="4"/>
      <c r="AQ167" s="4"/>
      <c r="AS167" s="4"/>
      <c r="AT167" s="4"/>
      <c r="AU167" s="4"/>
      <c r="AV167" s="4"/>
      <c r="AW167" s="4"/>
      <c r="AY167" s="4"/>
      <c r="AZ167" s="4"/>
      <c r="BA167" s="4"/>
    </row>
    <row r="168" ht="15.5" spans="21:53">
      <c r="U168" s="4"/>
      <c r="V168" s="4"/>
      <c r="W168" s="4"/>
      <c r="Y168" s="4"/>
      <c r="Z168" s="4"/>
      <c r="AA168" s="4"/>
      <c r="AB168" s="4"/>
      <c r="AD168" s="4"/>
      <c r="AE168" s="4"/>
      <c r="AF168" s="4"/>
      <c r="AG168" s="4"/>
      <c r="AI168" s="4"/>
      <c r="AJ168" s="4"/>
      <c r="AK168" s="4"/>
      <c r="AL168" s="4"/>
      <c r="AN168" s="4"/>
      <c r="AO168" s="4"/>
      <c r="AP168" s="4"/>
      <c r="AQ168" s="4"/>
      <c r="AS168" s="4"/>
      <c r="AT168" s="4"/>
      <c r="AU168" s="4"/>
      <c r="AV168" s="4"/>
      <c r="AW168" s="4"/>
      <c r="AY168" s="4"/>
      <c r="AZ168" s="4"/>
      <c r="BA168" s="4"/>
    </row>
    <row r="169" ht="15.5" spans="21:53">
      <c r="U169" s="4"/>
      <c r="V169" s="4"/>
      <c r="W169" s="4"/>
      <c r="Y169" s="4"/>
      <c r="Z169" s="4"/>
      <c r="AA169" s="4"/>
      <c r="AB169" s="4"/>
      <c r="AD169" s="4"/>
      <c r="AE169" s="4"/>
      <c r="AF169" s="4"/>
      <c r="AG169" s="4"/>
      <c r="AI169" s="4"/>
      <c r="AJ169" s="4"/>
      <c r="AK169" s="4"/>
      <c r="AL169" s="4"/>
      <c r="AN169" s="4"/>
      <c r="AO169" s="4"/>
      <c r="AP169" s="4"/>
      <c r="AQ169" s="4"/>
      <c r="AS169" s="4"/>
      <c r="AT169" s="4"/>
      <c r="AU169" s="4"/>
      <c r="AV169" s="4"/>
      <c r="AW169" s="4"/>
      <c r="AY169" s="4"/>
      <c r="AZ169" s="4"/>
      <c r="BA169" s="4"/>
    </row>
    <row r="170" ht="15.5" spans="21:53">
      <c r="U170" s="4"/>
      <c r="V170" s="4"/>
      <c r="W170" s="4"/>
      <c r="Y170" s="4"/>
      <c r="Z170" s="4"/>
      <c r="AA170" s="4"/>
      <c r="AB170" s="4"/>
      <c r="AD170" s="4"/>
      <c r="AE170" s="4"/>
      <c r="AF170" s="4"/>
      <c r="AG170" s="4"/>
      <c r="AI170" s="4"/>
      <c r="AJ170" s="4"/>
      <c r="AK170" s="4"/>
      <c r="AL170" s="4"/>
      <c r="AN170" s="4"/>
      <c r="AO170" s="4"/>
      <c r="AP170" s="4"/>
      <c r="AQ170" s="4"/>
      <c r="AS170" s="4"/>
      <c r="AT170" s="4"/>
      <c r="AU170" s="4"/>
      <c r="AV170" s="4"/>
      <c r="AW170" s="4"/>
      <c r="AY170" s="4"/>
      <c r="AZ170" s="4"/>
      <c r="BA170" s="4"/>
    </row>
    <row r="171" ht="15.5" spans="21:53">
      <c r="U171" s="4"/>
      <c r="V171" s="4"/>
      <c r="W171" s="4"/>
      <c r="Y171" s="4"/>
      <c r="Z171" s="4"/>
      <c r="AA171" s="4"/>
      <c r="AB171" s="4"/>
      <c r="AD171" s="4"/>
      <c r="AE171" s="4"/>
      <c r="AF171" s="4"/>
      <c r="AG171" s="4"/>
      <c r="AI171" s="4"/>
      <c r="AJ171" s="4"/>
      <c r="AK171" s="4"/>
      <c r="AL171" s="4"/>
      <c r="AN171" s="4"/>
      <c r="AO171" s="4"/>
      <c r="AP171" s="4"/>
      <c r="AQ171" s="4"/>
      <c r="AS171" s="4"/>
      <c r="AT171" s="4"/>
      <c r="AU171" s="4"/>
      <c r="AV171" s="4"/>
      <c r="AW171" s="4"/>
      <c r="AY171" s="4"/>
      <c r="AZ171" s="4"/>
      <c r="BA171" s="4"/>
    </row>
    <row r="172" ht="15.5" spans="21:53">
      <c r="U172" s="21"/>
      <c r="V172" s="22" t="s">
        <v>215</v>
      </c>
      <c r="W172" s="21"/>
      <c r="Y172" s="23"/>
      <c r="Z172" s="21"/>
      <c r="AA172" s="22" t="s">
        <v>215</v>
      </c>
      <c r="AB172" s="21"/>
      <c r="AD172" s="23"/>
      <c r="AE172" s="21"/>
      <c r="AF172" s="22" t="s">
        <v>215</v>
      </c>
      <c r="AG172" s="21"/>
      <c r="AI172" s="23"/>
      <c r="AJ172" s="21"/>
      <c r="AK172" s="22" t="s">
        <v>215</v>
      </c>
      <c r="AL172" s="21"/>
      <c r="AN172" s="23"/>
      <c r="AO172" s="21"/>
      <c r="AP172" s="22" t="s">
        <v>215</v>
      </c>
      <c r="AQ172" s="21"/>
      <c r="AS172" s="23"/>
      <c r="AT172" s="21"/>
      <c r="AU172" s="22" t="s">
        <v>215</v>
      </c>
      <c r="AV172" s="21"/>
      <c r="AW172" s="23"/>
      <c r="AY172" s="21"/>
      <c r="AZ172" s="22" t="s">
        <v>215</v>
      </c>
      <c r="BA172" s="21"/>
    </row>
    <row r="173" ht="15.5" spans="21:53">
      <c r="U173" s="22" t="s">
        <v>64</v>
      </c>
      <c r="V173" s="22" t="s">
        <v>95</v>
      </c>
      <c r="W173" s="22" t="s">
        <v>25</v>
      </c>
      <c r="Y173" s="23"/>
      <c r="Z173" s="22" t="s">
        <v>64</v>
      </c>
      <c r="AA173" s="22" t="s">
        <v>95</v>
      </c>
      <c r="AB173" s="22" t="s">
        <v>25</v>
      </c>
      <c r="AD173" s="23"/>
      <c r="AE173" s="22" t="s">
        <v>64</v>
      </c>
      <c r="AF173" s="22" t="s">
        <v>95</v>
      </c>
      <c r="AG173" s="22" t="s">
        <v>25</v>
      </c>
      <c r="AI173" s="23"/>
      <c r="AJ173" s="22" t="s">
        <v>64</v>
      </c>
      <c r="AK173" s="22" t="s">
        <v>95</v>
      </c>
      <c r="AL173" s="22" t="s">
        <v>25</v>
      </c>
      <c r="AN173" s="23"/>
      <c r="AO173" s="22" t="s">
        <v>64</v>
      </c>
      <c r="AP173" s="22" t="s">
        <v>95</v>
      </c>
      <c r="AQ173" s="22" t="s">
        <v>25</v>
      </c>
      <c r="AS173" s="23"/>
      <c r="AT173" s="22" t="s">
        <v>64</v>
      </c>
      <c r="AU173" s="22" t="s">
        <v>95</v>
      </c>
      <c r="AV173" s="22" t="s">
        <v>25</v>
      </c>
      <c r="AW173" s="23"/>
      <c r="AY173" s="22" t="s">
        <v>64</v>
      </c>
      <c r="AZ173" s="22" t="s">
        <v>95</v>
      </c>
      <c r="BA173" s="22" t="s">
        <v>25</v>
      </c>
    </row>
    <row r="174" ht="15.5" spans="21:53">
      <c r="U174" s="23" t="s">
        <v>196</v>
      </c>
      <c r="V174" s="24" t="s">
        <v>217</v>
      </c>
      <c r="W174" s="23">
        <f t="shared" ref="W174:W177" si="349">W105</f>
        <v>0.0115546572342934</v>
      </c>
      <c r="Y174" s="23"/>
      <c r="Z174" s="23" t="s">
        <v>197</v>
      </c>
      <c r="AA174" s="24" t="s">
        <v>217</v>
      </c>
      <c r="AB174" s="23">
        <f t="shared" ref="AB174:AB177" si="350">X105</f>
        <v>0.0110863986313088</v>
      </c>
      <c r="AD174" s="23"/>
      <c r="AE174" s="23" t="s">
        <v>198</v>
      </c>
      <c r="AF174" s="24" t="s">
        <v>217</v>
      </c>
      <c r="AG174" s="23">
        <f t="shared" ref="AG174:AG177" si="351">Y105</f>
        <v>0.0114618834080717</v>
      </c>
      <c r="AI174" s="23"/>
      <c r="AJ174" s="23" t="s">
        <v>199</v>
      </c>
      <c r="AK174" s="24" t="s">
        <v>217</v>
      </c>
      <c r="AL174" s="23">
        <f t="shared" ref="AL174:AL177" si="352">Z105</f>
        <v>0.011751326762699</v>
      </c>
      <c r="AN174" s="23"/>
      <c r="AO174" s="23" t="s">
        <v>195</v>
      </c>
      <c r="AP174" s="24" t="s">
        <v>217</v>
      </c>
      <c r="AQ174" s="23">
        <f t="shared" ref="AQ174:AQ177" si="353">AA105</f>
        <v>0.0119709118030953</v>
      </c>
      <c r="AS174" s="23"/>
      <c r="AT174" s="23" t="s">
        <v>194</v>
      </c>
      <c r="AU174" s="24" t="s">
        <v>217</v>
      </c>
      <c r="AV174" s="23">
        <f t="shared" ref="AV174:AV177" si="354">AB105</f>
        <v>0.00961625282167042</v>
      </c>
      <c r="AW174" s="23"/>
      <c r="AY174" s="23" t="s">
        <v>193</v>
      </c>
      <c r="AZ174" s="24" t="s">
        <v>217</v>
      </c>
      <c r="BA174" s="23">
        <f t="shared" ref="BA174:BA177" si="355">AC105</f>
        <v>0.0113017332861691</v>
      </c>
    </row>
    <row r="175" ht="15.5" spans="21:53">
      <c r="U175" s="23" t="str">
        <f t="shared" ref="U175:U177" si="356">U174</f>
        <v>HydRecy-NMC111</v>
      </c>
      <c r="V175" s="24" t="s">
        <v>224</v>
      </c>
      <c r="W175" s="23">
        <f t="shared" si="349"/>
        <v>0.0252147549267307</v>
      </c>
      <c r="Y175" s="23"/>
      <c r="Z175" s="23" t="str">
        <f t="shared" ref="Z175:Z177" si="357">Z174</f>
        <v>HydRecy-NMC532</v>
      </c>
      <c r="AA175" s="24" t="s">
        <v>224</v>
      </c>
      <c r="AB175" s="23">
        <f t="shared" si="350"/>
        <v>0.0242600513259196</v>
      </c>
      <c r="AD175" s="23"/>
      <c r="AE175" s="23" t="str">
        <f t="shared" ref="AE175:AE177" si="358">AE174</f>
        <v>HydRecy-NMC622</v>
      </c>
      <c r="AF175" s="24" t="s">
        <v>224</v>
      </c>
      <c r="AG175" s="23">
        <f t="shared" si="351"/>
        <v>0.0250941704035874</v>
      </c>
      <c r="AI175" s="23"/>
      <c r="AJ175" s="23" t="str">
        <f t="shared" ref="AJ175:AJ177" si="359">AJ174</f>
        <v>HydRecy-NMC811</v>
      </c>
      <c r="AK175" s="24" t="s">
        <v>224</v>
      </c>
      <c r="AL175" s="23">
        <f t="shared" si="352"/>
        <v>0.0257581501137225</v>
      </c>
      <c r="AN175" s="23"/>
      <c r="AO175" s="23" t="str">
        <f t="shared" ref="AO175:AO177" si="360">AO174</f>
        <v>HydRecy-NCA</v>
      </c>
      <c r="AP175" s="24" t="s">
        <v>224</v>
      </c>
      <c r="AQ175" s="23">
        <f t="shared" si="353"/>
        <v>0.0262539623345143</v>
      </c>
      <c r="AS175" s="23"/>
      <c r="AT175" s="23" t="str">
        <f t="shared" ref="AT175:AT177" si="361">AT174</f>
        <v>HydRecy-LMO</v>
      </c>
      <c r="AU175" s="24" t="s">
        <v>224</v>
      </c>
      <c r="AV175" s="23">
        <f t="shared" si="354"/>
        <v>0.0210534236267871</v>
      </c>
      <c r="AW175" s="23"/>
      <c r="AY175" s="23" t="str">
        <f t="shared" ref="AY175:AY177" si="362">AY174</f>
        <v>HydRecy-LFP</v>
      </c>
      <c r="AZ175" s="24" t="s">
        <v>224</v>
      </c>
      <c r="BA175" s="23">
        <f t="shared" si="355"/>
        <v>0.0247435443933498</v>
      </c>
    </row>
    <row r="176" ht="15.5" spans="21:53">
      <c r="U176" s="23" t="str">
        <f t="shared" si="356"/>
        <v>HydRecy-NMC111</v>
      </c>
      <c r="V176" s="24" t="s">
        <v>225</v>
      </c>
      <c r="W176" s="23">
        <f t="shared" si="349"/>
        <v>0.0978103419235304</v>
      </c>
      <c r="Y176" s="23"/>
      <c r="Z176" s="23" t="str">
        <f t="shared" si="357"/>
        <v>HydRecy-NMC532</v>
      </c>
      <c r="AA176" s="24" t="s">
        <v>225</v>
      </c>
      <c r="AB176" s="23">
        <f t="shared" si="350"/>
        <v>0.0947818648417451</v>
      </c>
      <c r="AD176" s="23"/>
      <c r="AE176" s="23" t="str">
        <f t="shared" si="358"/>
        <v>HydRecy-NMC622</v>
      </c>
      <c r="AF176" s="24" t="s">
        <v>225</v>
      </c>
      <c r="AG176" s="23">
        <f t="shared" si="351"/>
        <v>0.0982600896860986</v>
      </c>
      <c r="AI176" s="23"/>
      <c r="AJ176" s="23" t="str">
        <f t="shared" si="359"/>
        <v>HydRecy-NMC811</v>
      </c>
      <c r="AK176" s="24" t="s">
        <v>225</v>
      </c>
      <c r="AL176" s="23">
        <f t="shared" si="352"/>
        <v>0.099696739954511</v>
      </c>
      <c r="AN176" s="23"/>
      <c r="AO176" s="23" t="str">
        <f t="shared" si="360"/>
        <v>HydRecy-NCA</v>
      </c>
      <c r="AP176" s="24" t="s">
        <v>225</v>
      </c>
      <c r="AQ176" s="23">
        <f t="shared" si="353"/>
        <v>0.103953011374231</v>
      </c>
      <c r="AS176" s="23"/>
      <c r="AT176" s="23" t="str">
        <f t="shared" si="361"/>
        <v>HydRecy-LMO</v>
      </c>
      <c r="AU176" s="24" t="s">
        <v>225</v>
      </c>
      <c r="AV176" s="23">
        <f t="shared" si="354"/>
        <v>0.0824379232505643</v>
      </c>
      <c r="AW176" s="23"/>
      <c r="AY176" s="23" t="str">
        <f t="shared" si="362"/>
        <v>HydRecy-LFP</v>
      </c>
      <c r="AZ176" s="24" t="s">
        <v>225</v>
      </c>
      <c r="BA176" s="23">
        <f t="shared" si="355"/>
        <v>0.0968871595330739</v>
      </c>
    </row>
    <row r="177" ht="15.5" spans="21:53">
      <c r="U177" s="23" t="str">
        <f t="shared" si="356"/>
        <v>HydRecy-NMC111</v>
      </c>
      <c r="V177" s="24" t="s">
        <v>226</v>
      </c>
      <c r="W177" s="23">
        <f t="shared" si="349"/>
        <v>0.0132390096008085</v>
      </c>
      <c r="Y177" s="25"/>
      <c r="Z177" s="23" t="str">
        <f t="shared" si="357"/>
        <v>HydRecy-NMC532</v>
      </c>
      <c r="AA177" s="24" t="s">
        <v>226</v>
      </c>
      <c r="AB177" s="23">
        <f t="shared" si="350"/>
        <v>0.0130538922155689</v>
      </c>
      <c r="AD177" s="25"/>
      <c r="AE177" s="23" t="str">
        <f t="shared" si="358"/>
        <v>HydRecy-NMC622</v>
      </c>
      <c r="AF177" s="24" t="s">
        <v>226</v>
      </c>
      <c r="AG177" s="23">
        <f t="shared" si="351"/>
        <v>0.0136143497757848</v>
      </c>
      <c r="AI177" s="25"/>
      <c r="AJ177" s="23" t="str">
        <f t="shared" si="359"/>
        <v>HydRecy-NMC811</v>
      </c>
      <c r="AK177" s="24" t="s">
        <v>226</v>
      </c>
      <c r="AL177" s="23">
        <f t="shared" si="352"/>
        <v>0.0139689158453374</v>
      </c>
      <c r="AN177" s="25"/>
      <c r="AO177" s="23" t="str">
        <f t="shared" si="360"/>
        <v>HydRecy-NCA</v>
      </c>
      <c r="AP177" s="24" t="s">
        <v>226</v>
      </c>
      <c r="AQ177" s="23">
        <f t="shared" si="353"/>
        <v>0.0141711728510162</v>
      </c>
      <c r="AS177" s="25"/>
      <c r="AT177" s="23" t="str">
        <f t="shared" si="361"/>
        <v>HydRecy-LMO</v>
      </c>
      <c r="AU177" s="24" t="s">
        <v>226</v>
      </c>
      <c r="AV177" s="23">
        <f t="shared" si="354"/>
        <v>0.0114221218961625</v>
      </c>
      <c r="AW177" s="25"/>
      <c r="AY177" s="23" t="str">
        <f t="shared" si="362"/>
        <v>HydRecy-LFP</v>
      </c>
      <c r="AZ177" s="24" t="s">
        <v>226</v>
      </c>
      <c r="BA177" s="23">
        <f t="shared" si="355"/>
        <v>0.0134241245136187</v>
      </c>
    </row>
    <row r="178" ht="15.5" spans="21:53">
      <c r="U178" s="25"/>
      <c r="V178" s="25"/>
      <c r="W178" s="25"/>
      <c r="Y178" s="25"/>
      <c r="Z178" s="25"/>
      <c r="AA178" s="25"/>
      <c r="AB178" s="25"/>
      <c r="AD178" s="25"/>
      <c r="AE178" s="25"/>
      <c r="AF178" s="25"/>
      <c r="AG178" s="25"/>
      <c r="AI178" s="25"/>
      <c r="AJ178" s="25"/>
      <c r="AK178" s="25"/>
      <c r="AL178" s="25"/>
      <c r="AN178" s="25"/>
      <c r="AO178" s="25"/>
      <c r="AP178" s="25"/>
      <c r="AQ178" s="25"/>
      <c r="AS178" s="25"/>
      <c r="AT178" s="25"/>
      <c r="AU178" s="25"/>
      <c r="AV178" s="25"/>
      <c r="AW178" s="25"/>
      <c r="AY178" s="25"/>
      <c r="AZ178" s="25"/>
      <c r="BA178" s="25"/>
    </row>
    <row r="183" ht="15.5" spans="21:53">
      <c r="U183" s="21"/>
      <c r="V183" s="22" t="s">
        <v>215</v>
      </c>
      <c r="W183" s="21"/>
      <c r="Y183" s="23"/>
      <c r="Z183" s="21"/>
      <c r="AA183" s="22" t="s">
        <v>215</v>
      </c>
      <c r="AB183" s="21"/>
      <c r="AD183" s="23"/>
      <c r="AE183" s="21"/>
      <c r="AF183" s="22" t="s">
        <v>215</v>
      </c>
      <c r="AG183" s="21"/>
      <c r="AI183" s="23"/>
      <c r="AJ183" s="21"/>
      <c r="AK183" s="22" t="s">
        <v>215</v>
      </c>
      <c r="AL183" s="21"/>
      <c r="AN183" s="23"/>
      <c r="AO183" s="21"/>
      <c r="AP183" s="22" t="s">
        <v>215</v>
      </c>
      <c r="AQ183" s="21"/>
      <c r="AS183" s="23"/>
      <c r="AT183" s="21"/>
      <c r="AU183" s="22" t="s">
        <v>215</v>
      </c>
      <c r="AV183" s="21"/>
      <c r="AW183" s="23"/>
      <c r="AY183" s="21"/>
      <c r="AZ183" s="22" t="s">
        <v>215</v>
      </c>
      <c r="BA183" s="21"/>
    </row>
    <row r="184" ht="15.5" spans="21:53">
      <c r="U184" s="22" t="s">
        <v>64</v>
      </c>
      <c r="V184" s="22" t="s">
        <v>95</v>
      </c>
      <c r="W184" s="22" t="s">
        <v>25</v>
      </c>
      <c r="Y184" s="23"/>
      <c r="Z184" s="22" t="s">
        <v>64</v>
      </c>
      <c r="AA184" s="22" t="s">
        <v>95</v>
      </c>
      <c r="AB184" s="22" t="s">
        <v>25</v>
      </c>
      <c r="AD184" s="23"/>
      <c r="AE184" s="22" t="s">
        <v>64</v>
      </c>
      <c r="AF184" s="22" t="s">
        <v>95</v>
      </c>
      <c r="AG184" s="22" t="s">
        <v>25</v>
      </c>
      <c r="AI184" s="23"/>
      <c r="AJ184" s="22" t="s">
        <v>64</v>
      </c>
      <c r="AK184" s="22" t="s">
        <v>95</v>
      </c>
      <c r="AL184" s="22" t="s">
        <v>25</v>
      </c>
      <c r="AN184" s="23"/>
      <c r="AO184" s="22" t="s">
        <v>64</v>
      </c>
      <c r="AP184" s="22" t="s">
        <v>95</v>
      </c>
      <c r="AQ184" s="22" t="s">
        <v>25</v>
      </c>
      <c r="AS184" s="23"/>
      <c r="AT184" s="22" t="s">
        <v>64</v>
      </c>
      <c r="AU184" s="22" t="s">
        <v>95</v>
      </c>
      <c r="AV184" s="22" t="s">
        <v>25</v>
      </c>
      <c r="AW184" s="23"/>
      <c r="AY184" s="22" t="s">
        <v>64</v>
      </c>
      <c r="AZ184" s="22" t="s">
        <v>95</v>
      </c>
      <c r="BA184" s="22" t="s">
        <v>25</v>
      </c>
    </row>
    <row r="185" ht="15.5" spans="21:53">
      <c r="U185" s="23" t="s">
        <v>203</v>
      </c>
      <c r="V185" s="24" t="s">
        <v>217</v>
      </c>
      <c r="W185" s="23">
        <f t="shared" ref="W185:W188" si="363">W125</f>
        <v>0.00788276907529056</v>
      </c>
      <c r="Y185" s="23"/>
      <c r="Z185" s="23" t="s">
        <v>204</v>
      </c>
      <c r="AA185" s="24" t="s">
        <v>217</v>
      </c>
      <c r="AB185" s="23">
        <f t="shared" ref="AB185:AB188" si="364">X125</f>
        <v>0.00764756201881948</v>
      </c>
      <c r="AD185" s="23"/>
      <c r="AE185" s="23" t="s">
        <v>205</v>
      </c>
      <c r="AF185" s="24" t="s">
        <v>217</v>
      </c>
      <c r="AG185" s="23">
        <f t="shared" ref="AG185:AG188" si="365">Y125</f>
        <v>0.00794618834080718</v>
      </c>
      <c r="AI185" s="23"/>
      <c r="AJ185" s="23" t="s">
        <v>206</v>
      </c>
      <c r="AK185" s="24" t="s">
        <v>217</v>
      </c>
      <c r="AL185" s="23">
        <f t="shared" ref="AL185:AL188" si="366">Z125</f>
        <v>0.00794162244124336</v>
      </c>
      <c r="AN185" s="23"/>
      <c r="AO185" s="23" t="s">
        <v>202</v>
      </c>
      <c r="AP185" s="24" t="s">
        <v>217</v>
      </c>
      <c r="AQ185" s="23">
        <f t="shared" ref="AQ185:AQ188" si="367">AA125</f>
        <v>0.00801790042886445</v>
      </c>
      <c r="AS185" s="23"/>
      <c r="AT185" s="23" t="s">
        <v>201</v>
      </c>
      <c r="AU185" s="24" t="s">
        <v>217</v>
      </c>
      <c r="AV185" s="23">
        <f t="shared" ref="AV185:AV188" si="368">AB125</f>
        <v>0.00666666666666667</v>
      </c>
      <c r="AW185" s="23"/>
      <c r="AY185" s="23" t="s">
        <v>200</v>
      </c>
      <c r="AZ185" s="24" t="s">
        <v>217</v>
      </c>
      <c r="BA185" s="23">
        <f t="shared" ref="BA185:BA188" si="369">AC125</f>
        <v>0.00783516094800141</v>
      </c>
    </row>
    <row r="186" ht="15.5" spans="21:53">
      <c r="U186" s="23" t="str">
        <f t="shared" ref="U186:U188" si="370">U185</f>
        <v>DirRecy-NMC111</v>
      </c>
      <c r="V186" s="24" t="s">
        <v>224</v>
      </c>
      <c r="W186" s="23">
        <f t="shared" si="363"/>
        <v>0.02011116725619</v>
      </c>
      <c r="Y186" s="23"/>
      <c r="Z186" s="23" t="str">
        <f t="shared" ref="Z186:Z188" si="371">Z185</f>
        <v>DirRecy-NMC532</v>
      </c>
      <c r="AA186" s="24" t="s">
        <v>224</v>
      </c>
      <c r="AB186" s="23">
        <f t="shared" si="364"/>
        <v>0.0195038494439692</v>
      </c>
      <c r="AD186" s="23"/>
      <c r="AE186" s="23" t="str">
        <f t="shared" ref="AE186:AE188" si="372">AE185</f>
        <v>DirRecy-NMC622</v>
      </c>
      <c r="AF186" s="24" t="s">
        <v>224</v>
      </c>
      <c r="AG186" s="23">
        <f t="shared" si="365"/>
        <v>0.0202152466367713</v>
      </c>
      <c r="AI186" s="23"/>
      <c r="AJ186" s="23" t="str">
        <f t="shared" ref="AJ186:AJ188" si="373">AJ185</f>
        <v>DirRecy-NMC811</v>
      </c>
      <c r="AK186" s="24" t="s">
        <v>224</v>
      </c>
      <c r="AL186" s="23">
        <f t="shared" si="366"/>
        <v>0.0201099317664898</v>
      </c>
      <c r="AN186" s="23"/>
      <c r="AO186" s="23" t="str">
        <f t="shared" ref="AO186:AO188" si="374">AO185</f>
        <v>DirRecy-NCA</v>
      </c>
      <c r="AP186" s="24" t="s">
        <v>224</v>
      </c>
      <c r="AQ186" s="23">
        <f t="shared" si="367"/>
        <v>0.0203990303934365</v>
      </c>
      <c r="AS186" s="23"/>
      <c r="AT186" s="23" t="str">
        <f t="shared" ref="AT186:AT188" si="375">AT185</f>
        <v>DirRecy-LMO</v>
      </c>
      <c r="AU186" s="24" t="s">
        <v>224</v>
      </c>
      <c r="AV186" s="23">
        <f t="shared" si="368"/>
        <v>0.0169601203912716</v>
      </c>
      <c r="AW186" s="23"/>
      <c r="AY186" s="23" t="str">
        <f t="shared" ref="AY186:AY188" si="376">AY185</f>
        <v>DirRecy-LFP</v>
      </c>
      <c r="AZ186" s="24" t="s">
        <v>224</v>
      </c>
      <c r="BA186" s="23">
        <f t="shared" si="369"/>
        <v>0.0199327909444641</v>
      </c>
    </row>
    <row r="187" ht="15.5" spans="21:53">
      <c r="U187" s="23" t="str">
        <f t="shared" si="370"/>
        <v>DirRecy-NMC111</v>
      </c>
      <c r="V187" s="24" t="s">
        <v>225</v>
      </c>
      <c r="W187" s="23">
        <f t="shared" si="363"/>
        <v>0.0641232945932289</v>
      </c>
      <c r="Y187" s="23"/>
      <c r="Z187" s="23" t="str">
        <f t="shared" si="371"/>
        <v>DirRecy-NMC532</v>
      </c>
      <c r="AA187" s="24" t="s">
        <v>225</v>
      </c>
      <c r="AB187" s="23">
        <f t="shared" si="364"/>
        <v>0.0633532934131737</v>
      </c>
      <c r="AD187" s="23"/>
      <c r="AE187" s="23" t="str">
        <f t="shared" si="372"/>
        <v>DirRecy-NMC622</v>
      </c>
      <c r="AF187" s="24" t="s">
        <v>225</v>
      </c>
      <c r="AG187" s="23">
        <f t="shared" si="365"/>
        <v>0.0659910313901345</v>
      </c>
      <c r="AI187" s="23"/>
      <c r="AJ187" s="23" t="str">
        <f t="shared" si="373"/>
        <v>DirRecy-NMC811</v>
      </c>
      <c r="AK187" s="24" t="s">
        <v>225</v>
      </c>
      <c r="AL187" s="23">
        <f t="shared" si="366"/>
        <v>0.0673237300985595</v>
      </c>
      <c r="AN187" s="23"/>
      <c r="AO187" s="23" t="str">
        <f t="shared" si="374"/>
        <v>DirRecy-NCA</v>
      </c>
      <c r="AP187" s="24" t="s">
        <v>225</v>
      </c>
      <c r="AQ187" s="23">
        <f t="shared" si="367"/>
        <v>0.0673690098825284</v>
      </c>
      <c r="AS187" s="23"/>
      <c r="AT187" s="23" t="str">
        <f t="shared" si="375"/>
        <v>DirRecy-LMO</v>
      </c>
      <c r="AU187" s="24" t="s">
        <v>225</v>
      </c>
      <c r="AV187" s="23">
        <f t="shared" si="368"/>
        <v>0.055364936042137</v>
      </c>
      <c r="AW187" s="23"/>
      <c r="AY187" s="23" t="str">
        <f t="shared" si="376"/>
        <v>DirRecy-LFP</v>
      </c>
      <c r="AZ187" s="24" t="s">
        <v>225</v>
      </c>
      <c r="BA187" s="23">
        <f t="shared" si="369"/>
        <v>0.0650689777148921</v>
      </c>
    </row>
    <row r="188" ht="15.5" spans="21:53">
      <c r="U188" s="23" t="str">
        <f t="shared" si="370"/>
        <v>DirRecy-NMC111</v>
      </c>
      <c r="V188" s="24" t="s">
        <v>226</v>
      </c>
      <c r="W188" s="23">
        <f t="shared" si="363"/>
        <v>0.0129695132221661</v>
      </c>
      <c r="Y188" s="25"/>
      <c r="Z188" s="23" t="str">
        <f t="shared" si="371"/>
        <v>DirRecy-NMC532</v>
      </c>
      <c r="AA188" s="24" t="s">
        <v>226</v>
      </c>
      <c r="AB188" s="23">
        <f t="shared" si="364"/>
        <v>0.012814371257485</v>
      </c>
      <c r="AD188" s="25"/>
      <c r="AE188" s="23" t="str">
        <f t="shared" si="372"/>
        <v>DirRecy-NMC622</v>
      </c>
      <c r="AF188" s="24" t="s">
        <v>226</v>
      </c>
      <c r="AG188" s="23">
        <f t="shared" si="365"/>
        <v>0.0133452914798206</v>
      </c>
      <c r="AI188" s="25"/>
      <c r="AJ188" s="23" t="str">
        <f t="shared" si="373"/>
        <v>DirRecy-NMC811</v>
      </c>
      <c r="AK188" s="24" t="s">
        <v>226</v>
      </c>
      <c r="AL188" s="23">
        <f t="shared" si="366"/>
        <v>0.0135898407884761</v>
      </c>
      <c r="AN188" s="25"/>
      <c r="AO188" s="23" t="str">
        <f t="shared" si="374"/>
        <v>DirRecy-NCA</v>
      </c>
      <c r="AP188" s="24" t="s">
        <v>226</v>
      </c>
      <c r="AQ188" s="23">
        <f t="shared" si="367"/>
        <v>0.0136304307290695</v>
      </c>
      <c r="AS188" s="25"/>
      <c r="AT188" s="23" t="str">
        <f t="shared" si="375"/>
        <v>DirRecy-LMO</v>
      </c>
      <c r="AU188" s="24" t="s">
        <v>226</v>
      </c>
      <c r="AV188" s="23">
        <f t="shared" si="368"/>
        <v>0.011196388261851</v>
      </c>
      <c r="AW188" s="25"/>
      <c r="AY188" s="23" t="str">
        <f t="shared" si="376"/>
        <v>DirRecy-LFP</v>
      </c>
      <c r="AZ188" s="24" t="s">
        <v>226</v>
      </c>
      <c r="BA188" s="23">
        <f t="shared" si="369"/>
        <v>0.0131588256101875</v>
      </c>
    </row>
    <row r="198" spans="21:54">
      <c r="V198" s="1" t="s">
        <v>215</v>
      </c>
      <c r="AA198" s="1" t="s">
        <v>215</v>
      </c>
      <c r="AF198" s="1" t="s">
        <v>215</v>
      </c>
      <c r="AK198" s="1" t="s">
        <v>215</v>
      </c>
      <c r="AP198" s="1" t="s">
        <v>215</v>
      </c>
      <c r="AU198" s="1" t="s">
        <v>215</v>
      </c>
      <c r="AZ198" s="1" t="s">
        <v>215</v>
      </c>
    </row>
    <row r="199" ht="15.5" spans="21:54">
      <c r="U199" s="1" t="s">
        <v>64</v>
      </c>
      <c r="V199" s="1" t="s">
        <v>95</v>
      </c>
      <c r="W199" s="1" t="s">
        <v>25</v>
      </c>
      <c r="X199" s="23" t="s">
        <v>41</v>
      </c>
      <c r="Z199" s="1" t="s">
        <v>64</v>
      </c>
      <c r="AA199" s="1" t="s">
        <v>95</v>
      </c>
      <c r="AB199" s="1" t="s">
        <v>25</v>
      </c>
      <c r="AC199" s="23" t="s">
        <v>41</v>
      </c>
      <c r="AE199" s="1" t="s">
        <v>64</v>
      </c>
      <c r="AF199" s="1" t="s">
        <v>95</v>
      </c>
      <c r="AG199" s="1" t="s">
        <v>25</v>
      </c>
      <c r="AH199" s="23" t="s">
        <v>41</v>
      </c>
      <c r="AJ199" s="1" t="s">
        <v>64</v>
      </c>
      <c r="AK199" s="1" t="s">
        <v>95</v>
      </c>
      <c r="AL199" s="1" t="s">
        <v>25</v>
      </c>
      <c r="AM199" s="23" t="s">
        <v>41</v>
      </c>
      <c r="AO199" s="1" t="s">
        <v>64</v>
      </c>
      <c r="AP199" s="1" t="s">
        <v>95</v>
      </c>
      <c r="AQ199" s="1" t="s">
        <v>25</v>
      </c>
      <c r="AR199" s="23" t="s">
        <v>41</v>
      </c>
      <c r="AT199" s="1" t="s">
        <v>64</v>
      </c>
      <c r="AU199" s="1" t="s">
        <v>95</v>
      </c>
      <c r="AV199" s="1" t="s">
        <v>25</v>
      </c>
      <c r="AW199" s="23" t="s">
        <v>41</v>
      </c>
      <c r="AY199" s="1" t="s">
        <v>64</v>
      </c>
      <c r="AZ199" s="1" t="s">
        <v>95</v>
      </c>
      <c r="BA199" s="1" t="s">
        <v>25</v>
      </c>
      <c r="BB199" s="23" t="s">
        <v>41</v>
      </c>
    </row>
    <row r="200" ht="15.5" spans="21:54">
      <c r="U200" s="1" t="s">
        <v>189</v>
      </c>
      <c r="V200" s="1" t="s">
        <v>217</v>
      </c>
      <c r="W200" s="1">
        <f>SUM(W162:W165)</f>
        <v>0.136112514738083</v>
      </c>
      <c r="X200" s="23" t="s">
        <v>248</v>
      </c>
      <c r="Z200" s="1" t="s">
        <v>190</v>
      </c>
      <c r="AA200" s="1" t="s">
        <v>217</v>
      </c>
      <c r="AB200" s="1">
        <f>SUM(AB162:AB165)</f>
        <v>0.13180496150556</v>
      </c>
      <c r="AC200" s="23" t="s">
        <v>248</v>
      </c>
      <c r="AE200" s="1" t="s">
        <v>191</v>
      </c>
      <c r="AF200" s="1" t="s">
        <v>217</v>
      </c>
      <c r="AG200" s="1">
        <f>SUM(AG162:AG165)</f>
        <v>0.136304932735426</v>
      </c>
      <c r="AH200" s="23" t="s">
        <v>248</v>
      </c>
      <c r="AJ200" s="1" t="s">
        <v>192</v>
      </c>
      <c r="AK200" s="1" t="s">
        <v>217</v>
      </c>
      <c r="AL200" s="1">
        <f>SUM(AL162:AL165)</f>
        <v>0.143100833965125</v>
      </c>
      <c r="AM200" s="23" t="s">
        <v>248</v>
      </c>
      <c r="AO200" s="1" t="s">
        <v>188</v>
      </c>
      <c r="AP200" s="1" t="s">
        <v>217</v>
      </c>
      <c r="AQ200" s="1">
        <f>SUM(AQ162:AQ165)</f>
        <v>0.148405743054261</v>
      </c>
      <c r="AR200" s="23" t="s">
        <v>248</v>
      </c>
      <c r="AT200" s="1" t="s">
        <v>187</v>
      </c>
      <c r="AU200" s="1" t="s">
        <v>217</v>
      </c>
      <c r="AV200" s="1">
        <f>SUM(AV162:AV165)</f>
        <v>0.114356659142212</v>
      </c>
      <c r="AW200" s="23" t="s">
        <v>248</v>
      </c>
      <c r="AY200" s="1" t="s">
        <v>186</v>
      </c>
      <c r="AZ200" s="1" t="s">
        <v>217</v>
      </c>
      <c r="BA200" s="1">
        <f>SUM(BA162:BA165)</f>
        <v>0.134400424478245</v>
      </c>
      <c r="BB200" s="23" t="s">
        <v>248</v>
      </c>
    </row>
    <row r="201" ht="15.5" spans="21:54">
      <c r="U201" s="1" t="s">
        <v>189</v>
      </c>
      <c r="V201" s="1" t="s">
        <v>224</v>
      </c>
      <c r="W201" s="1">
        <v>0</v>
      </c>
      <c r="X201" s="23" t="s">
        <v>248</v>
      </c>
      <c r="Z201" s="1" t="s">
        <v>190</v>
      </c>
      <c r="AA201" s="1" t="s">
        <v>224</v>
      </c>
      <c r="AB201" s="1">
        <v>0</v>
      </c>
      <c r="AC201" s="23" t="s">
        <v>248</v>
      </c>
      <c r="AE201" s="1" t="s">
        <v>191</v>
      </c>
      <c r="AF201" s="1" t="s">
        <v>224</v>
      </c>
      <c r="AG201" s="1">
        <v>0</v>
      </c>
      <c r="AH201" s="23" t="s">
        <v>248</v>
      </c>
      <c r="AJ201" s="1" t="s">
        <v>192</v>
      </c>
      <c r="AK201" s="1" t="s">
        <v>224</v>
      </c>
      <c r="AL201" s="1">
        <v>0</v>
      </c>
      <c r="AM201" s="23" t="s">
        <v>248</v>
      </c>
      <c r="AO201" s="1" t="s">
        <v>188</v>
      </c>
      <c r="AP201" s="1" t="s">
        <v>224</v>
      </c>
      <c r="AQ201" s="1">
        <v>0</v>
      </c>
      <c r="AR201" s="23" t="s">
        <v>248</v>
      </c>
      <c r="AT201" s="1" t="s">
        <v>187</v>
      </c>
      <c r="AU201" s="1" t="s">
        <v>224</v>
      </c>
      <c r="AV201" s="1">
        <v>0</v>
      </c>
      <c r="AW201" s="23" t="s">
        <v>248</v>
      </c>
      <c r="AY201" s="1" t="s">
        <v>186</v>
      </c>
      <c r="AZ201" s="1" t="s">
        <v>224</v>
      </c>
      <c r="BA201" s="1">
        <v>0</v>
      </c>
      <c r="BB201" s="23" t="s">
        <v>248</v>
      </c>
    </row>
    <row r="202" ht="15.5" spans="21:54">
      <c r="U202" s="1" t="s">
        <v>189</v>
      </c>
      <c r="V202" s="1" t="s">
        <v>225</v>
      </c>
      <c r="W202" s="1">
        <v>0</v>
      </c>
      <c r="X202" s="23" t="s">
        <v>248</v>
      </c>
      <c r="Z202" s="1" t="s">
        <v>190</v>
      </c>
      <c r="AA202" s="1" t="s">
        <v>225</v>
      </c>
      <c r="AB202" s="1">
        <v>0</v>
      </c>
      <c r="AC202" s="23" t="s">
        <v>248</v>
      </c>
      <c r="AE202" s="1" t="s">
        <v>191</v>
      </c>
      <c r="AF202" s="1" t="s">
        <v>225</v>
      </c>
      <c r="AG202" s="1">
        <v>0</v>
      </c>
      <c r="AH202" s="23" t="s">
        <v>248</v>
      </c>
      <c r="AJ202" s="1" t="s">
        <v>192</v>
      </c>
      <c r="AK202" s="1" t="s">
        <v>225</v>
      </c>
      <c r="AL202" s="1">
        <v>0</v>
      </c>
      <c r="AM202" s="23" t="s">
        <v>248</v>
      </c>
      <c r="AO202" s="1" t="s">
        <v>188</v>
      </c>
      <c r="AP202" s="1" t="s">
        <v>225</v>
      </c>
      <c r="AQ202" s="1">
        <v>0</v>
      </c>
      <c r="AR202" s="23" t="s">
        <v>248</v>
      </c>
      <c r="AT202" s="1" t="s">
        <v>187</v>
      </c>
      <c r="AU202" s="1" t="s">
        <v>225</v>
      </c>
      <c r="AV202" s="1">
        <v>0</v>
      </c>
      <c r="AW202" s="23" t="s">
        <v>248</v>
      </c>
      <c r="AY202" s="1" t="s">
        <v>186</v>
      </c>
      <c r="AZ202" s="1" t="s">
        <v>225</v>
      </c>
      <c r="BA202" s="1">
        <v>0</v>
      </c>
      <c r="BB202" s="23" t="s">
        <v>248</v>
      </c>
    </row>
    <row r="203" ht="15.5" spans="21:54">
      <c r="U203" s="1" t="s">
        <v>189</v>
      </c>
      <c r="V203" s="1" t="s">
        <v>226</v>
      </c>
      <c r="W203" s="1">
        <v>0</v>
      </c>
      <c r="X203" s="23" t="s">
        <v>248</v>
      </c>
      <c r="Z203" s="1" t="s">
        <v>190</v>
      </c>
      <c r="AA203" s="1" t="s">
        <v>226</v>
      </c>
      <c r="AB203" s="1">
        <v>0</v>
      </c>
      <c r="AC203" s="23" t="s">
        <v>248</v>
      </c>
      <c r="AE203" s="1" t="s">
        <v>191</v>
      </c>
      <c r="AF203" s="1" t="s">
        <v>226</v>
      </c>
      <c r="AG203" s="1">
        <v>0</v>
      </c>
      <c r="AH203" s="23" t="s">
        <v>248</v>
      </c>
      <c r="AJ203" s="1" t="s">
        <v>192</v>
      </c>
      <c r="AK203" s="1" t="s">
        <v>226</v>
      </c>
      <c r="AL203" s="1">
        <v>0</v>
      </c>
      <c r="AM203" s="23" t="s">
        <v>248</v>
      </c>
      <c r="AO203" s="1" t="s">
        <v>188</v>
      </c>
      <c r="AP203" s="1" t="s">
        <v>226</v>
      </c>
      <c r="AQ203" s="1">
        <v>0</v>
      </c>
      <c r="AR203" s="23" t="s">
        <v>248</v>
      </c>
      <c r="AT203" s="1" t="s">
        <v>187</v>
      </c>
      <c r="AU203" s="1" t="s">
        <v>226</v>
      </c>
      <c r="AV203" s="1">
        <v>0</v>
      </c>
      <c r="AW203" s="23" t="s">
        <v>248</v>
      </c>
      <c r="AY203" s="1" t="s">
        <v>186</v>
      </c>
      <c r="AZ203" s="1" t="s">
        <v>226</v>
      </c>
      <c r="BA203" s="1">
        <v>0</v>
      </c>
      <c r="BB203" s="23" t="s">
        <v>248</v>
      </c>
    </row>
    <row r="210" spans="21:54">
      <c r="V210" s="1" t="s">
        <v>215</v>
      </c>
      <c r="AA210" s="1" t="s">
        <v>215</v>
      </c>
      <c r="AF210" s="1" t="s">
        <v>215</v>
      </c>
      <c r="AK210" s="1" t="s">
        <v>215</v>
      </c>
      <c r="AP210" s="1" t="s">
        <v>215</v>
      </c>
      <c r="AU210" s="1" t="s">
        <v>215</v>
      </c>
      <c r="AZ210" s="1" t="s">
        <v>215</v>
      </c>
    </row>
    <row r="211" ht="15.5" spans="21:54">
      <c r="U211" s="1" t="s">
        <v>64</v>
      </c>
      <c r="V211" s="1" t="s">
        <v>95</v>
      </c>
      <c r="W211" s="1" t="s">
        <v>25</v>
      </c>
      <c r="X211" s="23" t="s">
        <v>41</v>
      </c>
      <c r="Z211" s="1" t="s">
        <v>64</v>
      </c>
      <c r="AA211" s="1" t="s">
        <v>95</v>
      </c>
      <c r="AB211" s="1" t="s">
        <v>25</v>
      </c>
      <c r="AC211" s="23" t="s">
        <v>41</v>
      </c>
      <c r="AE211" s="1" t="s">
        <v>64</v>
      </c>
      <c r="AF211" s="1" t="s">
        <v>95</v>
      </c>
      <c r="AG211" s="1" t="s">
        <v>25</v>
      </c>
      <c r="AH211" s="23" t="s">
        <v>41</v>
      </c>
      <c r="AJ211" s="1" t="s">
        <v>64</v>
      </c>
      <c r="AK211" s="1" t="s">
        <v>95</v>
      </c>
      <c r="AL211" s="1" t="s">
        <v>25</v>
      </c>
      <c r="AM211" s="23" t="s">
        <v>41</v>
      </c>
      <c r="AO211" s="1" t="s">
        <v>64</v>
      </c>
      <c r="AP211" s="1" t="s">
        <v>95</v>
      </c>
      <c r="AQ211" s="1" t="s">
        <v>25</v>
      </c>
      <c r="AR211" s="23" t="s">
        <v>41</v>
      </c>
      <c r="AT211" s="1" t="s">
        <v>64</v>
      </c>
      <c r="AU211" s="1" t="s">
        <v>95</v>
      </c>
      <c r="AV211" s="1" t="s">
        <v>25</v>
      </c>
      <c r="AW211" s="23" t="s">
        <v>41</v>
      </c>
      <c r="AY211" s="1" t="s">
        <v>64</v>
      </c>
      <c r="AZ211" s="1" t="s">
        <v>95</v>
      </c>
      <c r="BA211" s="1" t="s">
        <v>25</v>
      </c>
      <c r="BB211" s="23" t="s">
        <v>41</v>
      </c>
    </row>
    <row r="212" ht="15.5" spans="21:54">
      <c r="U212" s="1" t="s">
        <v>196</v>
      </c>
      <c r="V212" s="1" t="s">
        <v>217</v>
      </c>
      <c r="W212" s="1">
        <f>SUM(W174:W177)</f>
        <v>0.147818763685363</v>
      </c>
      <c r="X212" s="23" t="s">
        <v>248</v>
      </c>
      <c r="Z212" s="1" t="s">
        <v>197</v>
      </c>
      <c r="AA212" s="1" t="s">
        <v>217</v>
      </c>
      <c r="AB212" s="1">
        <f>SUM(AB174:AB177)</f>
        <v>0.143182207014542</v>
      </c>
      <c r="AC212" s="23" t="s">
        <v>248</v>
      </c>
      <c r="AE212" s="1" t="s">
        <v>198</v>
      </c>
      <c r="AF212" s="1" t="s">
        <v>217</v>
      </c>
      <c r="AG212" s="1">
        <f>SUM(AG174:AG177)</f>
        <v>0.148430493273542</v>
      </c>
      <c r="AH212" s="23" t="s">
        <v>248</v>
      </c>
      <c r="AJ212" s="1" t="s">
        <v>199</v>
      </c>
      <c r="AK212" s="1" t="s">
        <v>217</v>
      </c>
      <c r="AL212" s="1">
        <f>SUM(AL174:AL177)</f>
        <v>0.15117513267627</v>
      </c>
      <c r="AM212" s="23" t="s">
        <v>248</v>
      </c>
      <c r="AO212" s="1" t="s">
        <v>195</v>
      </c>
      <c r="AP212" s="1" t="s">
        <v>217</v>
      </c>
      <c r="AQ212" s="1">
        <f>SUM(AQ174:AQ177)</f>
        <v>0.156349058362857</v>
      </c>
      <c r="AR212" s="23" t="s">
        <v>248</v>
      </c>
      <c r="AT212" s="1" t="s">
        <v>194</v>
      </c>
      <c r="AU212" s="1" t="s">
        <v>217</v>
      </c>
      <c r="AV212" s="1">
        <f>SUM(AV174:AV177)</f>
        <v>0.124529721595184</v>
      </c>
      <c r="AW212" s="23" t="s">
        <v>248</v>
      </c>
      <c r="AY212" s="1" t="s">
        <v>193</v>
      </c>
      <c r="AZ212" s="1" t="s">
        <v>217</v>
      </c>
      <c r="BA212" s="1">
        <f>SUM(BA174:BA177)</f>
        <v>0.146356561726212</v>
      </c>
      <c r="BB212" s="23" t="s">
        <v>248</v>
      </c>
    </row>
    <row r="213" ht="15.5" spans="21:54">
      <c r="U213" s="1" t="s">
        <v>196</v>
      </c>
      <c r="V213" s="1" t="s">
        <v>224</v>
      </c>
      <c r="W213" s="1">
        <v>0</v>
      </c>
      <c r="X213" s="23" t="s">
        <v>248</v>
      </c>
      <c r="Z213" s="1" t="s">
        <v>197</v>
      </c>
      <c r="AA213" s="1" t="s">
        <v>224</v>
      </c>
      <c r="AB213" s="1">
        <v>0</v>
      </c>
      <c r="AC213" s="23" t="s">
        <v>248</v>
      </c>
      <c r="AE213" s="1" t="s">
        <v>198</v>
      </c>
      <c r="AF213" s="1" t="s">
        <v>224</v>
      </c>
      <c r="AG213" s="1">
        <v>0</v>
      </c>
      <c r="AH213" s="23" t="s">
        <v>248</v>
      </c>
      <c r="AJ213" s="1" t="s">
        <v>199</v>
      </c>
      <c r="AK213" s="1" t="s">
        <v>224</v>
      </c>
      <c r="AL213" s="1">
        <v>0</v>
      </c>
      <c r="AM213" s="23" t="s">
        <v>248</v>
      </c>
      <c r="AO213" s="1" t="s">
        <v>195</v>
      </c>
      <c r="AP213" s="1" t="s">
        <v>224</v>
      </c>
      <c r="AQ213" s="1">
        <v>0</v>
      </c>
      <c r="AR213" s="23" t="s">
        <v>248</v>
      </c>
      <c r="AT213" s="1" t="s">
        <v>194</v>
      </c>
      <c r="AU213" s="1" t="s">
        <v>224</v>
      </c>
      <c r="AV213" s="1">
        <v>0</v>
      </c>
      <c r="AW213" s="23" t="s">
        <v>248</v>
      </c>
      <c r="AY213" s="1" t="s">
        <v>193</v>
      </c>
      <c r="AZ213" s="1" t="s">
        <v>224</v>
      </c>
      <c r="BA213" s="1">
        <v>0</v>
      </c>
      <c r="BB213" s="23" t="s">
        <v>248</v>
      </c>
    </row>
    <row r="214" ht="15.5" spans="21:54">
      <c r="U214" s="1" t="s">
        <v>196</v>
      </c>
      <c r="V214" s="1" t="s">
        <v>225</v>
      </c>
      <c r="W214" s="1">
        <v>0</v>
      </c>
      <c r="X214" s="23" t="s">
        <v>248</v>
      </c>
      <c r="Z214" s="1" t="s">
        <v>197</v>
      </c>
      <c r="AA214" s="1" t="s">
        <v>225</v>
      </c>
      <c r="AB214" s="1">
        <v>0</v>
      </c>
      <c r="AC214" s="23" t="s">
        <v>248</v>
      </c>
      <c r="AE214" s="1" t="s">
        <v>198</v>
      </c>
      <c r="AF214" s="1" t="s">
        <v>225</v>
      </c>
      <c r="AG214" s="1">
        <v>0</v>
      </c>
      <c r="AH214" s="23" t="s">
        <v>248</v>
      </c>
      <c r="AJ214" s="1" t="s">
        <v>199</v>
      </c>
      <c r="AK214" s="1" t="s">
        <v>225</v>
      </c>
      <c r="AL214" s="1">
        <v>0</v>
      </c>
      <c r="AM214" s="23" t="s">
        <v>248</v>
      </c>
      <c r="AO214" s="1" t="s">
        <v>195</v>
      </c>
      <c r="AP214" s="1" t="s">
        <v>225</v>
      </c>
      <c r="AQ214" s="1">
        <v>0</v>
      </c>
      <c r="AR214" s="23" t="s">
        <v>248</v>
      </c>
      <c r="AT214" s="1" t="s">
        <v>194</v>
      </c>
      <c r="AU214" s="1" t="s">
        <v>225</v>
      </c>
      <c r="AV214" s="1">
        <v>0</v>
      </c>
      <c r="AW214" s="23" t="s">
        <v>248</v>
      </c>
      <c r="AY214" s="1" t="s">
        <v>193</v>
      </c>
      <c r="AZ214" s="1" t="s">
        <v>225</v>
      </c>
      <c r="BA214" s="1">
        <v>0</v>
      </c>
      <c r="BB214" s="23" t="s">
        <v>248</v>
      </c>
    </row>
    <row r="215" ht="15.5" spans="21:54">
      <c r="U215" s="1" t="s">
        <v>196</v>
      </c>
      <c r="V215" s="1" t="s">
        <v>226</v>
      </c>
      <c r="W215" s="1">
        <v>0</v>
      </c>
      <c r="X215" s="23" t="s">
        <v>248</v>
      </c>
      <c r="Z215" s="1" t="s">
        <v>197</v>
      </c>
      <c r="AA215" s="1" t="s">
        <v>226</v>
      </c>
      <c r="AB215" s="1">
        <v>0</v>
      </c>
      <c r="AC215" s="23" t="s">
        <v>248</v>
      </c>
      <c r="AE215" s="1" t="s">
        <v>198</v>
      </c>
      <c r="AF215" s="1" t="s">
        <v>226</v>
      </c>
      <c r="AG215" s="1">
        <v>0</v>
      </c>
      <c r="AH215" s="23" t="s">
        <v>248</v>
      </c>
      <c r="AJ215" s="1" t="s">
        <v>199</v>
      </c>
      <c r="AK215" s="1" t="s">
        <v>226</v>
      </c>
      <c r="AL215" s="1">
        <v>0</v>
      </c>
      <c r="AM215" s="23" t="s">
        <v>248</v>
      </c>
      <c r="AO215" s="1" t="s">
        <v>195</v>
      </c>
      <c r="AP215" s="1" t="s">
        <v>226</v>
      </c>
      <c r="AQ215" s="1">
        <v>0</v>
      </c>
      <c r="AR215" s="23" t="s">
        <v>248</v>
      </c>
      <c r="AT215" s="1" t="s">
        <v>194</v>
      </c>
      <c r="AU215" s="1" t="s">
        <v>226</v>
      </c>
      <c r="AV215" s="1">
        <v>0</v>
      </c>
      <c r="AW215" s="23" t="s">
        <v>248</v>
      </c>
      <c r="AY215" s="1" t="s">
        <v>193</v>
      </c>
      <c r="AZ215" s="1" t="s">
        <v>226</v>
      </c>
      <c r="BA215" s="1">
        <v>0</v>
      </c>
      <c r="BB215" s="23" t="s">
        <v>248</v>
      </c>
    </row>
    <row r="221" spans="21:54">
      <c r="V221" s="1" t="s">
        <v>215</v>
      </c>
      <c r="AA221" s="1" t="s">
        <v>215</v>
      </c>
      <c r="AF221" s="1" t="s">
        <v>215</v>
      </c>
      <c r="AK221" s="1" t="s">
        <v>215</v>
      </c>
      <c r="AP221" s="1" t="s">
        <v>215</v>
      </c>
      <c r="AU221" s="1" t="s">
        <v>215</v>
      </c>
      <c r="AZ221" s="1" t="s">
        <v>215</v>
      </c>
    </row>
    <row r="222" ht="15.5" spans="21:54">
      <c r="U222" s="1" t="s">
        <v>64</v>
      </c>
      <c r="V222" s="1" t="s">
        <v>95</v>
      </c>
      <c r="W222" s="1" t="s">
        <v>25</v>
      </c>
      <c r="X222" s="23" t="s">
        <v>41</v>
      </c>
      <c r="Z222" s="1" t="s">
        <v>64</v>
      </c>
      <c r="AA222" s="1" t="s">
        <v>95</v>
      </c>
      <c r="AB222" s="1" t="s">
        <v>25</v>
      </c>
      <c r="AC222" s="23" t="s">
        <v>41</v>
      </c>
      <c r="AE222" s="1" t="s">
        <v>64</v>
      </c>
      <c r="AF222" s="1" t="s">
        <v>95</v>
      </c>
      <c r="AG222" s="1" t="s">
        <v>25</v>
      </c>
      <c r="AH222" s="23" t="s">
        <v>41</v>
      </c>
      <c r="AJ222" s="1" t="s">
        <v>64</v>
      </c>
      <c r="AK222" s="1" t="s">
        <v>95</v>
      </c>
      <c r="AL222" s="1" t="s">
        <v>25</v>
      </c>
      <c r="AM222" s="23" t="s">
        <v>41</v>
      </c>
      <c r="AO222" s="1" t="s">
        <v>64</v>
      </c>
      <c r="AP222" s="1" t="s">
        <v>95</v>
      </c>
      <c r="AQ222" s="1" t="s">
        <v>25</v>
      </c>
      <c r="AR222" s="23" t="s">
        <v>41</v>
      </c>
      <c r="AT222" s="1" t="s">
        <v>64</v>
      </c>
      <c r="AU222" s="1" t="s">
        <v>95</v>
      </c>
      <c r="AV222" s="1" t="s">
        <v>25</v>
      </c>
      <c r="AW222" s="23" t="s">
        <v>41</v>
      </c>
      <c r="AY222" s="1" t="s">
        <v>64</v>
      </c>
      <c r="AZ222" s="1" t="s">
        <v>95</v>
      </c>
      <c r="BA222" s="1" t="s">
        <v>25</v>
      </c>
      <c r="BB222" s="23" t="s">
        <v>41</v>
      </c>
    </row>
    <row r="223" ht="15.5" spans="21:54">
      <c r="U223" s="1" t="s">
        <v>203</v>
      </c>
      <c r="V223" s="1" t="s">
        <v>217</v>
      </c>
      <c r="W223" s="1">
        <f>SUM(W185:W188)</f>
        <v>0.105086744146876</v>
      </c>
      <c r="X223" s="23" t="s">
        <v>248</v>
      </c>
      <c r="Z223" s="1" t="s">
        <v>204</v>
      </c>
      <c r="AA223" s="1" t="s">
        <v>217</v>
      </c>
      <c r="AB223" s="1">
        <f>SUM(AB185:AB188)</f>
        <v>0.103319076133447</v>
      </c>
      <c r="AC223" s="23" t="s">
        <v>248</v>
      </c>
      <c r="AE223" s="1" t="s">
        <v>205</v>
      </c>
      <c r="AF223" s="1" t="s">
        <v>217</v>
      </c>
      <c r="AG223" s="1">
        <f>SUM(AG185:AG188)</f>
        <v>0.107497757847534</v>
      </c>
      <c r="AH223" s="23" t="s">
        <v>248</v>
      </c>
      <c r="AJ223" s="1" t="s">
        <v>206</v>
      </c>
      <c r="AK223" s="1" t="s">
        <v>217</v>
      </c>
      <c r="AL223" s="1">
        <f>SUM(AL185:AL188)</f>
        <v>0.108965125094769</v>
      </c>
      <c r="AM223" s="23" t="s">
        <v>248</v>
      </c>
      <c r="AO223" s="1" t="s">
        <v>202</v>
      </c>
      <c r="AP223" s="1" t="s">
        <v>217</v>
      </c>
      <c r="AQ223" s="1">
        <f>SUM(AQ185:AQ188)</f>
        <v>0.109416371433899</v>
      </c>
      <c r="AR223" s="23" t="s">
        <v>248</v>
      </c>
      <c r="AT223" s="1" t="s">
        <v>201</v>
      </c>
      <c r="AU223" s="1" t="s">
        <v>217</v>
      </c>
      <c r="AV223" s="1">
        <f>SUM(AV185:AV188)</f>
        <v>0.0901881113619263</v>
      </c>
      <c r="AW223" s="23" t="s">
        <v>248</v>
      </c>
      <c r="AY223" s="1" t="s">
        <v>200</v>
      </c>
      <c r="AZ223" s="1" t="s">
        <v>217</v>
      </c>
      <c r="BA223" s="1">
        <f>SUM(BA185:BA188)</f>
        <v>0.105995755217545</v>
      </c>
      <c r="BB223" s="23" t="s">
        <v>248</v>
      </c>
    </row>
    <row r="224" ht="15.5" spans="21:54">
      <c r="U224" s="1" t="s">
        <v>203</v>
      </c>
      <c r="V224" s="1" t="s">
        <v>224</v>
      </c>
      <c r="W224" s="1">
        <v>0</v>
      </c>
      <c r="X224" s="23" t="s">
        <v>248</v>
      </c>
      <c r="Z224" s="1" t="s">
        <v>204</v>
      </c>
      <c r="AA224" s="1" t="s">
        <v>224</v>
      </c>
      <c r="AB224" s="1">
        <v>0</v>
      </c>
      <c r="AC224" s="23" t="s">
        <v>248</v>
      </c>
      <c r="AE224" s="1" t="s">
        <v>205</v>
      </c>
      <c r="AF224" s="1" t="s">
        <v>224</v>
      </c>
      <c r="AG224" s="1">
        <v>0</v>
      </c>
      <c r="AH224" s="23" t="s">
        <v>248</v>
      </c>
      <c r="AJ224" s="1" t="s">
        <v>206</v>
      </c>
      <c r="AK224" s="1" t="s">
        <v>224</v>
      </c>
      <c r="AL224" s="1">
        <v>0</v>
      </c>
      <c r="AM224" s="23" t="s">
        <v>248</v>
      </c>
      <c r="AO224" s="1" t="s">
        <v>202</v>
      </c>
      <c r="AP224" s="1" t="s">
        <v>224</v>
      </c>
      <c r="AQ224" s="1">
        <v>0</v>
      </c>
      <c r="AR224" s="23" t="s">
        <v>248</v>
      </c>
      <c r="AT224" s="1" t="s">
        <v>201</v>
      </c>
      <c r="AU224" s="1" t="s">
        <v>224</v>
      </c>
      <c r="AV224" s="1">
        <v>0</v>
      </c>
      <c r="AW224" s="23" t="s">
        <v>248</v>
      </c>
      <c r="AY224" s="1" t="s">
        <v>200</v>
      </c>
      <c r="AZ224" s="1" t="s">
        <v>224</v>
      </c>
      <c r="BA224" s="1">
        <v>0</v>
      </c>
      <c r="BB224" s="23" t="s">
        <v>248</v>
      </c>
    </row>
    <row r="225" ht="15.5" spans="21:54">
      <c r="U225" s="1" t="s">
        <v>203</v>
      </c>
      <c r="V225" s="1" t="s">
        <v>225</v>
      </c>
      <c r="W225" s="1">
        <v>0</v>
      </c>
      <c r="X225" s="23" t="s">
        <v>248</v>
      </c>
      <c r="Z225" s="1" t="s">
        <v>204</v>
      </c>
      <c r="AA225" s="1" t="s">
        <v>225</v>
      </c>
      <c r="AB225" s="1">
        <v>0</v>
      </c>
      <c r="AC225" s="23" t="s">
        <v>248</v>
      </c>
      <c r="AE225" s="1" t="s">
        <v>205</v>
      </c>
      <c r="AF225" s="1" t="s">
        <v>225</v>
      </c>
      <c r="AG225" s="1">
        <v>0</v>
      </c>
      <c r="AH225" s="23" t="s">
        <v>248</v>
      </c>
      <c r="AJ225" s="1" t="s">
        <v>206</v>
      </c>
      <c r="AK225" s="1" t="s">
        <v>225</v>
      </c>
      <c r="AL225" s="1">
        <v>0</v>
      </c>
      <c r="AM225" s="23" t="s">
        <v>248</v>
      </c>
      <c r="AO225" s="1" t="s">
        <v>202</v>
      </c>
      <c r="AP225" s="1" t="s">
        <v>225</v>
      </c>
      <c r="AQ225" s="1">
        <v>0</v>
      </c>
      <c r="AR225" s="23" t="s">
        <v>248</v>
      </c>
      <c r="AT225" s="1" t="s">
        <v>201</v>
      </c>
      <c r="AU225" s="1" t="s">
        <v>225</v>
      </c>
      <c r="AV225" s="1">
        <v>0</v>
      </c>
      <c r="AW225" s="23" t="s">
        <v>248</v>
      </c>
      <c r="AY225" s="1" t="s">
        <v>200</v>
      </c>
      <c r="AZ225" s="1" t="s">
        <v>225</v>
      </c>
      <c r="BA225" s="1">
        <v>0</v>
      </c>
      <c r="BB225" s="23" t="s">
        <v>248</v>
      </c>
    </row>
    <row r="226" ht="15.5" spans="21:54">
      <c r="U226" s="1" t="s">
        <v>203</v>
      </c>
      <c r="V226" s="1" t="s">
        <v>226</v>
      </c>
      <c r="W226" s="1">
        <v>0</v>
      </c>
      <c r="X226" s="23" t="s">
        <v>248</v>
      </c>
      <c r="Z226" s="1" t="s">
        <v>204</v>
      </c>
      <c r="AA226" s="1" t="s">
        <v>226</v>
      </c>
      <c r="AB226" s="1">
        <v>0</v>
      </c>
      <c r="AC226" s="23" t="s">
        <v>248</v>
      </c>
      <c r="AE226" s="1" t="s">
        <v>205</v>
      </c>
      <c r="AF226" s="1" t="s">
        <v>226</v>
      </c>
      <c r="AG226" s="1">
        <v>0</v>
      </c>
      <c r="AH226" s="23" t="s">
        <v>248</v>
      </c>
      <c r="AJ226" s="1" t="s">
        <v>206</v>
      </c>
      <c r="AK226" s="1" t="s">
        <v>226</v>
      </c>
      <c r="AL226" s="1">
        <v>0</v>
      </c>
      <c r="AM226" s="23" t="s">
        <v>248</v>
      </c>
      <c r="AO226" s="1" t="s">
        <v>202</v>
      </c>
      <c r="AP226" s="1" t="s">
        <v>226</v>
      </c>
      <c r="AQ226" s="1">
        <v>0</v>
      </c>
      <c r="AR226" s="23" t="s">
        <v>248</v>
      </c>
      <c r="AT226" s="1" t="s">
        <v>201</v>
      </c>
      <c r="AU226" s="1" t="s">
        <v>226</v>
      </c>
      <c r="AV226" s="1">
        <v>0</v>
      </c>
      <c r="AW226" s="23" t="s">
        <v>248</v>
      </c>
      <c r="AY226" s="1" t="s">
        <v>200</v>
      </c>
      <c r="AZ226" s="1" t="s">
        <v>226</v>
      </c>
      <c r="BA226" s="1">
        <v>0</v>
      </c>
      <c r="BB226" s="23" t="s">
        <v>248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tabSelected="1" zoomScale="35" zoomScaleNormal="35" topLeftCell="AH153" workbookViewId="0">
      <selection activeCell="BJ207" sqref="BJ207"/>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40" width="14" style="1"/>
    <col min="41" max="47" width="15.2727272727273" style="1"/>
    <col min="48" max="53" width="14" style="1"/>
    <col min="54" max="67" width="8.72727272727273" style="1"/>
    <col min="68" max="16384" width="8.72727272727273" style="2"/>
  </cols>
  <sheetData>
    <row r="1" ht="15.5" spans="1:67">
      <c r="A1" s="3" t="s">
        <v>249</v>
      </c>
      <c r="B1" s="3"/>
      <c r="C1" s="3"/>
      <c r="D1" s="3"/>
      <c r="E1" s="3"/>
      <c r="F1" s="3"/>
      <c r="G1" s="3"/>
      <c r="H1" s="3"/>
      <c r="I1" s="3"/>
      <c r="J1" s="3"/>
      <c r="K1" s="4"/>
      <c r="L1" s="4" t="s">
        <v>250</v>
      </c>
      <c r="M1" s="4"/>
      <c r="N1" s="4"/>
      <c r="O1" s="4"/>
      <c r="P1" s="4"/>
      <c r="Q1" s="4"/>
      <c r="R1" s="4"/>
      <c r="S1" s="4"/>
      <c r="T1" s="4"/>
      <c r="U1" s="4"/>
      <c r="V1" s="4"/>
      <c r="W1" s="4" t="s">
        <v>251</v>
      </c>
      <c r="X1" s="4"/>
      <c r="Y1" s="4"/>
      <c r="Z1" s="4"/>
      <c r="AA1" s="4"/>
      <c r="AB1" s="5" t="s">
        <v>252</v>
      </c>
      <c r="AC1" s="5"/>
      <c r="AD1" s="4"/>
      <c r="AE1" s="4"/>
      <c r="AF1" s="4" t="s">
        <v>253</v>
      </c>
      <c r="AG1" s="4"/>
      <c r="AH1" s="4"/>
      <c r="AI1" s="4"/>
      <c r="AJ1" s="4"/>
      <c r="AK1" s="4"/>
      <c r="AL1" s="4"/>
      <c r="AM1" s="4"/>
      <c r="AN1" s="4"/>
      <c r="AO1" s="4" t="s">
        <v>254</v>
      </c>
      <c r="AP1" s="4"/>
      <c r="AQ1" s="4"/>
      <c r="AR1" s="4"/>
      <c r="AS1" s="4"/>
      <c r="AT1" s="4"/>
      <c r="AU1" s="4"/>
      <c r="AZ1" s="3" t="s">
        <v>249</v>
      </c>
      <c r="BA1" s="3"/>
      <c r="BB1" s="3"/>
      <c r="BC1" s="3"/>
      <c r="BD1" s="3"/>
      <c r="BE1" s="3"/>
      <c r="BF1" s="3"/>
      <c r="BG1" s="3"/>
      <c r="BH1" s="3"/>
      <c r="BI1" s="3"/>
      <c r="BJ1" s="4"/>
      <c r="BK1" s="4"/>
      <c r="BL1" s="4"/>
      <c r="BM1" s="4"/>
      <c r="BN1" s="4"/>
      <c r="BO1" s="4"/>
    </row>
    <row r="2" ht="30" spans="1:67">
      <c r="A2" s="3" t="s">
        <v>228</v>
      </c>
      <c r="B2" s="3" t="s">
        <v>255</v>
      </c>
      <c r="C2" s="3" t="s">
        <v>230</v>
      </c>
      <c r="D2" s="3"/>
      <c r="E2" s="3"/>
      <c r="F2" s="3"/>
      <c r="G2" s="3"/>
      <c r="H2" s="3"/>
      <c r="I2" s="3"/>
      <c r="J2" s="3"/>
      <c r="K2" s="4"/>
      <c r="L2" s="4"/>
      <c r="M2" s="4"/>
      <c r="N2" s="4"/>
      <c r="O2" s="4"/>
      <c r="P2" s="4"/>
      <c r="Q2" s="4"/>
      <c r="R2" s="4"/>
      <c r="S2" s="4"/>
      <c r="T2" s="4"/>
      <c r="U2" s="4"/>
      <c r="V2" s="6" t="s">
        <v>256</v>
      </c>
      <c r="W2" s="4"/>
      <c r="X2" s="4"/>
      <c r="Y2" s="4"/>
      <c r="Z2" s="4"/>
      <c r="AA2" s="4"/>
      <c r="AB2" s="4"/>
      <c r="AC2" s="4"/>
      <c r="AD2" s="4"/>
      <c r="AE2" s="4"/>
      <c r="AF2" s="4"/>
      <c r="AG2" s="4"/>
      <c r="AH2" s="4"/>
      <c r="AI2" s="4"/>
      <c r="AJ2" s="4"/>
      <c r="AK2" s="4"/>
      <c r="AL2" s="4"/>
      <c r="AM2" s="4"/>
      <c r="AN2" s="4"/>
      <c r="AO2" s="4"/>
      <c r="AP2" s="4"/>
      <c r="AQ2" s="4"/>
      <c r="AR2" s="4"/>
      <c r="AS2" s="4"/>
      <c r="AT2" s="4"/>
      <c r="AU2" s="4"/>
      <c r="AZ2" s="3" t="s">
        <v>228</v>
      </c>
      <c r="BA2" s="3" t="s">
        <v>255</v>
      </c>
      <c r="BB2" s="3" t="s">
        <v>230</v>
      </c>
      <c r="BC2" s="3"/>
      <c r="BD2" s="3"/>
      <c r="BE2" s="3"/>
      <c r="BF2" s="3"/>
      <c r="BG2" s="3"/>
      <c r="BH2" s="3"/>
      <c r="BI2" s="3"/>
      <c r="BJ2" s="4"/>
      <c r="BK2" s="4"/>
      <c r="BL2" s="4"/>
      <c r="BM2" s="4"/>
      <c r="BN2" s="4"/>
      <c r="BO2" s="4"/>
    </row>
    <row r="3" ht="30" spans="1:67">
      <c r="A3" s="3"/>
      <c r="B3" s="3"/>
      <c r="C3" s="7" t="s">
        <v>231</v>
      </c>
      <c r="D3" s="4" t="s">
        <v>232</v>
      </c>
      <c r="E3" s="4" t="s">
        <v>233</v>
      </c>
      <c r="F3" s="8" t="s">
        <v>234</v>
      </c>
      <c r="G3" s="4" t="s">
        <v>235</v>
      </c>
      <c r="H3" s="4" t="s">
        <v>236</v>
      </c>
      <c r="I3" s="4" t="s">
        <v>237</v>
      </c>
      <c r="J3" s="4" t="s">
        <v>238</v>
      </c>
      <c r="K3" s="4"/>
      <c r="L3" s="9" t="s">
        <v>231</v>
      </c>
      <c r="M3" s="4" t="s">
        <v>232</v>
      </c>
      <c r="N3" s="4" t="s">
        <v>233</v>
      </c>
      <c r="O3" s="4" t="s">
        <v>234</v>
      </c>
      <c r="P3" s="4" t="s">
        <v>235</v>
      </c>
      <c r="Q3" s="4" t="s">
        <v>236</v>
      </c>
      <c r="R3" s="4" t="s">
        <v>237</v>
      </c>
      <c r="S3" s="4" t="s">
        <v>238</v>
      </c>
      <c r="T3" s="4"/>
      <c r="U3" s="4"/>
      <c r="V3" s="6" t="s">
        <v>257</v>
      </c>
      <c r="W3" s="4" t="s">
        <v>232</v>
      </c>
      <c r="X3" s="4" t="s">
        <v>233</v>
      </c>
      <c r="Y3" s="8" t="s">
        <v>234</v>
      </c>
      <c r="Z3" s="4" t="s">
        <v>235</v>
      </c>
      <c r="AA3" s="4" t="s">
        <v>236</v>
      </c>
      <c r="AB3" s="10" t="s">
        <v>237</v>
      </c>
      <c r="AC3" s="10" t="s">
        <v>238</v>
      </c>
      <c r="AD3" s="4"/>
      <c r="AE3" s="4"/>
      <c r="AF3" s="4" t="s">
        <v>232</v>
      </c>
      <c r="AG3" s="4" t="s">
        <v>233</v>
      </c>
      <c r="AH3" s="8" t="s">
        <v>234</v>
      </c>
      <c r="AI3" s="4" t="s">
        <v>235</v>
      </c>
      <c r="AJ3" s="4" t="s">
        <v>236</v>
      </c>
      <c r="AK3" s="10" t="s">
        <v>237</v>
      </c>
      <c r="AL3" s="10" t="s">
        <v>238</v>
      </c>
      <c r="AM3" s="4"/>
      <c r="AN3" s="4"/>
      <c r="AO3" s="4" t="s">
        <v>232</v>
      </c>
      <c r="AP3" s="4" t="s">
        <v>233</v>
      </c>
      <c r="AQ3" s="8" t="s">
        <v>234</v>
      </c>
      <c r="AR3" s="4" t="s">
        <v>235</v>
      </c>
      <c r="AS3" s="4" t="s">
        <v>236</v>
      </c>
      <c r="AT3" s="10" t="s">
        <v>237</v>
      </c>
      <c r="AU3" s="10" t="s">
        <v>238</v>
      </c>
      <c r="AZ3" s="3"/>
      <c r="BA3" s="3"/>
      <c r="BB3" s="7" t="s">
        <v>231</v>
      </c>
      <c r="BC3" s="4" t="s">
        <v>232</v>
      </c>
      <c r="BD3" s="4" t="s">
        <v>233</v>
      </c>
      <c r="BE3" s="8" t="s">
        <v>234</v>
      </c>
      <c r="BF3" s="4" t="s">
        <v>235</v>
      </c>
      <c r="BG3" s="4" t="s">
        <v>236</v>
      </c>
      <c r="BH3" s="4" t="s">
        <v>237</v>
      </c>
      <c r="BI3" s="4" t="s">
        <v>238</v>
      </c>
      <c r="BJ3" s="4"/>
      <c r="BK3" s="9"/>
      <c r="BL3" s="4"/>
      <c r="BM3" s="4"/>
      <c r="BN3" s="4"/>
      <c r="BO3" s="4"/>
    </row>
    <row r="4" ht="15.5" spans="1:67">
      <c r="A4" s="3" t="s">
        <v>239</v>
      </c>
      <c r="B4" s="11" t="s">
        <v>240</v>
      </c>
      <c r="C4" s="12">
        <f t="shared" ref="C4:J4" si="0">BB4/1000</f>
        <v>0.8374</v>
      </c>
      <c r="D4" s="12">
        <f t="shared" si="0"/>
        <v>0.8081</v>
      </c>
      <c r="E4" s="12">
        <f t="shared" si="0"/>
        <v>0.7705</v>
      </c>
      <c r="F4" s="12">
        <f t="shared" si="0"/>
        <v>0.76</v>
      </c>
      <c r="G4" s="12">
        <f t="shared" si="0"/>
        <v>0.7551</v>
      </c>
      <c r="H4" s="12">
        <f t="shared" si="0"/>
        <v>0.796</v>
      </c>
      <c r="I4" s="12">
        <f t="shared" si="0"/>
        <v>0.76</v>
      </c>
      <c r="J4" s="12">
        <f t="shared" si="0"/>
        <v>0.76</v>
      </c>
      <c r="K4" s="4"/>
      <c r="L4" s="9"/>
      <c r="M4" s="13">
        <v>5.937</v>
      </c>
      <c r="N4" s="13">
        <v>5.845</v>
      </c>
      <c r="O4" s="13">
        <v>5.575</v>
      </c>
      <c r="P4" s="13">
        <v>5.276</v>
      </c>
      <c r="Q4" s="13">
        <v>5.363</v>
      </c>
      <c r="R4" s="13">
        <v>6.645</v>
      </c>
      <c r="S4" s="13">
        <v>5.654</v>
      </c>
      <c r="T4" s="13"/>
      <c r="U4" s="3" t="s">
        <v>239</v>
      </c>
      <c r="V4" s="11" t="s">
        <v>240</v>
      </c>
      <c r="W4" s="14">
        <f t="shared" ref="W4:AC4" si="1">D4/M4</f>
        <v>0.136112514738083</v>
      </c>
      <c r="X4" s="14">
        <f t="shared" si="1"/>
        <v>0.131822070145423</v>
      </c>
      <c r="Y4" s="14">
        <f t="shared" si="1"/>
        <v>0.136322869955157</v>
      </c>
      <c r="Z4" s="14">
        <f t="shared" si="1"/>
        <v>0.143119787717968</v>
      </c>
      <c r="AA4" s="14">
        <f t="shared" si="1"/>
        <v>0.148424389334328</v>
      </c>
      <c r="AB4" s="15">
        <f t="shared" si="1"/>
        <v>0.114371708051166</v>
      </c>
      <c r="AC4" s="15">
        <f t="shared" si="1"/>
        <v>0.134418111071808</v>
      </c>
      <c r="AD4" s="4"/>
      <c r="AE4" s="4"/>
      <c r="AF4" s="14">
        <f t="shared" ref="AF4:AJ4" si="2">W4</f>
        <v>0.136112514738083</v>
      </c>
      <c r="AG4" s="14">
        <f t="shared" si="2"/>
        <v>0.131822070145423</v>
      </c>
      <c r="AH4" s="14">
        <f t="shared" si="2"/>
        <v>0.136322869955157</v>
      </c>
      <c r="AI4" s="14">
        <f t="shared" si="2"/>
        <v>0.143119787717968</v>
      </c>
      <c r="AJ4" s="14">
        <f t="shared" si="2"/>
        <v>0.148424389334328</v>
      </c>
      <c r="AK4" s="16">
        <f t="shared" ref="AK4:AK18" si="3">AB4*1.15</f>
        <v>0.131527464258841</v>
      </c>
      <c r="AL4" s="16">
        <f t="shared" ref="AL4:AL18" si="4">AC4*1.15</f>
        <v>0.154580827732579</v>
      </c>
      <c r="AM4" s="4"/>
      <c r="AN4" s="4"/>
      <c r="AO4" s="14">
        <f t="shared" ref="AO4:AS4" si="5">W4</f>
        <v>0.136112514738083</v>
      </c>
      <c r="AP4" s="14">
        <f t="shared" si="5"/>
        <v>0.131822070145423</v>
      </c>
      <c r="AQ4" s="14">
        <f t="shared" si="5"/>
        <v>0.136322869955157</v>
      </c>
      <c r="AR4" s="14">
        <f t="shared" si="5"/>
        <v>0.143119787717968</v>
      </c>
      <c r="AS4" s="14">
        <f t="shared" si="5"/>
        <v>0.148424389334328</v>
      </c>
      <c r="AT4" s="16">
        <f t="shared" ref="AT4:AT18" si="6">AB4*0.85</f>
        <v>0.0972159518434914</v>
      </c>
      <c r="AU4" s="16">
        <f t="shared" ref="AU4:AU18" si="7">AC4*0.85</f>
        <v>0.114255394411036</v>
      </c>
      <c r="AZ4" s="3" t="s">
        <v>239</v>
      </c>
      <c r="BA4" s="11" t="s">
        <v>240</v>
      </c>
      <c r="BB4" s="12">
        <v>837.4</v>
      </c>
      <c r="BC4" s="14">
        <v>808.1</v>
      </c>
      <c r="BD4" s="14">
        <v>770.5</v>
      </c>
      <c r="BE4" s="14">
        <v>760</v>
      </c>
      <c r="BF4" s="14">
        <v>755.1</v>
      </c>
      <c r="BG4" s="14">
        <v>796</v>
      </c>
      <c r="BH4" s="14">
        <v>760</v>
      </c>
      <c r="BI4" s="14">
        <v>760</v>
      </c>
      <c r="BJ4" s="4"/>
      <c r="BK4" s="9"/>
      <c r="BL4" s="13"/>
      <c r="BM4" s="13"/>
      <c r="BN4" s="13"/>
      <c r="BO4" s="13"/>
    </row>
    <row r="5" ht="15.5" spans="1:67">
      <c r="A5" s="3"/>
      <c r="B5" s="11" t="s">
        <v>241</v>
      </c>
      <c r="C5" s="12">
        <f t="shared" ref="C5:J5" si="8">BB5/1000</f>
        <v>0.7701</v>
      </c>
      <c r="D5" s="12">
        <f t="shared" si="8"/>
        <v>0.7457</v>
      </c>
      <c r="E5" s="12">
        <f t="shared" si="8"/>
        <v>0.7115</v>
      </c>
      <c r="F5" s="12">
        <f t="shared" si="8"/>
        <v>0.7021</v>
      </c>
      <c r="G5" s="12">
        <f t="shared" si="8"/>
        <v>0.6948</v>
      </c>
      <c r="H5" s="12">
        <f t="shared" si="8"/>
        <v>0.7338</v>
      </c>
      <c r="I5" s="12">
        <f t="shared" si="8"/>
        <v>0.7021</v>
      </c>
      <c r="J5" s="12">
        <f t="shared" si="8"/>
        <v>0.7021</v>
      </c>
      <c r="K5" s="4"/>
      <c r="L5" s="4"/>
      <c r="M5" s="17">
        <v>5.937</v>
      </c>
      <c r="N5" s="17">
        <v>5.845</v>
      </c>
      <c r="O5" s="17">
        <v>5.575</v>
      </c>
      <c r="P5" s="17">
        <v>5.276</v>
      </c>
      <c r="Q5" s="17">
        <v>5.363</v>
      </c>
      <c r="R5" s="17">
        <v>6.645</v>
      </c>
      <c r="S5" s="17">
        <v>5.654</v>
      </c>
      <c r="T5" s="17"/>
      <c r="U5" s="3"/>
      <c r="V5" s="11" t="s">
        <v>241</v>
      </c>
      <c r="W5" s="14">
        <f t="shared" ref="W5:AC5" si="9">D5/M5</f>
        <v>0.125602155971029</v>
      </c>
      <c r="X5" s="14">
        <f t="shared" si="9"/>
        <v>0.121727972626176</v>
      </c>
      <c r="Y5" s="14">
        <f t="shared" si="9"/>
        <v>0.125937219730942</v>
      </c>
      <c r="Z5" s="14">
        <f t="shared" si="9"/>
        <v>0.131690674753601</v>
      </c>
      <c r="AA5" s="14">
        <f t="shared" si="9"/>
        <v>0.136826403132575</v>
      </c>
      <c r="AB5" s="15">
        <f t="shared" si="9"/>
        <v>0.105658389766742</v>
      </c>
      <c r="AC5" s="15">
        <f t="shared" si="9"/>
        <v>0.124177573399363</v>
      </c>
      <c r="AD5" s="4"/>
      <c r="AE5" s="4"/>
      <c r="AF5" s="14">
        <f t="shared" ref="AF5:AJ5" si="10">W5</f>
        <v>0.125602155971029</v>
      </c>
      <c r="AG5" s="14">
        <f t="shared" si="10"/>
        <v>0.121727972626176</v>
      </c>
      <c r="AH5" s="14">
        <f t="shared" si="10"/>
        <v>0.125937219730942</v>
      </c>
      <c r="AI5" s="14">
        <f t="shared" si="10"/>
        <v>0.131690674753601</v>
      </c>
      <c r="AJ5" s="14">
        <f t="shared" si="10"/>
        <v>0.136826403132575</v>
      </c>
      <c r="AK5" s="16">
        <f t="shared" si="3"/>
        <v>0.121507148231753</v>
      </c>
      <c r="AL5" s="16">
        <f t="shared" si="4"/>
        <v>0.142804209409268</v>
      </c>
      <c r="AM5" s="4"/>
      <c r="AN5" s="4"/>
      <c r="AO5" s="14">
        <f t="shared" ref="AO5:AS5" si="11">W5</f>
        <v>0.125602155971029</v>
      </c>
      <c r="AP5" s="14">
        <f t="shared" si="11"/>
        <v>0.121727972626176</v>
      </c>
      <c r="AQ5" s="14">
        <f t="shared" si="11"/>
        <v>0.125937219730942</v>
      </c>
      <c r="AR5" s="14">
        <f t="shared" si="11"/>
        <v>0.131690674753601</v>
      </c>
      <c r="AS5" s="14">
        <f t="shared" si="11"/>
        <v>0.136826403132575</v>
      </c>
      <c r="AT5" s="16">
        <f t="shared" si="6"/>
        <v>0.0898096313017306</v>
      </c>
      <c r="AU5" s="16">
        <f t="shared" si="7"/>
        <v>0.105550937389459</v>
      </c>
      <c r="AZ5" s="3"/>
      <c r="BA5" s="11" t="s">
        <v>241</v>
      </c>
      <c r="BB5" s="12">
        <v>770.1</v>
      </c>
      <c r="BC5" s="14">
        <v>745.7</v>
      </c>
      <c r="BD5" s="14">
        <v>711.5</v>
      </c>
      <c r="BE5" s="14">
        <v>702.1</v>
      </c>
      <c r="BF5" s="14">
        <v>694.8</v>
      </c>
      <c r="BG5" s="14">
        <v>733.8</v>
      </c>
      <c r="BH5" s="14">
        <v>702.1</v>
      </c>
      <c r="BI5" s="14">
        <v>702.1</v>
      </c>
      <c r="BJ5" s="4"/>
      <c r="BK5" s="4"/>
      <c r="BL5" s="17"/>
      <c r="BM5" s="17"/>
      <c r="BN5" s="17"/>
      <c r="BO5" s="17"/>
    </row>
    <row r="6" ht="15.5" spans="1:67">
      <c r="A6" s="3"/>
      <c r="B6" s="11" t="s">
        <v>242</v>
      </c>
      <c r="C6" s="12">
        <f t="shared" ref="C6:J6" si="12">BB6/1000</f>
        <v>0.1986</v>
      </c>
      <c r="D6" s="12">
        <f t="shared" si="12"/>
        <v>0.1717</v>
      </c>
      <c r="E6" s="12">
        <f t="shared" si="12"/>
        <v>0.1611</v>
      </c>
      <c r="F6" s="12">
        <f t="shared" si="12"/>
        <v>0.1579</v>
      </c>
      <c r="G6" s="12">
        <f t="shared" si="12"/>
        <v>0.1521</v>
      </c>
      <c r="H6" s="12">
        <f t="shared" si="12"/>
        <v>0.1588</v>
      </c>
      <c r="I6" s="12">
        <f t="shared" si="12"/>
        <v>0.1579</v>
      </c>
      <c r="J6" s="12">
        <f t="shared" si="12"/>
        <v>0.1579</v>
      </c>
      <c r="K6" s="4"/>
      <c r="L6" s="4"/>
      <c r="M6" s="17">
        <v>5.937</v>
      </c>
      <c r="N6" s="17">
        <v>5.845</v>
      </c>
      <c r="O6" s="17">
        <v>5.575</v>
      </c>
      <c r="P6" s="17">
        <v>5.276</v>
      </c>
      <c r="Q6" s="17">
        <v>5.363</v>
      </c>
      <c r="R6" s="17">
        <v>6.645</v>
      </c>
      <c r="S6" s="17">
        <v>5.654</v>
      </c>
      <c r="T6" s="17"/>
      <c r="U6" s="3"/>
      <c r="V6" s="11" t="s">
        <v>242</v>
      </c>
      <c r="W6" s="14">
        <f t="shared" ref="W6:AC6" si="13">D6/M6</f>
        <v>0.0289203301330638</v>
      </c>
      <c r="X6" s="14">
        <f t="shared" si="13"/>
        <v>0.0275620188195039</v>
      </c>
      <c r="Y6" s="14">
        <f t="shared" si="13"/>
        <v>0.028322869955157</v>
      </c>
      <c r="Z6" s="14">
        <f t="shared" si="13"/>
        <v>0.0288286580742987</v>
      </c>
      <c r="AA6" s="14">
        <f t="shared" si="13"/>
        <v>0.0296102927465971</v>
      </c>
      <c r="AB6" s="15">
        <f t="shared" si="13"/>
        <v>0.0237622272385252</v>
      </c>
      <c r="AC6" s="15">
        <f t="shared" si="13"/>
        <v>0.0279271312345242</v>
      </c>
      <c r="AD6" s="4"/>
      <c r="AE6" s="4"/>
      <c r="AF6" s="14">
        <f t="shared" ref="AF6:AJ6" si="14">W6</f>
        <v>0.0289203301330638</v>
      </c>
      <c r="AG6" s="14">
        <f t="shared" si="14"/>
        <v>0.0275620188195039</v>
      </c>
      <c r="AH6" s="14">
        <f t="shared" si="14"/>
        <v>0.028322869955157</v>
      </c>
      <c r="AI6" s="14">
        <f t="shared" si="14"/>
        <v>0.0288286580742987</v>
      </c>
      <c r="AJ6" s="14">
        <f t="shared" si="14"/>
        <v>0.0296102927465971</v>
      </c>
      <c r="AK6" s="16">
        <f t="shared" si="3"/>
        <v>0.027326561324304</v>
      </c>
      <c r="AL6" s="16">
        <f t="shared" si="4"/>
        <v>0.0321162009197029</v>
      </c>
      <c r="AM6" s="4"/>
      <c r="AN6" s="4"/>
      <c r="AO6" s="14">
        <f t="shared" ref="AO6:AS6" si="15">W6</f>
        <v>0.0289203301330638</v>
      </c>
      <c r="AP6" s="14">
        <f t="shared" si="15"/>
        <v>0.0275620188195039</v>
      </c>
      <c r="AQ6" s="14">
        <f t="shared" si="15"/>
        <v>0.028322869955157</v>
      </c>
      <c r="AR6" s="14">
        <f t="shared" si="15"/>
        <v>0.0288286580742987</v>
      </c>
      <c r="AS6" s="14">
        <f t="shared" si="15"/>
        <v>0.0296102927465971</v>
      </c>
      <c r="AT6" s="16">
        <f t="shared" si="6"/>
        <v>0.0201978931527464</v>
      </c>
      <c r="AU6" s="16">
        <f t="shared" si="7"/>
        <v>0.0237380615493456</v>
      </c>
      <c r="AZ6" s="3"/>
      <c r="BA6" s="11" t="s">
        <v>242</v>
      </c>
      <c r="BB6" s="12">
        <v>198.6</v>
      </c>
      <c r="BC6" s="14">
        <v>171.7</v>
      </c>
      <c r="BD6" s="14">
        <v>161.1</v>
      </c>
      <c r="BE6" s="14">
        <v>157.9</v>
      </c>
      <c r="BF6" s="14">
        <v>152.1</v>
      </c>
      <c r="BG6" s="14">
        <v>158.8</v>
      </c>
      <c r="BH6" s="14">
        <v>157.9</v>
      </c>
      <c r="BI6" s="14">
        <v>157.9</v>
      </c>
      <c r="BJ6" s="4"/>
      <c r="BK6" s="4"/>
      <c r="BL6" s="17"/>
      <c r="BM6" s="17"/>
      <c r="BN6" s="17"/>
      <c r="BO6" s="17"/>
    </row>
    <row r="7" ht="15.5" spans="1:67">
      <c r="A7" s="3"/>
      <c r="B7" s="11" t="s">
        <v>243</v>
      </c>
      <c r="C7" s="12">
        <f t="shared" ref="C7:J7" si="16">BB7/1000</f>
        <v>0.487</v>
      </c>
      <c r="D7" s="12">
        <f t="shared" si="16"/>
        <v>0.4967</v>
      </c>
      <c r="E7" s="12">
        <f t="shared" si="16"/>
        <v>0.4758</v>
      </c>
      <c r="F7" s="12">
        <f t="shared" si="16"/>
        <v>0.4705</v>
      </c>
      <c r="G7" s="12">
        <f t="shared" si="16"/>
        <v>0.4665</v>
      </c>
      <c r="H7" s="12">
        <f t="shared" si="16"/>
        <v>0.496</v>
      </c>
      <c r="I7" s="12">
        <f t="shared" si="16"/>
        <v>0.4705</v>
      </c>
      <c r="J7" s="12">
        <f t="shared" si="16"/>
        <v>0.4705</v>
      </c>
      <c r="K7" s="4"/>
      <c r="L7" s="4"/>
      <c r="M7" s="17">
        <v>5.937</v>
      </c>
      <c r="N7" s="17">
        <v>5.845</v>
      </c>
      <c r="O7" s="17">
        <v>5.575</v>
      </c>
      <c r="P7" s="17">
        <v>5.276</v>
      </c>
      <c r="Q7" s="17">
        <v>5.363</v>
      </c>
      <c r="R7" s="17">
        <v>6.645</v>
      </c>
      <c r="S7" s="17">
        <v>5.654</v>
      </c>
      <c r="T7" s="17"/>
      <c r="U7" s="3"/>
      <c r="V7" s="11" t="s">
        <v>243</v>
      </c>
      <c r="W7" s="14">
        <f t="shared" ref="W7:AC7" si="17">D7/M7</f>
        <v>0.0836617820448038</v>
      </c>
      <c r="X7" s="14">
        <f t="shared" si="17"/>
        <v>0.0814029084687767</v>
      </c>
      <c r="Y7" s="14">
        <f t="shared" si="17"/>
        <v>0.0843946188340807</v>
      </c>
      <c r="Z7" s="14">
        <f t="shared" si="17"/>
        <v>0.0884192570128886</v>
      </c>
      <c r="AA7" s="14">
        <f t="shared" si="17"/>
        <v>0.092485549132948</v>
      </c>
      <c r="AB7" s="15">
        <f t="shared" si="17"/>
        <v>0.0708051166290444</v>
      </c>
      <c r="AC7" s="15">
        <f t="shared" si="17"/>
        <v>0.0832154227095861</v>
      </c>
      <c r="AD7" s="4"/>
      <c r="AE7" s="4"/>
      <c r="AF7" s="14">
        <f t="shared" ref="AF7:AJ7" si="18">W7</f>
        <v>0.0836617820448038</v>
      </c>
      <c r="AG7" s="14">
        <f t="shared" si="18"/>
        <v>0.0814029084687767</v>
      </c>
      <c r="AH7" s="14">
        <f t="shared" si="18"/>
        <v>0.0843946188340807</v>
      </c>
      <c r="AI7" s="14">
        <f t="shared" si="18"/>
        <v>0.0884192570128886</v>
      </c>
      <c r="AJ7" s="14">
        <f t="shared" si="18"/>
        <v>0.092485549132948</v>
      </c>
      <c r="AK7" s="16">
        <f t="shared" si="3"/>
        <v>0.0814258841234011</v>
      </c>
      <c r="AL7" s="16">
        <f t="shared" si="4"/>
        <v>0.0956977361160241</v>
      </c>
      <c r="AM7" s="4"/>
      <c r="AN7" s="4"/>
      <c r="AO7" s="14">
        <f t="shared" ref="AO7:AS7" si="19">W7</f>
        <v>0.0836617820448038</v>
      </c>
      <c r="AP7" s="14">
        <f t="shared" si="19"/>
        <v>0.0814029084687767</v>
      </c>
      <c r="AQ7" s="14">
        <f t="shared" si="19"/>
        <v>0.0843946188340807</v>
      </c>
      <c r="AR7" s="14">
        <f t="shared" si="19"/>
        <v>0.0884192570128886</v>
      </c>
      <c r="AS7" s="14">
        <f t="shared" si="19"/>
        <v>0.092485549132948</v>
      </c>
      <c r="AT7" s="16">
        <f t="shared" si="6"/>
        <v>0.0601843491346877</v>
      </c>
      <c r="AU7" s="16">
        <f t="shared" si="7"/>
        <v>0.0707331093031482</v>
      </c>
      <c r="AZ7" s="3"/>
      <c r="BA7" s="11" t="s">
        <v>243</v>
      </c>
      <c r="BB7" s="12">
        <v>487</v>
      </c>
      <c r="BC7" s="14">
        <v>496.7</v>
      </c>
      <c r="BD7" s="14">
        <v>475.8</v>
      </c>
      <c r="BE7" s="14">
        <v>470.5</v>
      </c>
      <c r="BF7" s="14">
        <v>466.5</v>
      </c>
      <c r="BG7" s="14">
        <v>496</v>
      </c>
      <c r="BH7" s="14">
        <v>470.5</v>
      </c>
      <c r="BI7" s="14">
        <v>470.5</v>
      </c>
      <c r="BJ7" s="4"/>
      <c r="BK7" s="4"/>
      <c r="BL7" s="17"/>
      <c r="BM7" s="17"/>
      <c r="BN7" s="17"/>
      <c r="BO7" s="17"/>
    </row>
    <row r="8" ht="15.5" spans="1:67">
      <c r="A8" s="3"/>
      <c r="B8" s="11" t="s">
        <v>244</v>
      </c>
      <c r="C8" s="12">
        <f t="shared" ref="C8:J8" si="20">BB8/1000</f>
        <v>0.0845</v>
      </c>
      <c r="D8" s="12">
        <f t="shared" si="20"/>
        <v>0.0773</v>
      </c>
      <c r="E8" s="12">
        <f t="shared" si="20"/>
        <v>0.0745</v>
      </c>
      <c r="F8" s="12">
        <f t="shared" si="20"/>
        <v>0.0736</v>
      </c>
      <c r="G8" s="12">
        <f t="shared" si="20"/>
        <v>0.0761</v>
      </c>
      <c r="H8" s="12">
        <f t="shared" si="20"/>
        <v>0.0789</v>
      </c>
      <c r="I8" s="12">
        <f t="shared" si="20"/>
        <v>0.0736</v>
      </c>
      <c r="J8" s="12">
        <f t="shared" si="20"/>
        <v>0.0736</v>
      </c>
      <c r="K8" s="4"/>
      <c r="L8" s="4"/>
      <c r="M8" s="17">
        <v>5.937</v>
      </c>
      <c r="N8" s="17">
        <v>5.845</v>
      </c>
      <c r="O8" s="17">
        <v>5.575</v>
      </c>
      <c r="P8" s="17">
        <v>5.276</v>
      </c>
      <c r="Q8" s="17">
        <v>5.363</v>
      </c>
      <c r="R8" s="17">
        <v>6.645</v>
      </c>
      <c r="S8" s="17">
        <v>5.654</v>
      </c>
      <c r="T8" s="17"/>
      <c r="U8" s="3"/>
      <c r="V8" s="11" t="s">
        <v>244</v>
      </c>
      <c r="W8" s="14">
        <f t="shared" ref="W8:AC8" si="21">D8/M8</f>
        <v>0.0130200437931615</v>
      </c>
      <c r="X8" s="14">
        <f t="shared" si="21"/>
        <v>0.0127459366980325</v>
      </c>
      <c r="Y8" s="14">
        <f t="shared" si="21"/>
        <v>0.0132017937219731</v>
      </c>
      <c r="Z8" s="14">
        <f t="shared" si="21"/>
        <v>0.0144238059135709</v>
      </c>
      <c r="AA8" s="14">
        <f t="shared" si="21"/>
        <v>0.0147119149729629</v>
      </c>
      <c r="AB8" s="15">
        <f t="shared" si="21"/>
        <v>0.0110759969902182</v>
      </c>
      <c r="AC8" s="15">
        <f t="shared" si="21"/>
        <v>0.0130173328616908</v>
      </c>
      <c r="AD8" s="4"/>
      <c r="AE8" s="4"/>
      <c r="AF8" s="14">
        <f t="shared" ref="AF8:AJ8" si="22">W8</f>
        <v>0.0130200437931615</v>
      </c>
      <c r="AG8" s="14">
        <f t="shared" si="22"/>
        <v>0.0127459366980325</v>
      </c>
      <c r="AH8" s="14">
        <f t="shared" si="22"/>
        <v>0.0132017937219731</v>
      </c>
      <c r="AI8" s="14">
        <f t="shared" si="22"/>
        <v>0.0144238059135709</v>
      </c>
      <c r="AJ8" s="14">
        <f t="shared" si="22"/>
        <v>0.0147119149729629</v>
      </c>
      <c r="AK8" s="16">
        <f t="shared" si="3"/>
        <v>0.0127373965387509</v>
      </c>
      <c r="AL8" s="16">
        <f t="shared" si="4"/>
        <v>0.0149699327909445</v>
      </c>
      <c r="AM8" s="4"/>
      <c r="AN8" s="4"/>
      <c r="AO8" s="14">
        <f t="shared" ref="AO8:AS8" si="23">W8</f>
        <v>0.0130200437931615</v>
      </c>
      <c r="AP8" s="14">
        <f t="shared" si="23"/>
        <v>0.0127459366980325</v>
      </c>
      <c r="AQ8" s="14">
        <f t="shared" si="23"/>
        <v>0.0132017937219731</v>
      </c>
      <c r="AR8" s="14">
        <f t="shared" si="23"/>
        <v>0.0144238059135709</v>
      </c>
      <c r="AS8" s="14">
        <f t="shared" si="23"/>
        <v>0.0147119149729629</v>
      </c>
      <c r="AT8" s="16">
        <f t="shared" si="6"/>
        <v>0.00941459744168548</v>
      </c>
      <c r="AU8" s="16">
        <f t="shared" si="7"/>
        <v>0.0110647329324372</v>
      </c>
      <c r="AZ8" s="3"/>
      <c r="BA8" s="11" t="s">
        <v>244</v>
      </c>
      <c r="BB8" s="12">
        <v>84.5</v>
      </c>
      <c r="BC8" s="14">
        <v>77.3</v>
      </c>
      <c r="BD8" s="14">
        <v>74.5</v>
      </c>
      <c r="BE8" s="14">
        <v>73.6</v>
      </c>
      <c r="BF8" s="14">
        <v>76.1</v>
      </c>
      <c r="BG8" s="14">
        <v>78.9</v>
      </c>
      <c r="BH8" s="14">
        <v>73.6</v>
      </c>
      <c r="BI8" s="14">
        <v>73.6</v>
      </c>
      <c r="BJ8" s="4"/>
      <c r="BK8" s="4"/>
      <c r="BL8" s="17"/>
      <c r="BM8" s="17"/>
      <c r="BN8" s="17"/>
      <c r="BO8" s="17"/>
    </row>
    <row r="9" ht="15.5" spans="1:67">
      <c r="A9" s="3" t="s">
        <v>245</v>
      </c>
      <c r="B9" s="11" t="s">
        <v>240</v>
      </c>
      <c r="C9" s="12">
        <f t="shared" ref="C9:J9" si="24">BB9/1000</f>
        <v>0.855</v>
      </c>
      <c r="D9" s="12">
        <f t="shared" si="24"/>
        <v>0.8241</v>
      </c>
      <c r="E9" s="12">
        <f t="shared" si="24"/>
        <v>0.7857</v>
      </c>
      <c r="F9" s="12">
        <f t="shared" si="24"/>
        <v>0.775</v>
      </c>
      <c r="G9" s="12">
        <f t="shared" si="24"/>
        <v>0.7702</v>
      </c>
      <c r="H9" s="12">
        <f t="shared" si="24"/>
        <v>0.8116</v>
      </c>
      <c r="I9" s="12">
        <f t="shared" si="24"/>
        <v>0.775</v>
      </c>
      <c r="J9" s="12">
        <f t="shared" si="24"/>
        <v>0.775</v>
      </c>
      <c r="K9" s="4"/>
      <c r="L9" s="4"/>
      <c r="M9" s="17">
        <v>5.937</v>
      </c>
      <c r="N9" s="17">
        <v>5.845</v>
      </c>
      <c r="O9" s="17">
        <v>5.575</v>
      </c>
      <c r="P9" s="17">
        <v>5.276</v>
      </c>
      <c r="Q9" s="17">
        <v>5.363</v>
      </c>
      <c r="R9" s="17">
        <v>6.645</v>
      </c>
      <c r="S9" s="17">
        <v>5.654</v>
      </c>
      <c r="T9" s="17"/>
      <c r="U9" s="3" t="s">
        <v>245</v>
      </c>
      <c r="V9" s="11" t="s">
        <v>240</v>
      </c>
      <c r="W9" s="14">
        <f t="shared" ref="W9:AC9" si="25">D9/M9</f>
        <v>0.138807478524507</v>
      </c>
      <c r="X9" s="14">
        <f t="shared" si="25"/>
        <v>0.134422583404619</v>
      </c>
      <c r="Y9" s="14">
        <f t="shared" si="25"/>
        <v>0.139013452914798</v>
      </c>
      <c r="Z9" s="14">
        <f t="shared" si="25"/>
        <v>0.145981804397271</v>
      </c>
      <c r="AA9" s="14">
        <f t="shared" si="25"/>
        <v>0.1513332090248</v>
      </c>
      <c r="AB9" s="15">
        <f t="shared" si="25"/>
        <v>0.116629044394281</v>
      </c>
      <c r="AC9" s="15">
        <f t="shared" si="25"/>
        <v>0.13707110010612</v>
      </c>
      <c r="AD9" s="4"/>
      <c r="AE9" s="4"/>
      <c r="AF9" s="14">
        <f t="shared" ref="AF9:AJ9" si="26">W9</f>
        <v>0.138807478524507</v>
      </c>
      <c r="AG9" s="14">
        <f t="shared" si="26"/>
        <v>0.134422583404619</v>
      </c>
      <c r="AH9" s="14">
        <f t="shared" si="26"/>
        <v>0.139013452914798</v>
      </c>
      <c r="AI9" s="14">
        <f t="shared" si="26"/>
        <v>0.145981804397271</v>
      </c>
      <c r="AJ9" s="14">
        <f t="shared" si="26"/>
        <v>0.1513332090248</v>
      </c>
      <c r="AK9" s="16">
        <f t="shared" si="3"/>
        <v>0.134123401053424</v>
      </c>
      <c r="AL9" s="16">
        <f t="shared" si="4"/>
        <v>0.157631765122037</v>
      </c>
      <c r="AM9" s="4"/>
      <c r="AN9" s="4"/>
      <c r="AO9" s="14">
        <f t="shared" ref="AO9:AS9" si="27">W9</f>
        <v>0.138807478524507</v>
      </c>
      <c r="AP9" s="14">
        <f t="shared" si="27"/>
        <v>0.134422583404619</v>
      </c>
      <c r="AQ9" s="14">
        <f t="shared" si="27"/>
        <v>0.139013452914798</v>
      </c>
      <c r="AR9" s="14">
        <f t="shared" si="27"/>
        <v>0.145981804397271</v>
      </c>
      <c r="AS9" s="14">
        <f t="shared" si="27"/>
        <v>0.1513332090248</v>
      </c>
      <c r="AT9" s="16">
        <f t="shared" si="6"/>
        <v>0.0991346877351392</v>
      </c>
      <c r="AU9" s="16">
        <f t="shared" si="7"/>
        <v>0.116510435090202</v>
      </c>
      <c r="AZ9" s="3" t="s">
        <v>245</v>
      </c>
      <c r="BA9" s="11" t="s">
        <v>240</v>
      </c>
      <c r="BB9" s="12">
        <v>855</v>
      </c>
      <c r="BC9" s="14">
        <v>824.1</v>
      </c>
      <c r="BD9" s="14">
        <v>785.7</v>
      </c>
      <c r="BE9" s="14">
        <v>775</v>
      </c>
      <c r="BF9" s="14">
        <v>770.2</v>
      </c>
      <c r="BG9" s="14">
        <v>811.6</v>
      </c>
      <c r="BH9" s="14">
        <v>775</v>
      </c>
      <c r="BI9" s="14">
        <v>775</v>
      </c>
      <c r="BJ9" s="4"/>
      <c r="BK9" s="4"/>
      <c r="BL9" s="17"/>
      <c r="BM9" s="17"/>
      <c r="BN9" s="17"/>
      <c r="BO9" s="17"/>
    </row>
    <row r="10" ht="15.5" spans="1:67">
      <c r="A10" s="3"/>
      <c r="B10" s="11" t="s">
        <v>241</v>
      </c>
      <c r="C10" s="12">
        <f t="shared" ref="C10:J10" si="28">BB10/1000</f>
        <v>0.7888</v>
      </c>
      <c r="D10" s="12">
        <f t="shared" si="28"/>
        <v>0.7626</v>
      </c>
      <c r="E10" s="12">
        <f t="shared" si="28"/>
        <v>0.7275</v>
      </c>
      <c r="F10" s="12">
        <f t="shared" si="28"/>
        <v>0.7179</v>
      </c>
      <c r="G10" s="12">
        <f t="shared" si="28"/>
        <v>0.7107</v>
      </c>
      <c r="H10" s="12">
        <f t="shared" si="28"/>
        <v>0.7503</v>
      </c>
      <c r="I10" s="12">
        <f t="shared" si="28"/>
        <v>0.7179</v>
      </c>
      <c r="J10" s="12">
        <f t="shared" si="28"/>
        <v>0.7179</v>
      </c>
      <c r="K10" s="4"/>
      <c r="L10" s="4"/>
      <c r="M10" s="17">
        <v>5.937</v>
      </c>
      <c r="N10" s="17">
        <v>5.845</v>
      </c>
      <c r="O10" s="17">
        <v>5.575</v>
      </c>
      <c r="P10" s="17">
        <v>5.276</v>
      </c>
      <c r="Q10" s="17">
        <v>5.363</v>
      </c>
      <c r="R10" s="17">
        <v>6.645</v>
      </c>
      <c r="S10" s="17">
        <v>5.654</v>
      </c>
      <c r="T10" s="17"/>
      <c r="U10" s="3"/>
      <c r="V10" s="11" t="s">
        <v>241</v>
      </c>
      <c r="W10" s="14">
        <f t="shared" ref="W10:AC10" si="29">D10/M10</f>
        <v>0.12844871147044</v>
      </c>
      <c r="X10" s="14">
        <f t="shared" si="29"/>
        <v>0.124465355004277</v>
      </c>
      <c r="Y10" s="14">
        <f t="shared" si="29"/>
        <v>0.12877130044843</v>
      </c>
      <c r="Z10" s="14">
        <f t="shared" si="29"/>
        <v>0.134704321455648</v>
      </c>
      <c r="AA10" s="14">
        <f t="shared" si="29"/>
        <v>0.139903039343651</v>
      </c>
      <c r="AB10" s="15">
        <f t="shared" si="29"/>
        <v>0.10803611738149</v>
      </c>
      <c r="AC10" s="15">
        <f t="shared" si="29"/>
        <v>0.126972055182172</v>
      </c>
      <c r="AD10" s="4"/>
      <c r="AE10" s="4"/>
      <c r="AF10" s="14">
        <f t="shared" ref="AF10:AJ10" si="30">W10</f>
        <v>0.12844871147044</v>
      </c>
      <c r="AG10" s="14">
        <f t="shared" si="30"/>
        <v>0.124465355004277</v>
      </c>
      <c r="AH10" s="14">
        <f t="shared" si="30"/>
        <v>0.12877130044843</v>
      </c>
      <c r="AI10" s="14">
        <f t="shared" si="30"/>
        <v>0.134704321455648</v>
      </c>
      <c r="AJ10" s="14">
        <f t="shared" si="30"/>
        <v>0.139903039343651</v>
      </c>
      <c r="AK10" s="16">
        <f t="shared" si="3"/>
        <v>0.124241534988713</v>
      </c>
      <c r="AL10" s="16">
        <f t="shared" si="4"/>
        <v>0.146017863459498</v>
      </c>
      <c r="AM10" s="4"/>
      <c r="AN10" s="4"/>
      <c r="AO10" s="14">
        <f t="shared" ref="AO10:AS10" si="31">W10</f>
        <v>0.12844871147044</v>
      </c>
      <c r="AP10" s="14">
        <f t="shared" si="31"/>
        <v>0.124465355004277</v>
      </c>
      <c r="AQ10" s="14">
        <f t="shared" si="31"/>
        <v>0.12877130044843</v>
      </c>
      <c r="AR10" s="14">
        <f t="shared" si="31"/>
        <v>0.134704321455648</v>
      </c>
      <c r="AS10" s="14">
        <f t="shared" si="31"/>
        <v>0.139903039343651</v>
      </c>
      <c r="AT10" s="16">
        <f t="shared" si="6"/>
        <v>0.0918306997742664</v>
      </c>
      <c r="AU10" s="16">
        <f t="shared" si="7"/>
        <v>0.107926246904846</v>
      </c>
      <c r="AZ10" s="3"/>
      <c r="BA10" s="11" t="s">
        <v>241</v>
      </c>
      <c r="BB10" s="12">
        <v>788.8</v>
      </c>
      <c r="BC10" s="14">
        <v>762.6</v>
      </c>
      <c r="BD10" s="14">
        <v>727.5</v>
      </c>
      <c r="BE10" s="14">
        <v>717.9</v>
      </c>
      <c r="BF10" s="14">
        <v>710.7</v>
      </c>
      <c r="BG10" s="14">
        <v>750.3</v>
      </c>
      <c r="BH10" s="14">
        <v>717.9</v>
      </c>
      <c r="BI10" s="14">
        <v>717.9</v>
      </c>
      <c r="BJ10" s="4"/>
      <c r="BK10" s="4"/>
      <c r="BL10" s="17"/>
      <c r="BM10" s="17"/>
      <c r="BN10" s="17"/>
      <c r="BO10" s="17"/>
    </row>
    <row r="11" ht="15.5" spans="1:67">
      <c r="A11" s="3"/>
      <c r="B11" s="11" t="s">
        <v>242</v>
      </c>
      <c r="C11" s="12">
        <f t="shared" ref="C11:J11" si="32">BB11/1000</f>
        <v>0.2381</v>
      </c>
      <c r="D11" s="12">
        <f t="shared" si="32"/>
        <v>0.2075</v>
      </c>
      <c r="E11" s="12">
        <f t="shared" si="32"/>
        <v>0.1951</v>
      </c>
      <c r="F11" s="12">
        <f t="shared" si="32"/>
        <v>0.1916</v>
      </c>
      <c r="G11" s="12">
        <f t="shared" si="32"/>
        <v>0.186</v>
      </c>
      <c r="H11" s="12">
        <f t="shared" si="32"/>
        <v>0.1938</v>
      </c>
      <c r="I11" s="12">
        <f t="shared" si="32"/>
        <v>0.1916</v>
      </c>
      <c r="J11" s="12">
        <f t="shared" si="32"/>
        <v>0.1916</v>
      </c>
      <c r="K11" s="4"/>
      <c r="L11" s="4"/>
      <c r="M11" s="17">
        <v>5.937</v>
      </c>
      <c r="N11" s="17">
        <v>5.845</v>
      </c>
      <c r="O11" s="17">
        <v>5.575</v>
      </c>
      <c r="P11" s="17">
        <v>5.276</v>
      </c>
      <c r="Q11" s="17">
        <v>5.363</v>
      </c>
      <c r="R11" s="17">
        <v>6.645</v>
      </c>
      <c r="S11" s="17">
        <v>5.654</v>
      </c>
      <c r="T11" s="17"/>
      <c r="U11" s="3"/>
      <c r="V11" s="11" t="s">
        <v>242</v>
      </c>
      <c r="W11" s="14">
        <f t="shared" ref="W11:AC11" si="33">D11/M11</f>
        <v>0.0349503116051878</v>
      </c>
      <c r="X11" s="14">
        <f t="shared" si="33"/>
        <v>0.0333789563729684</v>
      </c>
      <c r="Y11" s="14">
        <f t="shared" si="33"/>
        <v>0.0343677130044843</v>
      </c>
      <c r="Z11" s="14">
        <f t="shared" si="33"/>
        <v>0.035253980288097</v>
      </c>
      <c r="AA11" s="14">
        <f t="shared" si="33"/>
        <v>0.0361364907700914</v>
      </c>
      <c r="AB11" s="15">
        <f t="shared" si="33"/>
        <v>0.0288337095560572</v>
      </c>
      <c r="AC11" s="15">
        <f t="shared" si="33"/>
        <v>0.0338875132649452</v>
      </c>
      <c r="AD11" s="4"/>
      <c r="AE11" s="4"/>
      <c r="AF11" s="14">
        <f t="shared" ref="AF11:AJ11" si="34">W11</f>
        <v>0.0349503116051878</v>
      </c>
      <c r="AG11" s="14">
        <f t="shared" si="34"/>
        <v>0.0333789563729684</v>
      </c>
      <c r="AH11" s="14">
        <f t="shared" si="34"/>
        <v>0.0343677130044843</v>
      </c>
      <c r="AI11" s="14">
        <f t="shared" si="34"/>
        <v>0.035253980288097</v>
      </c>
      <c r="AJ11" s="14">
        <f t="shared" si="34"/>
        <v>0.0361364907700914</v>
      </c>
      <c r="AK11" s="16">
        <f t="shared" si="3"/>
        <v>0.0331587659894658</v>
      </c>
      <c r="AL11" s="16">
        <f t="shared" si="4"/>
        <v>0.0389706402546869</v>
      </c>
      <c r="AM11" s="4"/>
      <c r="AN11" s="4"/>
      <c r="AO11" s="14">
        <f t="shared" ref="AO11:AS11" si="35">W11</f>
        <v>0.0349503116051878</v>
      </c>
      <c r="AP11" s="14">
        <f t="shared" si="35"/>
        <v>0.0333789563729684</v>
      </c>
      <c r="AQ11" s="14">
        <f t="shared" si="35"/>
        <v>0.0343677130044843</v>
      </c>
      <c r="AR11" s="14">
        <f t="shared" si="35"/>
        <v>0.035253980288097</v>
      </c>
      <c r="AS11" s="14">
        <f t="shared" si="35"/>
        <v>0.0361364907700914</v>
      </c>
      <c r="AT11" s="16">
        <f t="shared" si="6"/>
        <v>0.0245086531226486</v>
      </c>
      <c r="AU11" s="16">
        <f t="shared" si="7"/>
        <v>0.0288043862752034</v>
      </c>
      <c r="AZ11" s="3"/>
      <c r="BA11" s="11" t="s">
        <v>242</v>
      </c>
      <c r="BB11" s="12">
        <v>238.1</v>
      </c>
      <c r="BC11" s="14">
        <v>207.5</v>
      </c>
      <c r="BD11" s="14">
        <v>195.1</v>
      </c>
      <c r="BE11" s="14">
        <v>191.6</v>
      </c>
      <c r="BF11" s="14">
        <v>186</v>
      </c>
      <c r="BG11" s="14">
        <v>193.8</v>
      </c>
      <c r="BH11" s="14">
        <v>191.6</v>
      </c>
      <c r="BI11" s="14">
        <v>191.6</v>
      </c>
      <c r="BJ11" s="4"/>
      <c r="BK11" s="4"/>
      <c r="BL11" s="17"/>
      <c r="BM11" s="17"/>
      <c r="BN11" s="17"/>
      <c r="BO11" s="17"/>
    </row>
    <row r="12" ht="15.5" spans="1:67">
      <c r="A12" s="3"/>
      <c r="B12" s="11" t="s">
        <v>243</v>
      </c>
      <c r="C12" s="12">
        <f t="shared" ref="C12:J12" si="36">BB12/1000</f>
        <v>0.4629</v>
      </c>
      <c r="D12" s="12">
        <f t="shared" si="36"/>
        <v>0.4749</v>
      </c>
      <c r="E12" s="12">
        <f t="shared" si="36"/>
        <v>0.4551</v>
      </c>
      <c r="F12" s="12">
        <f t="shared" si="36"/>
        <v>0.45</v>
      </c>
      <c r="G12" s="12">
        <f t="shared" si="36"/>
        <v>0.4459</v>
      </c>
      <c r="H12" s="12">
        <f t="shared" si="36"/>
        <v>0.4747</v>
      </c>
      <c r="I12" s="12">
        <f t="shared" si="36"/>
        <v>0.45</v>
      </c>
      <c r="J12" s="12">
        <f t="shared" si="36"/>
        <v>0.45</v>
      </c>
      <c r="K12" s="4"/>
      <c r="L12" s="4"/>
      <c r="M12" s="17">
        <v>5.937</v>
      </c>
      <c r="N12" s="17">
        <v>5.845</v>
      </c>
      <c r="O12" s="17">
        <v>5.575</v>
      </c>
      <c r="P12" s="17">
        <v>5.276</v>
      </c>
      <c r="Q12" s="17">
        <v>5.363</v>
      </c>
      <c r="R12" s="17">
        <v>6.645</v>
      </c>
      <c r="S12" s="17">
        <v>5.654</v>
      </c>
      <c r="T12" s="17"/>
      <c r="U12" s="3"/>
      <c r="V12" s="11" t="s">
        <v>243</v>
      </c>
      <c r="W12" s="14">
        <f t="shared" ref="W12:AC12" si="37">D12/M12</f>
        <v>0.0799898938858009</v>
      </c>
      <c r="X12" s="14">
        <f t="shared" si="37"/>
        <v>0.0778614200171086</v>
      </c>
      <c r="Y12" s="14">
        <f t="shared" si="37"/>
        <v>0.0807174887892377</v>
      </c>
      <c r="Z12" s="14">
        <f t="shared" si="37"/>
        <v>0.0845147839272176</v>
      </c>
      <c r="AA12" s="14">
        <f t="shared" si="37"/>
        <v>0.08851389147865</v>
      </c>
      <c r="AB12" s="15">
        <f t="shared" si="37"/>
        <v>0.0677200902934537</v>
      </c>
      <c r="AC12" s="15">
        <f t="shared" si="37"/>
        <v>0.0795896710293598</v>
      </c>
      <c r="AD12" s="4"/>
      <c r="AE12" s="4"/>
      <c r="AF12" s="14">
        <f t="shared" ref="AF12:AJ12" si="38">W12</f>
        <v>0.0799898938858009</v>
      </c>
      <c r="AG12" s="14">
        <f t="shared" si="38"/>
        <v>0.0778614200171086</v>
      </c>
      <c r="AH12" s="14">
        <f t="shared" si="38"/>
        <v>0.0807174887892377</v>
      </c>
      <c r="AI12" s="14">
        <f t="shared" si="38"/>
        <v>0.0845147839272176</v>
      </c>
      <c r="AJ12" s="14">
        <f t="shared" si="38"/>
        <v>0.08851389147865</v>
      </c>
      <c r="AK12" s="16">
        <f t="shared" si="3"/>
        <v>0.0778781038374718</v>
      </c>
      <c r="AL12" s="16">
        <f t="shared" si="4"/>
        <v>0.0915281216837637</v>
      </c>
      <c r="AM12" s="4"/>
      <c r="AN12" s="4"/>
      <c r="AO12" s="14">
        <f t="shared" ref="AO12:AS12" si="39">W12</f>
        <v>0.0799898938858009</v>
      </c>
      <c r="AP12" s="14">
        <f t="shared" si="39"/>
        <v>0.0778614200171086</v>
      </c>
      <c r="AQ12" s="14">
        <f t="shared" si="39"/>
        <v>0.0807174887892377</v>
      </c>
      <c r="AR12" s="14">
        <f t="shared" si="39"/>
        <v>0.0845147839272176</v>
      </c>
      <c r="AS12" s="14">
        <f t="shared" si="39"/>
        <v>0.08851389147865</v>
      </c>
      <c r="AT12" s="16">
        <f t="shared" si="6"/>
        <v>0.0575620767494357</v>
      </c>
      <c r="AU12" s="16">
        <f t="shared" si="7"/>
        <v>0.0676512203749558</v>
      </c>
      <c r="AZ12" s="3"/>
      <c r="BA12" s="11" t="s">
        <v>243</v>
      </c>
      <c r="BB12" s="12">
        <v>462.9</v>
      </c>
      <c r="BC12" s="14">
        <v>474.9</v>
      </c>
      <c r="BD12" s="14">
        <v>455.1</v>
      </c>
      <c r="BE12" s="14">
        <v>450</v>
      </c>
      <c r="BF12" s="14">
        <v>445.9</v>
      </c>
      <c r="BG12" s="14">
        <v>474.7</v>
      </c>
      <c r="BH12" s="14">
        <v>450</v>
      </c>
      <c r="BI12" s="14">
        <v>450</v>
      </c>
      <c r="BJ12" s="4"/>
      <c r="BK12" s="4"/>
      <c r="BL12" s="17"/>
      <c r="BM12" s="17"/>
      <c r="BN12" s="17"/>
      <c r="BO12" s="17"/>
    </row>
    <row r="13" ht="15.5" spans="1:67">
      <c r="A13" s="3"/>
      <c r="B13" s="11" t="s">
        <v>244</v>
      </c>
      <c r="C13" s="12">
        <f t="shared" ref="C13:J13" si="40">BB13/1000</f>
        <v>0.0877</v>
      </c>
      <c r="D13" s="12">
        <f t="shared" si="40"/>
        <v>0.0802</v>
      </c>
      <c r="E13" s="12">
        <f t="shared" si="40"/>
        <v>0.0772</v>
      </c>
      <c r="F13" s="12">
        <f t="shared" si="40"/>
        <v>0.0763</v>
      </c>
      <c r="G13" s="12">
        <f t="shared" si="40"/>
        <v>0.0789</v>
      </c>
      <c r="H13" s="12">
        <f t="shared" si="40"/>
        <v>0.0817</v>
      </c>
      <c r="I13" s="12">
        <f t="shared" si="40"/>
        <v>0.0763</v>
      </c>
      <c r="J13" s="12">
        <f t="shared" si="40"/>
        <v>0.0763</v>
      </c>
      <c r="K13" s="4"/>
      <c r="L13" s="4"/>
      <c r="M13" s="17">
        <v>5.937</v>
      </c>
      <c r="N13" s="17">
        <v>5.845</v>
      </c>
      <c r="O13" s="17">
        <v>5.575</v>
      </c>
      <c r="P13" s="17">
        <v>5.276</v>
      </c>
      <c r="Q13" s="17">
        <v>5.363</v>
      </c>
      <c r="R13" s="17">
        <v>6.645</v>
      </c>
      <c r="S13" s="17">
        <v>5.654</v>
      </c>
      <c r="T13" s="17"/>
      <c r="U13" s="3"/>
      <c r="V13" s="11" t="s">
        <v>244</v>
      </c>
      <c r="W13" s="14">
        <f t="shared" ref="W13:AC13" si="41">D13/M13</f>
        <v>0.0135085059794509</v>
      </c>
      <c r="X13" s="14">
        <f t="shared" si="41"/>
        <v>0.013207869974337</v>
      </c>
      <c r="Y13" s="14">
        <f t="shared" si="41"/>
        <v>0.0136860986547085</v>
      </c>
      <c r="Z13" s="14">
        <f t="shared" si="41"/>
        <v>0.0149545109931767</v>
      </c>
      <c r="AA13" s="14">
        <f t="shared" si="41"/>
        <v>0.0152340108148424</v>
      </c>
      <c r="AB13" s="15">
        <f t="shared" si="41"/>
        <v>0.0114823175319789</v>
      </c>
      <c r="AC13" s="15">
        <f t="shared" si="41"/>
        <v>0.013494870887867</v>
      </c>
      <c r="AD13" s="4"/>
      <c r="AE13" s="4"/>
      <c r="AF13" s="14">
        <f t="shared" ref="AF13:AJ13" si="42">W13</f>
        <v>0.0135085059794509</v>
      </c>
      <c r="AG13" s="14">
        <f t="shared" si="42"/>
        <v>0.013207869974337</v>
      </c>
      <c r="AH13" s="14">
        <f t="shared" si="42"/>
        <v>0.0136860986547085</v>
      </c>
      <c r="AI13" s="14">
        <f t="shared" si="42"/>
        <v>0.0149545109931767</v>
      </c>
      <c r="AJ13" s="14">
        <f t="shared" si="42"/>
        <v>0.0152340108148424</v>
      </c>
      <c r="AK13" s="16">
        <f t="shared" si="3"/>
        <v>0.0132046651617758</v>
      </c>
      <c r="AL13" s="16">
        <f t="shared" si="4"/>
        <v>0.015519101521047</v>
      </c>
      <c r="AM13" s="4"/>
      <c r="AN13" s="4"/>
      <c r="AO13" s="14">
        <f t="shared" ref="AO13:AS13" si="43">W13</f>
        <v>0.0135085059794509</v>
      </c>
      <c r="AP13" s="14">
        <f t="shared" si="43"/>
        <v>0.013207869974337</v>
      </c>
      <c r="AQ13" s="14">
        <f t="shared" si="43"/>
        <v>0.0136860986547085</v>
      </c>
      <c r="AR13" s="14">
        <f t="shared" si="43"/>
        <v>0.0149545109931767</v>
      </c>
      <c r="AS13" s="14">
        <f t="shared" si="43"/>
        <v>0.0152340108148424</v>
      </c>
      <c r="AT13" s="16">
        <f t="shared" si="6"/>
        <v>0.00975996990218209</v>
      </c>
      <c r="AU13" s="16">
        <f t="shared" si="7"/>
        <v>0.0114706402546869</v>
      </c>
      <c r="AZ13" s="3"/>
      <c r="BA13" s="11" t="s">
        <v>244</v>
      </c>
      <c r="BB13" s="12">
        <v>87.7</v>
      </c>
      <c r="BC13" s="14">
        <v>80.2</v>
      </c>
      <c r="BD13" s="14">
        <v>77.2</v>
      </c>
      <c r="BE13" s="14">
        <v>76.3</v>
      </c>
      <c r="BF13" s="14">
        <v>78.9</v>
      </c>
      <c r="BG13" s="14">
        <v>81.7</v>
      </c>
      <c r="BH13" s="14">
        <v>76.3</v>
      </c>
      <c r="BI13" s="14">
        <v>76.3</v>
      </c>
      <c r="BJ13" s="4"/>
      <c r="BK13" s="4"/>
      <c r="BL13" s="17"/>
      <c r="BM13" s="17"/>
      <c r="BN13" s="17"/>
      <c r="BO13" s="17"/>
    </row>
    <row r="14" ht="15.5" spans="1:67">
      <c r="A14" s="3" t="s">
        <v>11</v>
      </c>
      <c r="B14" s="11" t="s">
        <v>240</v>
      </c>
      <c r="C14" s="12">
        <f t="shared" ref="C14:J14" si="44">BB14/1000</f>
        <v>0.8705</v>
      </c>
      <c r="D14" s="12">
        <f t="shared" si="44"/>
        <v>0.8381</v>
      </c>
      <c r="E14" s="12">
        <f t="shared" si="44"/>
        <v>0.799</v>
      </c>
      <c r="F14" s="12">
        <f t="shared" si="44"/>
        <v>0.7882</v>
      </c>
      <c r="G14" s="12">
        <f t="shared" si="44"/>
        <v>0.7835</v>
      </c>
      <c r="H14" s="12">
        <f t="shared" si="44"/>
        <v>0.8253</v>
      </c>
      <c r="I14" s="12">
        <f t="shared" si="44"/>
        <v>0.7882</v>
      </c>
      <c r="J14" s="12">
        <f t="shared" si="44"/>
        <v>0.7882</v>
      </c>
      <c r="K14" s="4"/>
      <c r="L14" s="4"/>
      <c r="M14" s="17">
        <v>5.937</v>
      </c>
      <c r="N14" s="17">
        <v>5.845</v>
      </c>
      <c r="O14" s="17">
        <v>5.575</v>
      </c>
      <c r="P14" s="17">
        <v>5.276</v>
      </c>
      <c r="Q14" s="17">
        <v>5.363</v>
      </c>
      <c r="R14" s="17">
        <v>6.645</v>
      </c>
      <c r="S14" s="17">
        <v>5.654</v>
      </c>
      <c r="T14" s="17"/>
      <c r="U14" s="3" t="s">
        <v>11</v>
      </c>
      <c r="V14" s="11" t="s">
        <v>240</v>
      </c>
      <c r="W14" s="14">
        <f t="shared" ref="W14:AC14" si="45">D14/M14</f>
        <v>0.141165571837628</v>
      </c>
      <c r="X14" s="14">
        <f t="shared" si="45"/>
        <v>0.136698032506416</v>
      </c>
      <c r="Y14" s="14">
        <f t="shared" si="45"/>
        <v>0.141381165919283</v>
      </c>
      <c r="Z14" s="14">
        <f t="shared" si="45"/>
        <v>0.148502653525398</v>
      </c>
      <c r="AA14" s="14">
        <f t="shared" si="45"/>
        <v>0.153887749393996</v>
      </c>
      <c r="AB14" s="15">
        <f t="shared" si="45"/>
        <v>0.118615500376223</v>
      </c>
      <c r="AC14" s="15">
        <f t="shared" si="45"/>
        <v>0.139405730456314</v>
      </c>
      <c r="AD14" s="4"/>
      <c r="AE14" s="4"/>
      <c r="AF14" s="14">
        <f t="shared" ref="AF14:AJ14" si="46">W14</f>
        <v>0.141165571837628</v>
      </c>
      <c r="AG14" s="14">
        <f t="shared" si="46"/>
        <v>0.136698032506416</v>
      </c>
      <c r="AH14" s="14">
        <f t="shared" si="46"/>
        <v>0.141381165919283</v>
      </c>
      <c r="AI14" s="14">
        <f t="shared" si="46"/>
        <v>0.148502653525398</v>
      </c>
      <c r="AJ14" s="14">
        <f t="shared" si="46"/>
        <v>0.153887749393996</v>
      </c>
      <c r="AK14" s="16">
        <f t="shared" si="3"/>
        <v>0.136407825432656</v>
      </c>
      <c r="AL14" s="16">
        <f t="shared" si="4"/>
        <v>0.160316590024761</v>
      </c>
      <c r="AM14" s="4"/>
      <c r="AN14" s="4"/>
      <c r="AO14" s="14">
        <f t="shared" ref="AO14:AS14" si="47">W14</f>
        <v>0.141165571837628</v>
      </c>
      <c r="AP14" s="14">
        <f t="shared" si="47"/>
        <v>0.136698032506416</v>
      </c>
      <c r="AQ14" s="14">
        <f t="shared" si="47"/>
        <v>0.141381165919283</v>
      </c>
      <c r="AR14" s="14">
        <f t="shared" si="47"/>
        <v>0.148502653525398</v>
      </c>
      <c r="AS14" s="14">
        <f t="shared" si="47"/>
        <v>0.153887749393996</v>
      </c>
      <c r="AT14" s="16">
        <f t="shared" si="6"/>
        <v>0.100823175319789</v>
      </c>
      <c r="AU14" s="16">
        <f t="shared" si="7"/>
        <v>0.118494870887867</v>
      </c>
      <c r="AZ14" s="3" t="s">
        <v>11</v>
      </c>
      <c r="BA14" s="11" t="s">
        <v>240</v>
      </c>
      <c r="BB14" s="12">
        <v>870.5</v>
      </c>
      <c r="BC14" s="14">
        <v>838.1</v>
      </c>
      <c r="BD14" s="14">
        <v>799</v>
      </c>
      <c r="BE14" s="14">
        <v>788.2</v>
      </c>
      <c r="BF14" s="14">
        <v>783.5</v>
      </c>
      <c r="BG14" s="14">
        <v>825.3</v>
      </c>
      <c r="BH14" s="14">
        <v>788.2</v>
      </c>
      <c r="BI14" s="14">
        <v>788.2</v>
      </c>
      <c r="BJ14" s="4"/>
      <c r="BK14" s="4"/>
      <c r="BL14" s="17"/>
      <c r="BM14" s="17"/>
      <c r="BN14" s="17"/>
      <c r="BO14" s="17"/>
    </row>
    <row r="15" ht="15.5" spans="1:67">
      <c r="A15" s="3"/>
      <c r="B15" s="11" t="s">
        <v>241</v>
      </c>
      <c r="C15" s="12">
        <f t="shared" ref="C15:J15" si="48">BB15/1000</f>
        <v>0.8012</v>
      </c>
      <c r="D15" s="12">
        <f t="shared" si="48"/>
        <v>0.7738</v>
      </c>
      <c r="E15" s="12">
        <f t="shared" si="48"/>
        <v>0.7382</v>
      </c>
      <c r="F15" s="12">
        <f t="shared" si="48"/>
        <v>0.7285</v>
      </c>
      <c r="G15" s="12">
        <f t="shared" si="48"/>
        <v>0.7214</v>
      </c>
      <c r="H15" s="12">
        <f t="shared" si="48"/>
        <v>0.7613</v>
      </c>
      <c r="I15" s="12">
        <f t="shared" si="48"/>
        <v>0.7285</v>
      </c>
      <c r="J15" s="12">
        <f t="shared" si="48"/>
        <v>0.7285</v>
      </c>
      <c r="K15" s="4"/>
      <c r="L15" s="4"/>
      <c r="M15" s="17">
        <v>5.937</v>
      </c>
      <c r="N15" s="17">
        <v>5.845</v>
      </c>
      <c r="O15" s="17">
        <v>5.575</v>
      </c>
      <c r="P15" s="17">
        <v>5.276</v>
      </c>
      <c r="Q15" s="17">
        <v>5.363</v>
      </c>
      <c r="R15" s="17">
        <v>6.645</v>
      </c>
      <c r="S15" s="17">
        <v>5.654</v>
      </c>
      <c r="T15" s="17"/>
      <c r="U15" s="3"/>
      <c r="V15" s="11" t="s">
        <v>241</v>
      </c>
      <c r="W15" s="14">
        <f t="shared" ref="W15:AC15" si="49">D15/M15</f>
        <v>0.130335186120936</v>
      </c>
      <c r="X15" s="14">
        <f t="shared" si="49"/>
        <v>0.126295979469632</v>
      </c>
      <c r="Y15" s="14">
        <f t="shared" si="49"/>
        <v>0.13067264573991</v>
      </c>
      <c r="Z15" s="14">
        <f t="shared" si="49"/>
        <v>0.136732373009856</v>
      </c>
      <c r="AA15" s="14">
        <f t="shared" si="49"/>
        <v>0.141954130151035</v>
      </c>
      <c r="AB15" s="15">
        <f t="shared" si="49"/>
        <v>0.109631301730625</v>
      </c>
      <c r="AC15" s="15">
        <f t="shared" si="49"/>
        <v>0.128846834099752</v>
      </c>
      <c r="AD15" s="4"/>
      <c r="AE15" s="4"/>
      <c r="AF15" s="14">
        <f t="shared" ref="AF15:AJ15" si="50">W15</f>
        <v>0.130335186120936</v>
      </c>
      <c r="AG15" s="14">
        <f t="shared" si="50"/>
        <v>0.126295979469632</v>
      </c>
      <c r="AH15" s="14">
        <f t="shared" si="50"/>
        <v>0.13067264573991</v>
      </c>
      <c r="AI15" s="14">
        <f t="shared" si="50"/>
        <v>0.136732373009856</v>
      </c>
      <c r="AJ15" s="14">
        <f t="shared" si="50"/>
        <v>0.141954130151035</v>
      </c>
      <c r="AK15" s="16">
        <f t="shared" si="3"/>
        <v>0.126075996990218</v>
      </c>
      <c r="AL15" s="16">
        <f t="shared" si="4"/>
        <v>0.148173859214715</v>
      </c>
      <c r="AM15" s="4"/>
      <c r="AN15" s="4"/>
      <c r="AO15" s="14">
        <f t="shared" ref="AO15:AS15" si="51">W15</f>
        <v>0.130335186120936</v>
      </c>
      <c r="AP15" s="14">
        <f t="shared" si="51"/>
        <v>0.126295979469632</v>
      </c>
      <c r="AQ15" s="14">
        <f t="shared" si="51"/>
        <v>0.13067264573991</v>
      </c>
      <c r="AR15" s="14">
        <f t="shared" si="51"/>
        <v>0.136732373009856</v>
      </c>
      <c r="AS15" s="14">
        <f t="shared" si="51"/>
        <v>0.141954130151035</v>
      </c>
      <c r="AT15" s="16">
        <f t="shared" si="6"/>
        <v>0.0931866064710309</v>
      </c>
      <c r="AU15" s="16">
        <f t="shared" si="7"/>
        <v>0.10951980898479</v>
      </c>
      <c r="AZ15" s="3"/>
      <c r="BA15" s="11" t="s">
        <v>241</v>
      </c>
      <c r="BB15" s="12">
        <v>801.2</v>
      </c>
      <c r="BC15" s="14">
        <v>773.8</v>
      </c>
      <c r="BD15" s="14">
        <v>738.2</v>
      </c>
      <c r="BE15" s="14">
        <v>728.5</v>
      </c>
      <c r="BF15" s="14">
        <v>721.4</v>
      </c>
      <c r="BG15" s="14">
        <v>761.3</v>
      </c>
      <c r="BH15" s="14">
        <v>728.5</v>
      </c>
      <c r="BI15" s="14">
        <v>728.5</v>
      </c>
      <c r="BJ15" s="4"/>
      <c r="BK15" s="4"/>
      <c r="BL15" s="17"/>
      <c r="BM15" s="17"/>
      <c r="BN15" s="17"/>
      <c r="BO15" s="17"/>
    </row>
    <row r="16" ht="15.5" spans="1:67">
      <c r="A16" s="3"/>
      <c r="B16" s="11" t="s">
        <v>242</v>
      </c>
      <c r="C16" s="12">
        <f t="shared" ref="C16:J16" si="52">BB16/1000</f>
        <v>0.3021</v>
      </c>
      <c r="D16" s="12">
        <f t="shared" si="52"/>
        <v>0.2654</v>
      </c>
      <c r="E16" s="12">
        <f t="shared" si="52"/>
        <v>0.2502</v>
      </c>
      <c r="F16" s="12">
        <f t="shared" si="52"/>
        <v>0.246</v>
      </c>
      <c r="G16" s="12">
        <f t="shared" si="52"/>
        <v>0.2408</v>
      </c>
      <c r="H16" s="12">
        <f t="shared" si="52"/>
        <v>0.2506</v>
      </c>
      <c r="I16" s="12">
        <f t="shared" si="52"/>
        <v>0.246</v>
      </c>
      <c r="J16" s="12">
        <f t="shared" si="52"/>
        <v>0.246</v>
      </c>
      <c r="K16" s="4"/>
      <c r="L16" s="4"/>
      <c r="M16" s="17">
        <v>5.937</v>
      </c>
      <c r="N16" s="17">
        <v>5.845</v>
      </c>
      <c r="O16" s="17">
        <v>5.575</v>
      </c>
      <c r="P16" s="17">
        <v>5.276</v>
      </c>
      <c r="Q16" s="17">
        <v>5.363</v>
      </c>
      <c r="R16" s="17">
        <v>6.645</v>
      </c>
      <c r="S16" s="17">
        <v>5.654</v>
      </c>
      <c r="T16" s="17"/>
      <c r="U16" s="3"/>
      <c r="V16" s="11" t="s">
        <v>242</v>
      </c>
      <c r="W16" s="14">
        <f t="shared" ref="W16:AC16" si="53">D16/M16</f>
        <v>0.0447027118073101</v>
      </c>
      <c r="X16" s="14">
        <f t="shared" si="53"/>
        <v>0.0428058169375535</v>
      </c>
      <c r="Y16" s="14">
        <f t="shared" si="53"/>
        <v>0.0441255605381166</v>
      </c>
      <c r="Z16" s="14">
        <f t="shared" si="53"/>
        <v>0.0456406368460955</v>
      </c>
      <c r="AA16" s="14">
        <f t="shared" si="53"/>
        <v>0.0467275778482193</v>
      </c>
      <c r="AB16" s="15">
        <f t="shared" si="53"/>
        <v>0.037020316027088</v>
      </c>
      <c r="AC16" s="15">
        <f t="shared" si="53"/>
        <v>0.0435090201627167</v>
      </c>
      <c r="AD16" s="4"/>
      <c r="AE16" s="4"/>
      <c r="AF16" s="14">
        <f t="shared" ref="AF16:AJ16" si="54">W16</f>
        <v>0.0447027118073101</v>
      </c>
      <c r="AG16" s="14">
        <f t="shared" si="54"/>
        <v>0.0428058169375535</v>
      </c>
      <c r="AH16" s="14">
        <f t="shared" si="54"/>
        <v>0.0441255605381166</v>
      </c>
      <c r="AI16" s="14">
        <f t="shared" si="54"/>
        <v>0.0456406368460955</v>
      </c>
      <c r="AJ16" s="14">
        <f t="shared" si="54"/>
        <v>0.0467275778482193</v>
      </c>
      <c r="AK16" s="16">
        <f t="shared" si="3"/>
        <v>0.0425733634311512</v>
      </c>
      <c r="AL16" s="16">
        <f t="shared" si="4"/>
        <v>0.0500353731871242</v>
      </c>
      <c r="AM16" s="4"/>
      <c r="AN16" s="4"/>
      <c r="AO16" s="14">
        <f t="shared" ref="AO16:AS16" si="55">W16</f>
        <v>0.0447027118073101</v>
      </c>
      <c r="AP16" s="14">
        <f t="shared" si="55"/>
        <v>0.0428058169375535</v>
      </c>
      <c r="AQ16" s="14">
        <f t="shared" si="55"/>
        <v>0.0441255605381166</v>
      </c>
      <c r="AR16" s="14">
        <f t="shared" si="55"/>
        <v>0.0456406368460955</v>
      </c>
      <c r="AS16" s="14">
        <f t="shared" si="55"/>
        <v>0.0467275778482193</v>
      </c>
      <c r="AT16" s="16">
        <f t="shared" si="6"/>
        <v>0.0314672686230248</v>
      </c>
      <c r="AU16" s="16">
        <f t="shared" si="7"/>
        <v>0.0369826671383092</v>
      </c>
      <c r="AZ16" s="3"/>
      <c r="BA16" s="11" t="s">
        <v>242</v>
      </c>
      <c r="BB16" s="12">
        <v>302.1</v>
      </c>
      <c r="BC16" s="14">
        <v>265.4</v>
      </c>
      <c r="BD16" s="14">
        <v>250.2</v>
      </c>
      <c r="BE16" s="14">
        <v>246</v>
      </c>
      <c r="BF16" s="14">
        <v>240.8</v>
      </c>
      <c r="BG16" s="14">
        <v>250.6</v>
      </c>
      <c r="BH16" s="14">
        <v>246</v>
      </c>
      <c r="BI16" s="14">
        <v>246</v>
      </c>
      <c r="BJ16" s="4"/>
      <c r="BK16" s="4"/>
      <c r="BL16" s="17"/>
      <c r="BM16" s="17"/>
      <c r="BN16" s="17"/>
      <c r="BO16" s="17"/>
    </row>
    <row r="17" ht="15.5" spans="1:67">
      <c r="A17" s="3"/>
      <c r="B17" s="11" t="s">
        <v>243</v>
      </c>
      <c r="C17" s="12">
        <f t="shared" ref="C17:J17" si="56">BB17/1000</f>
        <v>0.4137</v>
      </c>
      <c r="D17" s="12">
        <f t="shared" si="56"/>
        <v>0.4304</v>
      </c>
      <c r="E17" s="12">
        <f t="shared" si="56"/>
        <v>0.4127</v>
      </c>
      <c r="F17" s="12">
        <f t="shared" si="56"/>
        <v>0.4081</v>
      </c>
      <c r="G17" s="12">
        <f t="shared" si="56"/>
        <v>0.4037</v>
      </c>
      <c r="H17" s="12">
        <f t="shared" si="56"/>
        <v>0.4311</v>
      </c>
      <c r="I17" s="12">
        <f t="shared" si="56"/>
        <v>0.4081</v>
      </c>
      <c r="J17" s="12">
        <f t="shared" si="56"/>
        <v>0.4081</v>
      </c>
      <c r="K17" s="4"/>
      <c r="L17" s="4"/>
      <c r="M17" s="17">
        <v>5.937</v>
      </c>
      <c r="N17" s="17">
        <v>5.845</v>
      </c>
      <c r="O17" s="17">
        <v>5.575</v>
      </c>
      <c r="P17" s="17">
        <v>5.276</v>
      </c>
      <c r="Q17" s="17">
        <v>5.363</v>
      </c>
      <c r="R17" s="17">
        <v>6.645</v>
      </c>
      <c r="S17" s="17">
        <v>5.654</v>
      </c>
      <c r="T17" s="17"/>
      <c r="U17" s="3"/>
      <c r="V17" s="11" t="s">
        <v>243</v>
      </c>
      <c r="W17" s="14">
        <f t="shared" ref="W17:AC17" si="57">D17/M17</f>
        <v>0.0724945258548088</v>
      </c>
      <c r="X17" s="14">
        <f t="shared" si="57"/>
        <v>0.0706073567151412</v>
      </c>
      <c r="Y17" s="14">
        <f t="shared" si="57"/>
        <v>0.0732017937219731</v>
      </c>
      <c r="Z17" s="14">
        <f t="shared" si="57"/>
        <v>0.076516300227445</v>
      </c>
      <c r="AA17" s="14">
        <f t="shared" si="57"/>
        <v>0.0803841133693828</v>
      </c>
      <c r="AB17" s="15">
        <f t="shared" si="57"/>
        <v>0.0614145974416855</v>
      </c>
      <c r="AC17" s="15">
        <f t="shared" si="57"/>
        <v>0.0721789883268483</v>
      </c>
      <c r="AD17" s="4"/>
      <c r="AE17" s="4"/>
      <c r="AF17" s="14">
        <f t="shared" ref="AF17:AJ17" si="58">W17</f>
        <v>0.0724945258548088</v>
      </c>
      <c r="AG17" s="14">
        <f t="shared" si="58"/>
        <v>0.0706073567151412</v>
      </c>
      <c r="AH17" s="14">
        <f t="shared" si="58"/>
        <v>0.0732017937219731</v>
      </c>
      <c r="AI17" s="14">
        <f t="shared" si="58"/>
        <v>0.076516300227445</v>
      </c>
      <c r="AJ17" s="14">
        <f t="shared" si="58"/>
        <v>0.0803841133693828</v>
      </c>
      <c r="AK17" s="16">
        <f t="shared" si="3"/>
        <v>0.0706267870579383</v>
      </c>
      <c r="AL17" s="16">
        <f t="shared" si="4"/>
        <v>0.0830058365758755</v>
      </c>
      <c r="AM17" s="4"/>
      <c r="AN17" s="4"/>
      <c r="AO17" s="14">
        <f t="shared" ref="AO17:AS17" si="59">W17</f>
        <v>0.0724945258548088</v>
      </c>
      <c r="AP17" s="14">
        <f t="shared" si="59"/>
        <v>0.0706073567151412</v>
      </c>
      <c r="AQ17" s="14">
        <f t="shared" si="59"/>
        <v>0.0732017937219731</v>
      </c>
      <c r="AR17" s="14">
        <f t="shared" si="59"/>
        <v>0.076516300227445</v>
      </c>
      <c r="AS17" s="14">
        <f t="shared" si="59"/>
        <v>0.0803841133693828</v>
      </c>
      <c r="AT17" s="16">
        <f t="shared" si="6"/>
        <v>0.0522024078254327</v>
      </c>
      <c r="AU17" s="16">
        <f t="shared" si="7"/>
        <v>0.061352140077821</v>
      </c>
      <c r="AZ17" s="3"/>
      <c r="BA17" s="11" t="s">
        <v>243</v>
      </c>
      <c r="BB17" s="12">
        <v>413.7</v>
      </c>
      <c r="BC17" s="14">
        <v>430.4</v>
      </c>
      <c r="BD17" s="14">
        <v>412.7</v>
      </c>
      <c r="BE17" s="14">
        <v>408.1</v>
      </c>
      <c r="BF17" s="14">
        <v>403.7</v>
      </c>
      <c r="BG17" s="14">
        <v>431.1</v>
      </c>
      <c r="BH17" s="14">
        <v>408.1</v>
      </c>
      <c r="BI17" s="14">
        <v>408.1</v>
      </c>
      <c r="BJ17" s="4"/>
      <c r="BK17" s="4"/>
      <c r="BL17" s="17"/>
      <c r="BM17" s="17"/>
      <c r="BN17" s="17"/>
      <c r="BO17" s="17"/>
    </row>
    <row r="18" ht="15.5" spans="1:67">
      <c r="A18" s="3"/>
      <c r="B18" s="11" t="s">
        <v>244</v>
      </c>
      <c r="C18" s="12">
        <f t="shared" ref="C18:J18" si="60">BB18/1000</f>
        <v>0.0853</v>
      </c>
      <c r="D18" s="12">
        <f t="shared" si="60"/>
        <v>0.0781</v>
      </c>
      <c r="E18" s="12">
        <f t="shared" si="60"/>
        <v>0.0752</v>
      </c>
      <c r="F18" s="12">
        <f t="shared" si="60"/>
        <v>0.0743</v>
      </c>
      <c r="G18" s="12">
        <f t="shared" si="60"/>
        <v>0.0768</v>
      </c>
      <c r="H18" s="12">
        <f t="shared" si="60"/>
        <v>0.0797</v>
      </c>
      <c r="I18" s="12">
        <f t="shared" si="60"/>
        <v>0.0743</v>
      </c>
      <c r="J18" s="12">
        <f t="shared" si="60"/>
        <v>0.0743</v>
      </c>
      <c r="K18" s="4"/>
      <c r="L18" s="4"/>
      <c r="M18" s="17">
        <v>5.937</v>
      </c>
      <c r="N18" s="17">
        <v>5.845</v>
      </c>
      <c r="O18" s="17">
        <v>5.575</v>
      </c>
      <c r="P18" s="17">
        <v>5.276</v>
      </c>
      <c r="Q18" s="17">
        <v>5.363</v>
      </c>
      <c r="R18" s="17">
        <v>6.645</v>
      </c>
      <c r="S18" s="17">
        <v>5.654</v>
      </c>
      <c r="T18" s="17"/>
      <c r="U18" s="3"/>
      <c r="V18" s="11" t="s">
        <v>244</v>
      </c>
      <c r="W18" s="14">
        <f t="shared" ref="W18:AC18" si="61">D18/M18</f>
        <v>0.0131547919824827</v>
      </c>
      <c r="X18" s="14">
        <f t="shared" si="61"/>
        <v>0.0128656971770744</v>
      </c>
      <c r="Y18" s="14">
        <f t="shared" si="61"/>
        <v>0.0133273542600897</v>
      </c>
      <c r="Z18" s="14">
        <f t="shared" si="61"/>
        <v>0.0145564821834723</v>
      </c>
      <c r="AA18" s="14">
        <f t="shared" si="61"/>
        <v>0.0148610852134999</v>
      </c>
      <c r="AB18" s="15">
        <f t="shared" si="61"/>
        <v>0.0111813393528969</v>
      </c>
      <c r="AC18" s="15">
        <f t="shared" si="61"/>
        <v>0.0131411390166254</v>
      </c>
      <c r="AD18" s="4"/>
      <c r="AE18" s="4"/>
      <c r="AF18" s="14">
        <f t="shared" ref="AF18:AJ18" si="62">W18</f>
        <v>0.0131547919824827</v>
      </c>
      <c r="AG18" s="14">
        <f t="shared" si="62"/>
        <v>0.0128656971770744</v>
      </c>
      <c r="AH18" s="14">
        <f t="shared" si="62"/>
        <v>0.0133273542600897</v>
      </c>
      <c r="AI18" s="14">
        <f t="shared" si="62"/>
        <v>0.0145564821834723</v>
      </c>
      <c r="AJ18" s="14">
        <f t="shared" si="62"/>
        <v>0.0148610852134999</v>
      </c>
      <c r="AK18" s="16">
        <f t="shared" si="3"/>
        <v>0.0128585402558315</v>
      </c>
      <c r="AL18" s="16">
        <f t="shared" si="4"/>
        <v>0.0151123098691192</v>
      </c>
      <c r="AM18" s="4"/>
      <c r="AN18" s="4"/>
      <c r="AO18" s="14">
        <f t="shared" ref="AO18:AS18" si="63">W18</f>
        <v>0.0131547919824827</v>
      </c>
      <c r="AP18" s="14">
        <f t="shared" si="63"/>
        <v>0.0128656971770744</v>
      </c>
      <c r="AQ18" s="14">
        <f t="shared" si="63"/>
        <v>0.0133273542600897</v>
      </c>
      <c r="AR18" s="14">
        <f t="shared" si="63"/>
        <v>0.0145564821834723</v>
      </c>
      <c r="AS18" s="14">
        <f t="shared" si="63"/>
        <v>0.0148610852134999</v>
      </c>
      <c r="AT18" s="16">
        <f t="shared" si="6"/>
        <v>0.00950413844996238</v>
      </c>
      <c r="AU18" s="16">
        <f t="shared" si="7"/>
        <v>0.0111699681641316</v>
      </c>
      <c r="AZ18" s="3"/>
      <c r="BA18" s="11" t="s">
        <v>244</v>
      </c>
      <c r="BB18" s="12">
        <v>85.3</v>
      </c>
      <c r="BC18" s="14">
        <v>78.1</v>
      </c>
      <c r="BD18" s="14">
        <v>75.2</v>
      </c>
      <c r="BE18" s="14">
        <v>74.3</v>
      </c>
      <c r="BF18" s="14">
        <v>76.8</v>
      </c>
      <c r="BG18" s="14">
        <v>79.7</v>
      </c>
      <c r="BH18" s="14">
        <v>74.3</v>
      </c>
      <c r="BI18" s="14">
        <v>74.3</v>
      </c>
      <c r="BJ18" s="4"/>
      <c r="BK18" s="4"/>
      <c r="BL18" s="17"/>
      <c r="BM18" s="17"/>
      <c r="BN18" s="17"/>
      <c r="BO18" s="17"/>
    </row>
    <row r="19" ht="15.5" spans="1:67">
      <c r="A19" s="4"/>
      <c r="B19" s="4"/>
      <c r="C19" s="7"/>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Z19" s="4"/>
      <c r="BA19" s="4"/>
      <c r="BB19" s="7"/>
      <c r="BC19" s="4"/>
      <c r="BD19" s="4"/>
      <c r="BE19" s="4"/>
      <c r="BF19" s="4"/>
      <c r="BG19" s="4"/>
      <c r="BH19" s="4"/>
      <c r="BI19" s="4"/>
      <c r="BJ19" s="4"/>
      <c r="BK19" s="4"/>
      <c r="BL19" s="4"/>
      <c r="BM19" s="4"/>
      <c r="BN19" s="4"/>
      <c r="BO19" s="4"/>
    </row>
    <row r="20" ht="15.5" spans="1:67">
      <c r="A20" s="4"/>
      <c r="B20" s="4"/>
      <c r="C20" s="7"/>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Z20" s="4"/>
      <c r="BA20" s="4"/>
      <c r="BB20" s="7"/>
      <c r="BC20" s="4"/>
      <c r="BD20" s="4"/>
      <c r="BE20" s="4"/>
      <c r="BF20" s="4"/>
      <c r="BG20" s="4"/>
      <c r="BH20" s="4"/>
      <c r="BI20" s="4"/>
      <c r="BJ20" s="4"/>
      <c r="BK20" s="4"/>
      <c r="BL20" s="4"/>
      <c r="BM20" s="4"/>
      <c r="BN20" s="4"/>
      <c r="BO20" s="4"/>
    </row>
    <row r="21" ht="15.5" spans="1:67">
      <c r="A21" s="3" t="s">
        <v>258</v>
      </c>
      <c r="B21" s="3"/>
      <c r="C21" s="3"/>
      <c r="D21" s="3"/>
      <c r="E21" s="3"/>
      <c r="F21" s="3"/>
      <c r="G21" s="3"/>
      <c r="H21" s="3"/>
      <c r="I21" s="3"/>
      <c r="J21" s="3"/>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Z21" s="3" t="s">
        <v>258</v>
      </c>
      <c r="BA21" s="3"/>
      <c r="BB21" s="3"/>
      <c r="BC21" s="3"/>
      <c r="BD21" s="3"/>
      <c r="BE21" s="3"/>
      <c r="BF21" s="3"/>
      <c r="BG21" s="3"/>
      <c r="BH21" s="3"/>
      <c r="BI21" s="3"/>
      <c r="BJ21" s="4"/>
      <c r="BK21" s="4"/>
      <c r="BL21" s="4"/>
      <c r="BM21" s="4"/>
      <c r="BN21" s="4"/>
      <c r="BO21" s="4"/>
    </row>
    <row r="22" ht="15.5" spans="1:67">
      <c r="A22" s="3" t="s">
        <v>228</v>
      </c>
      <c r="B22" s="3" t="s">
        <v>259</v>
      </c>
      <c r="C22" s="3" t="s">
        <v>230</v>
      </c>
      <c r="D22" s="3"/>
      <c r="E22" s="3"/>
      <c r="F22" s="3"/>
      <c r="G22" s="3"/>
      <c r="H22" s="3"/>
      <c r="I22" s="3"/>
      <c r="J22" s="3"/>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Z22" s="3" t="s">
        <v>228</v>
      </c>
      <c r="BA22" s="3" t="s">
        <v>259</v>
      </c>
      <c r="BB22" s="3" t="s">
        <v>230</v>
      </c>
      <c r="BC22" s="3"/>
      <c r="BD22" s="3"/>
      <c r="BE22" s="3"/>
      <c r="BF22" s="3"/>
      <c r="BG22" s="3"/>
      <c r="BH22" s="3"/>
      <c r="BI22" s="3"/>
      <c r="BJ22" s="4"/>
      <c r="BK22" s="4"/>
      <c r="BL22" s="4"/>
      <c r="BM22" s="4"/>
      <c r="BN22" s="4"/>
      <c r="BO22" s="4"/>
    </row>
    <row r="23" ht="30" spans="1:67">
      <c r="A23" s="3"/>
      <c r="B23" s="3"/>
      <c r="C23" s="7" t="s">
        <v>231</v>
      </c>
      <c r="D23" s="4" t="s">
        <v>232</v>
      </c>
      <c r="E23" s="4" t="s">
        <v>233</v>
      </c>
      <c r="F23" s="8" t="s">
        <v>234</v>
      </c>
      <c r="G23" s="4" t="s">
        <v>235</v>
      </c>
      <c r="H23" s="4" t="s">
        <v>236</v>
      </c>
      <c r="I23" s="4" t="s">
        <v>237</v>
      </c>
      <c r="J23" s="4" t="s">
        <v>238</v>
      </c>
      <c r="K23" s="4"/>
      <c r="L23" s="4"/>
      <c r="M23" s="4" t="s">
        <v>232</v>
      </c>
      <c r="N23" s="4" t="s">
        <v>233</v>
      </c>
      <c r="O23" s="4" t="s">
        <v>234</v>
      </c>
      <c r="P23" s="4" t="s">
        <v>235</v>
      </c>
      <c r="Q23" s="4" t="s">
        <v>236</v>
      </c>
      <c r="R23" s="4" t="s">
        <v>237</v>
      </c>
      <c r="S23" s="4" t="s">
        <v>238</v>
      </c>
      <c r="T23" s="4"/>
      <c r="U23" s="4"/>
      <c r="V23" s="6" t="s">
        <v>257</v>
      </c>
      <c r="W23" s="4" t="s">
        <v>232</v>
      </c>
      <c r="X23" s="4" t="s">
        <v>233</v>
      </c>
      <c r="Y23" s="8" t="s">
        <v>234</v>
      </c>
      <c r="Z23" s="4" t="s">
        <v>235</v>
      </c>
      <c r="AA23" s="4" t="s">
        <v>236</v>
      </c>
      <c r="AB23" s="10" t="s">
        <v>237</v>
      </c>
      <c r="AC23" s="10" t="s">
        <v>238</v>
      </c>
      <c r="AD23" s="4"/>
      <c r="AE23" s="4"/>
      <c r="AF23" s="4" t="s">
        <v>232</v>
      </c>
      <c r="AG23" s="4" t="s">
        <v>233</v>
      </c>
      <c r="AH23" s="8" t="s">
        <v>234</v>
      </c>
      <c r="AI23" s="4" t="s">
        <v>235</v>
      </c>
      <c r="AJ23" s="4" t="s">
        <v>236</v>
      </c>
      <c r="AK23" s="10" t="s">
        <v>237</v>
      </c>
      <c r="AL23" s="10" t="s">
        <v>238</v>
      </c>
      <c r="AM23" s="4"/>
      <c r="AN23" s="4"/>
      <c r="AO23" s="4" t="s">
        <v>232</v>
      </c>
      <c r="AP23" s="4" t="s">
        <v>233</v>
      </c>
      <c r="AQ23" s="8" t="s">
        <v>234</v>
      </c>
      <c r="AR23" s="4" t="s">
        <v>235</v>
      </c>
      <c r="AS23" s="4" t="s">
        <v>236</v>
      </c>
      <c r="AT23" s="10" t="s">
        <v>237</v>
      </c>
      <c r="AU23" s="10" t="s">
        <v>238</v>
      </c>
      <c r="AZ23" s="3"/>
      <c r="BA23" s="3"/>
      <c r="BB23" s="7" t="s">
        <v>231</v>
      </c>
      <c r="BC23" s="4" t="s">
        <v>232</v>
      </c>
      <c r="BD23" s="4" t="s">
        <v>233</v>
      </c>
      <c r="BE23" s="8" t="s">
        <v>234</v>
      </c>
      <c r="BF23" s="4" t="s">
        <v>235</v>
      </c>
      <c r="BG23" s="4" t="s">
        <v>236</v>
      </c>
      <c r="BH23" s="4" t="s">
        <v>237</v>
      </c>
      <c r="BI23" s="4" t="s">
        <v>238</v>
      </c>
      <c r="BJ23" s="4"/>
      <c r="BK23" s="4"/>
      <c r="BL23" s="4"/>
      <c r="BM23" s="4"/>
      <c r="BN23" s="4"/>
      <c r="BO23" s="4"/>
    </row>
    <row r="24" ht="15.5" spans="1:67">
      <c r="A24" s="3" t="s">
        <v>239</v>
      </c>
      <c r="B24" s="11" t="s">
        <v>240</v>
      </c>
      <c r="C24" s="12">
        <f t="shared" ref="C24:J24" si="64">BB24/1000</f>
        <v>0.8898</v>
      </c>
      <c r="D24" s="12">
        <f t="shared" si="64"/>
        <v>0.8432</v>
      </c>
      <c r="E24" s="12">
        <f t="shared" si="64"/>
        <v>0.8038</v>
      </c>
      <c r="F24" s="12">
        <f t="shared" si="64"/>
        <v>0.7946</v>
      </c>
      <c r="G24" s="12">
        <f t="shared" si="64"/>
        <v>0.7665</v>
      </c>
      <c r="H24" s="12">
        <f t="shared" si="64"/>
        <v>0.8066</v>
      </c>
      <c r="I24" s="12">
        <f t="shared" si="64"/>
        <v>0.7946</v>
      </c>
      <c r="J24" s="12">
        <f t="shared" si="64"/>
        <v>0.7946</v>
      </c>
      <c r="K24" s="4"/>
      <c r="L24" s="4"/>
      <c r="M24" s="13">
        <v>5.937</v>
      </c>
      <c r="N24" s="13">
        <v>5.845</v>
      </c>
      <c r="O24" s="13">
        <v>5.575</v>
      </c>
      <c r="P24" s="13">
        <v>5.276</v>
      </c>
      <c r="Q24" s="13">
        <v>5.363</v>
      </c>
      <c r="R24" s="13">
        <v>6.645</v>
      </c>
      <c r="S24" s="13">
        <v>5.654</v>
      </c>
      <c r="T24" s="13"/>
      <c r="U24" s="3" t="s">
        <v>239</v>
      </c>
      <c r="V24" s="11" t="s">
        <v>240</v>
      </c>
      <c r="W24" s="14">
        <f t="shared" ref="W24:AC24" si="65">D24/M24</f>
        <v>0.142024591544551</v>
      </c>
      <c r="X24" s="14">
        <f t="shared" si="65"/>
        <v>0.137519247219846</v>
      </c>
      <c r="Y24" s="14">
        <f t="shared" si="65"/>
        <v>0.142529147982063</v>
      </c>
      <c r="Z24" s="14">
        <f t="shared" si="65"/>
        <v>0.145280515542077</v>
      </c>
      <c r="AA24" s="14">
        <f t="shared" si="65"/>
        <v>0.150400895021443</v>
      </c>
      <c r="AB24" s="15">
        <f t="shared" si="65"/>
        <v>0.119578630549285</v>
      </c>
      <c r="AC24" s="15">
        <f t="shared" si="65"/>
        <v>0.140537672444287</v>
      </c>
      <c r="AD24" s="4"/>
      <c r="AE24" s="4"/>
      <c r="AF24" s="14">
        <f t="shared" ref="AF24:AJ24" si="66">W24</f>
        <v>0.142024591544551</v>
      </c>
      <c r="AG24" s="14">
        <f t="shared" si="66"/>
        <v>0.137519247219846</v>
      </c>
      <c r="AH24" s="14">
        <f t="shared" si="66"/>
        <v>0.142529147982063</v>
      </c>
      <c r="AI24" s="14">
        <f t="shared" si="66"/>
        <v>0.145280515542077</v>
      </c>
      <c r="AJ24" s="14">
        <f t="shared" si="66"/>
        <v>0.150400895021443</v>
      </c>
      <c r="AK24" s="16">
        <f t="shared" ref="AK24:AK38" si="67">AB24*1.15</f>
        <v>0.137515425131678</v>
      </c>
      <c r="AL24" s="16">
        <f t="shared" ref="AL24:AL38" si="68">AC24*1.15</f>
        <v>0.16161832331093</v>
      </c>
      <c r="AM24" s="4"/>
      <c r="AN24" s="4"/>
      <c r="AO24" s="14">
        <f t="shared" ref="AO24:AS24" si="69">W24</f>
        <v>0.142024591544551</v>
      </c>
      <c r="AP24" s="14">
        <f t="shared" si="69"/>
        <v>0.137519247219846</v>
      </c>
      <c r="AQ24" s="14">
        <f t="shared" si="69"/>
        <v>0.142529147982063</v>
      </c>
      <c r="AR24" s="14">
        <f t="shared" si="69"/>
        <v>0.145280515542077</v>
      </c>
      <c r="AS24" s="14">
        <f t="shared" si="69"/>
        <v>0.150400895021443</v>
      </c>
      <c r="AT24" s="16">
        <f t="shared" ref="AT24:AT38" si="70">AB24*0.85</f>
        <v>0.101641835966892</v>
      </c>
      <c r="AU24" s="16">
        <f t="shared" ref="AU24:AU38" si="71">AC24*0.85</f>
        <v>0.119457021577644</v>
      </c>
      <c r="AZ24" s="3" t="s">
        <v>239</v>
      </c>
      <c r="BA24" s="11" t="s">
        <v>240</v>
      </c>
      <c r="BB24" s="12">
        <v>889.8</v>
      </c>
      <c r="BC24" s="14">
        <v>843.2</v>
      </c>
      <c r="BD24" s="14">
        <v>803.8</v>
      </c>
      <c r="BE24" s="14">
        <v>794.6</v>
      </c>
      <c r="BF24" s="14">
        <v>766.5</v>
      </c>
      <c r="BG24" s="14">
        <v>806.6</v>
      </c>
      <c r="BH24" s="14">
        <v>794.6</v>
      </c>
      <c r="BI24" s="14">
        <v>794.6</v>
      </c>
      <c r="BJ24" s="4"/>
      <c r="BK24" s="4"/>
      <c r="BL24" s="13"/>
      <c r="BM24" s="13"/>
      <c r="BN24" s="13"/>
      <c r="BO24" s="13"/>
    </row>
    <row r="25" ht="15.5" spans="1:67">
      <c r="A25" s="3"/>
      <c r="B25" s="11" t="s">
        <v>241</v>
      </c>
      <c r="C25" s="12">
        <f t="shared" ref="C25:J25" si="72">BB25/1000</f>
        <v>0.8124</v>
      </c>
      <c r="D25" s="12">
        <f t="shared" si="72"/>
        <v>0.7746</v>
      </c>
      <c r="E25" s="12">
        <f t="shared" si="72"/>
        <v>0.739</v>
      </c>
      <c r="F25" s="12">
        <f t="shared" si="72"/>
        <v>0.7307</v>
      </c>
      <c r="G25" s="12">
        <f t="shared" si="72"/>
        <v>0.7045</v>
      </c>
      <c r="H25" s="12">
        <f t="shared" si="72"/>
        <v>0.7424</v>
      </c>
      <c r="I25" s="12">
        <f t="shared" si="72"/>
        <v>0.7307</v>
      </c>
      <c r="J25" s="12">
        <f t="shared" si="72"/>
        <v>0.7307</v>
      </c>
      <c r="K25" s="4"/>
      <c r="L25" s="4"/>
      <c r="M25" s="17">
        <v>5.937</v>
      </c>
      <c r="N25" s="17">
        <v>5.845</v>
      </c>
      <c r="O25" s="17">
        <v>5.575</v>
      </c>
      <c r="P25" s="17">
        <v>5.276</v>
      </c>
      <c r="Q25" s="17">
        <v>5.363</v>
      </c>
      <c r="R25" s="17">
        <v>6.645</v>
      </c>
      <c r="S25" s="17">
        <v>5.654</v>
      </c>
      <c r="T25" s="17"/>
      <c r="U25" s="3"/>
      <c r="V25" s="11" t="s">
        <v>241</v>
      </c>
      <c r="W25" s="14">
        <f t="shared" ref="W25:AC25" si="73">D25/M25</f>
        <v>0.130469934310258</v>
      </c>
      <c r="X25" s="14">
        <f t="shared" si="73"/>
        <v>0.126432848588537</v>
      </c>
      <c r="Y25" s="14">
        <f t="shared" si="73"/>
        <v>0.131067264573991</v>
      </c>
      <c r="Z25" s="14">
        <f t="shared" si="73"/>
        <v>0.133529188779378</v>
      </c>
      <c r="AA25" s="14">
        <f t="shared" si="73"/>
        <v>0.138429983218348</v>
      </c>
      <c r="AB25" s="15">
        <f t="shared" si="73"/>
        <v>0.109962377727615</v>
      </c>
      <c r="AC25" s="15">
        <f t="shared" si="73"/>
        <v>0.129235939158118</v>
      </c>
      <c r="AD25" s="4"/>
      <c r="AE25" s="4"/>
      <c r="AF25" s="14">
        <f t="shared" ref="AF25:AJ25" si="74">W25</f>
        <v>0.130469934310258</v>
      </c>
      <c r="AG25" s="14">
        <f t="shared" si="74"/>
        <v>0.126432848588537</v>
      </c>
      <c r="AH25" s="14">
        <f t="shared" si="74"/>
        <v>0.131067264573991</v>
      </c>
      <c r="AI25" s="14">
        <f t="shared" si="74"/>
        <v>0.133529188779378</v>
      </c>
      <c r="AJ25" s="14">
        <f t="shared" si="74"/>
        <v>0.138429983218348</v>
      </c>
      <c r="AK25" s="16">
        <f t="shared" si="67"/>
        <v>0.126456734386757</v>
      </c>
      <c r="AL25" s="16">
        <f t="shared" si="68"/>
        <v>0.148621330031836</v>
      </c>
      <c r="AM25" s="4"/>
      <c r="AN25" s="4"/>
      <c r="AO25" s="14">
        <f t="shared" ref="AO25:AS25" si="75">W25</f>
        <v>0.130469934310258</v>
      </c>
      <c r="AP25" s="14">
        <f t="shared" si="75"/>
        <v>0.126432848588537</v>
      </c>
      <c r="AQ25" s="14">
        <f t="shared" si="75"/>
        <v>0.131067264573991</v>
      </c>
      <c r="AR25" s="14">
        <f t="shared" si="75"/>
        <v>0.133529188779378</v>
      </c>
      <c r="AS25" s="14">
        <f t="shared" si="75"/>
        <v>0.138429983218348</v>
      </c>
      <c r="AT25" s="16">
        <f t="shared" si="70"/>
        <v>0.0934680210684725</v>
      </c>
      <c r="AU25" s="16">
        <f t="shared" si="71"/>
        <v>0.1098505482844</v>
      </c>
      <c r="AZ25" s="3"/>
      <c r="BA25" s="11" t="s">
        <v>241</v>
      </c>
      <c r="BB25" s="12">
        <v>812.4</v>
      </c>
      <c r="BC25" s="14">
        <v>774.6</v>
      </c>
      <c r="BD25" s="14">
        <v>739</v>
      </c>
      <c r="BE25" s="14">
        <v>730.7</v>
      </c>
      <c r="BF25" s="14">
        <v>704.5</v>
      </c>
      <c r="BG25" s="14">
        <v>742.4</v>
      </c>
      <c r="BH25" s="14">
        <v>730.7</v>
      </c>
      <c r="BI25" s="14">
        <v>730.7</v>
      </c>
      <c r="BJ25" s="4"/>
      <c r="BK25" s="4"/>
      <c r="BL25" s="17"/>
      <c r="BM25" s="17"/>
      <c r="BN25" s="17"/>
      <c r="BO25" s="17"/>
    </row>
    <row r="26" ht="15.5" spans="1:67">
      <c r="A26" s="3"/>
      <c r="B26" s="11" t="s">
        <v>242</v>
      </c>
      <c r="C26" s="12">
        <f t="shared" ref="C26:J26" si="76">BB26/1000</f>
        <v>0.1699</v>
      </c>
      <c r="D26" s="12">
        <f t="shared" si="76"/>
        <v>0.1497</v>
      </c>
      <c r="E26" s="12">
        <f t="shared" si="76"/>
        <v>0.1418</v>
      </c>
      <c r="F26" s="12">
        <f t="shared" si="76"/>
        <v>0.1399</v>
      </c>
      <c r="G26" s="12">
        <f t="shared" si="76"/>
        <v>0.1359</v>
      </c>
      <c r="H26" s="12">
        <f t="shared" si="76"/>
        <v>0.1408</v>
      </c>
      <c r="I26" s="12">
        <f t="shared" si="76"/>
        <v>0.1399</v>
      </c>
      <c r="J26" s="12">
        <f t="shared" si="76"/>
        <v>0.1399</v>
      </c>
      <c r="K26" s="4"/>
      <c r="L26" s="4"/>
      <c r="M26" s="17">
        <v>5.937</v>
      </c>
      <c r="N26" s="17">
        <v>5.845</v>
      </c>
      <c r="O26" s="17">
        <v>5.575</v>
      </c>
      <c r="P26" s="17">
        <v>5.276</v>
      </c>
      <c r="Q26" s="17">
        <v>5.363</v>
      </c>
      <c r="R26" s="17">
        <v>6.645</v>
      </c>
      <c r="S26" s="17">
        <v>5.654</v>
      </c>
      <c r="T26" s="17"/>
      <c r="U26" s="3"/>
      <c r="V26" s="11" t="s">
        <v>242</v>
      </c>
      <c r="W26" s="14">
        <f t="shared" ref="W26:AC26" si="77">D26/M26</f>
        <v>0.0252147549267307</v>
      </c>
      <c r="X26" s="14">
        <f t="shared" si="77"/>
        <v>0.0242600513259196</v>
      </c>
      <c r="Y26" s="14">
        <f t="shared" si="77"/>
        <v>0.0250941704035874</v>
      </c>
      <c r="Z26" s="14">
        <f t="shared" si="77"/>
        <v>0.0257581501137225</v>
      </c>
      <c r="AA26" s="14">
        <f t="shared" si="77"/>
        <v>0.0262539623345143</v>
      </c>
      <c r="AB26" s="15">
        <f t="shared" si="77"/>
        <v>0.0210534236267871</v>
      </c>
      <c r="AC26" s="15">
        <f t="shared" si="77"/>
        <v>0.0247435443933498</v>
      </c>
      <c r="AD26" s="4"/>
      <c r="AE26" s="4"/>
      <c r="AF26" s="14">
        <f t="shared" ref="AF26:AJ26" si="78">W26</f>
        <v>0.0252147549267307</v>
      </c>
      <c r="AG26" s="14">
        <f t="shared" si="78"/>
        <v>0.0242600513259196</v>
      </c>
      <c r="AH26" s="14">
        <f t="shared" si="78"/>
        <v>0.0250941704035874</v>
      </c>
      <c r="AI26" s="14">
        <f t="shared" si="78"/>
        <v>0.0257581501137225</v>
      </c>
      <c r="AJ26" s="14">
        <f t="shared" si="78"/>
        <v>0.0262539623345143</v>
      </c>
      <c r="AK26" s="16">
        <f t="shared" si="67"/>
        <v>0.0242114371708051</v>
      </c>
      <c r="AL26" s="16">
        <f t="shared" si="68"/>
        <v>0.0284550760523523</v>
      </c>
      <c r="AM26" s="4"/>
      <c r="AN26" s="4"/>
      <c r="AO26" s="14">
        <f t="shared" ref="AO26:AS26" si="79">W26</f>
        <v>0.0252147549267307</v>
      </c>
      <c r="AP26" s="14">
        <f t="shared" si="79"/>
        <v>0.0242600513259196</v>
      </c>
      <c r="AQ26" s="14">
        <f t="shared" si="79"/>
        <v>0.0250941704035874</v>
      </c>
      <c r="AR26" s="14">
        <f t="shared" si="79"/>
        <v>0.0257581501137225</v>
      </c>
      <c r="AS26" s="14">
        <f t="shared" si="79"/>
        <v>0.0262539623345143</v>
      </c>
      <c r="AT26" s="16">
        <f t="shared" si="70"/>
        <v>0.017895410082769</v>
      </c>
      <c r="AU26" s="16">
        <f t="shared" si="71"/>
        <v>0.0210320127343474</v>
      </c>
      <c r="AZ26" s="3"/>
      <c r="BA26" s="11" t="s">
        <v>242</v>
      </c>
      <c r="BB26" s="12">
        <v>169.9</v>
      </c>
      <c r="BC26" s="14">
        <v>149.7</v>
      </c>
      <c r="BD26" s="14">
        <v>141.8</v>
      </c>
      <c r="BE26" s="14">
        <v>139.9</v>
      </c>
      <c r="BF26" s="14">
        <v>135.9</v>
      </c>
      <c r="BG26" s="14">
        <v>140.8</v>
      </c>
      <c r="BH26" s="14">
        <v>139.9</v>
      </c>
      <c r="BI26" s="14">
        <v>139.9</v>
      </c>
      <c r="BJ26" s="4"/>
      <c r="BK26" s="4"/>
      <c r="BL26" s="17"/>
      <c r="BM26" s="17"/>
      <c r="BN26" s="17"/>
      <c r="BO26" s="17"/>
    </row>
    <row r="27" ht="15.5" spans="1:67">
      <c r="A27" s="3"/>
      <c r="B27" s="11" t="s">
        <v>243</v>
      </c>
      <c r="C27" s="12">
        <f t="shared" ref="C27:J27" si="80">BB27/1000</f>
        <v>0.5978</v>
      </c>
      <c r="D27" s="12">
        <f t="shared" si="80"/>
        <v>0.5807</v>
      </c>
      <c r="E27" s="12">
        <f t="shared" si="80"/>
        <v>0.554</v>
      </c>
      <c r="F27" s="12">
        <f t="shared" si="80"/>
        <v>0.5478</v>
      </c>
      <c r="G27" s="12">
        <f t="shared" si="80"/>
        <v>0.526</v>
      </c>
      <c r="H27" s="12">
        <f t="shared" si="80"/>
        <v>0.5575</v>
      </c>
      <c r="I27" s="12">
        <f t="shared" si="80"/>
        <v>0.5478</v>
      </c>
      <c r="J27" s="12">
        <f t="shared" si="80"/>
        <v>0.5478</v>
      </c>
      <c r="K27" s="4"/>
      <c r="L27" s="4"/>
      <c r="M27" s="17">
        <v>5.937</v>
      </c>
      <c r="N27" s="17">
        <v>5.845</v>
      </c>
      <c r="O27" s="17">
        <v>5.575</v>
      </c>
      <c r="P27" s="17">
        <v>5.276</v>
      </c>
      <c r="Q27" s="17">
        <v>5.363</v>
      </c>
      <c r="R27" s="17">
        <v>6.645</v>
      </c>
      <c r="S27" s="17">
        <v>5.654</v>
      </c>
      <c r="T27" s="17"/>
      <c r="U27" s="3"/>
      <c r="V27" s="11" t="s">
        <v>243</v>
      </c>
      <c r="W27" s="14">
        <f t="shared" ref="W27:AC27" si="81">D27/M27</f>
        <v>0.0978103419235304</v>
      </c>
      <c r="X27" s="14">
        <f t="shared" si="81"/>
        <v>0.0947818648417451</v>
      </c>
      <c r="Y27" s="14">
        <f t="shared" si="81"/>
        <v>0.0982600896860986</v>
      </c>
      <c r="Z27" s="14">
        <f t="shared" si="81"/>
        <v>0.099696739954511</v>
      </c>
      <c r="AA27" s="14">
        <f t="shared" si="81"/>
        <v>0.103953011374231</v>
      </c>
      <c r="AB27" s="15">
        <f t="shared" si="81"/>
        <v>0.0824379232505643</v>
      </c>
      <c r="AC27" s="15">
        <f t="shared" si="81"/>
        <v>0.0968871595330739</v>
      </c>
      <c r="AD27" s="4"/>
      <c r="AE27" s="4"/>
      <c r="AF27" s="14">
        <f t="shared" ref="AF27:AJ27" si="82">W27</f>
        <v>0.0978103419235304</v>
      </c>
      <c r="AG27" s="14">
        <f t="shared" si="82"/>
        <v>0.0947818648417451</v>
      </c>
      <c r="AH27" s="14">
        <f t="shared" si="82"/>
        <v>0.0982600896860986</v>
      </c>
      <c r="AI27" s="14">
        <f t="shared" si="82"/>
        <v>0.099696739954511</v>
      </c>
      <c r="AJ27" s="14">
        <f t="shared" si="82"/>
        <v>0.103953011374231</v>
      </c>
      <c r="AK27" s="16">
        <f t="shared" si="67"/>
        <v>0.094803611738149</v>
      </c>
      <c r="AL27" s="16">
        <f t="shared" si="68"/>
        <v>0.111420233463035</v>
      </c>
      <c r="AM27" s="4"/>
      <c r="AN27" s="4"/>
      <c r="AO27" s="14">
        <f t="shared" ref="AO27:AS27" si="83">W27</f>
        <v>0.0978103419235304</v>
      </c>
      <c r="AP27" s="14">
        <f t="shared" si="83"/>
        <v>0.0947818648417451</v>
      </c>
      <c r="AQ27" s="14">
        <f t="shared" si="83"/>
        <v>0.0982600896860986</v>
      </c>
      <c r="AR27" s="14">
        <f t="shared" si="83"/>
        <v>0.099696739954511</v>
      </c>
      <c r="AS27" s="14">
        <f t="shared" si="83"/>
        <v>0.103953011374231</v>
      </c>
      <c r="AT27" s="16">
        <f t="shared" si="70"/>
        <v>0.0700722347629797</v>
      </c>
      <c r="AU27" s="16">
        <f t="shared" si="71"/>
        <v>0.0823540856031128</v>
      </c>
      <c r="AZ27" s="3"/>
      <c r="BA27" s="11" t="s">
        <v>243</v>
      </c>
      <c r="BB27" s="12">
        <v>597.8</v>
      </c>
      <c r="BC27" s="14">
        <v>580.7</v>
      </c>
      <c r="BD27" s="14">
        <v>554</v>
      </c>
      <c r="BE27" s="14">
        <v>547.8</v>
      </c>
      <c r="BF27" s="14">
        <v>526</v>
      </c>
      <c r="BG27" s="14">
        <v>557.5</v>
      </c>
      <c r="BH27" s="14">
        <v>547.8</v>
      </c>
      <c r="BI27" s="14">
        <v>547.8</v>
      </c>
      <c r="BJ27" s="4"/>
      <c r="BK27" s="4"/>
      <c r="BL27" s="17"/>
      <c r="BM27" s="17"/>
      <c r="BN27" s="17"/>
      <c r="BO27" s="17"/>
    </row>
    <row r="28" ht="15.5" spans="1:67">
      <c r="A28" s="3"/>
      <c r="B28" s="11" t="s">
        <v>244</v>
      </c>
      <c r="C28" s="12">
        <f t="shared" ref="C28:J28" si="84">BB28/1000</f>
        <v>0.085</v>
      </c>
      <c r="D28" s="12">
        <f t="shared" si="84"/>
        <v>0.0786</v>
      </c>
      <c r="E28" s="12">
        <f t="shared" si="84"/>
        <v>0.0763</v>
      </c>
      <c r="F28" s="12">
        <f t="shared" si="84"/>
        <v>0.0759</v>
      </c>
      <c r="G28" s="12">
        <f t="shared" si="84"/>
        <v>0.0737</v>
      </c>
      <c r="H28" s="12">
        <f t="shared" si="84"/>
        <v>0.076</v>
      </c>
      <c r="I28" s="12">
        <f t="shared" si="84"/>
        <v>0.0759</v>
      </c>
      <c r="J28" s="12">
        <f t="shared" si="84"/>
        <v>0.0759</v>
      </c>
      <c r="K28" s="4"/>
      <c r="L28" s="4"/>
      <c r="M28" s="17">
        <v>5.937</v>
      </c>
      <c r="N28" s="17">
        <v>5.845</v>
      </c>
      <c r="O28" s="17">
        <v>5.575</v>
      </c>
      <c r="P28" s="17">
        <v>5.276</v>
      </c>
      <c r="Q28" s="17">
        <v>5.363</v>
      </c>
      <c r="R28" s="17">
        <v>6.645</v>
      </c>
      <c r="S28" s="17">
        <v>5.654</v>
      </c>
      <c r="T28" s="17"/>
      <c r="U28" s="3"/>
      <c r="V28" s="11" t="s">
        <v>244</v>
      </c>
      <c r="W28" s="14">
        <f t="shared" ref="W28:AC28" si="85">D28/M28</f>
        <v>0.0132390096008085</v>
      </c>
      <c r="X28" s="14">
        <f t="shared" si="85"/>
        <v>0.0130538922155689</v>
      </c>
      <c r="Y28" s="14">
        <f t="shared" si="85"/>
        <v>0.0136143497757848</v>
      </c>
      <c r="Z28" s="14">
        <f t="shared" si="85"/>
        <v>0.0139689158453374</v>
      </c>
      <c r="AA28" s="14">
        <f t="shared" si="85"/>
        <v>0.0141711728510162</v>
      </c>
      <c r="AB28" s="15">
        <f t="shared" si="85"/>
        <v>0.0114221218961625</v>
      </c>
      <c r="AC28" s="15">
        <f t="shared" si="85"/>
        <v>0.0134241245136187</v>
      </c>
      <c r="AD28" s="4"/>
      <c r="AE28" s="4"/>
      <c r="AF28" s="14">
        <f t="shared" ref="AF28:AJ28" si="86">W28</f>
        <v>0.0132390096008085</v>
      </c>
      <c r="AG28" s="14">
        <f t="shared" si="86"/>
        <v>0.0130538922155689</v>
      </c>
      <c r="AH28" s="14">
        <f t="shared" si="86"/>
        <v>0.0136143497757848</v>
      </c>
      <c r="AI28" s="14">
        <f t="shared" si="86"/>
        <v>0.0139689158453374</v>
      </c>
      <c r="AJ28" s="14">
        <f t="shared" si="86"/>
        <v>0.0141711728510162</v>
      </c>
      <c r="AK28" s="16">
        <f t="shared" si="67"/>
        <v>0.0131354401805869</v>
      </c>
      <c r="AL28" s="16">
        <f t="shared" si="68"/>
        <v>0.0154377431906615</v>
      </c>
      <c r="AM28" s="4"/>
      <c r="AN28" s="4"/>
      <c r="AO28" s="14">
        <f t="shared" ref="AO28:AS28" si="87">W28</f>
        <v>0.0132390096008085</v>
      </c>
      <c r="AP28" s="14">
        <f t="shared" si="87"/>
        <v>0.0130538922155689</v>
      </c>
      <c r="AQ28" s="14">
        <f t="shared" si="87"/>
        <v>0.0136143497757848</v>
      </c>
      <c r="AR28" s="14">
        <f t="shared" si="87"/>
        <v>0.0139689158453374</v>
      </c>
      <c r="AS28" s="14">
        <f t="shared" si="87"/>
        <v>0.0141711728510162</v>
      </c>
      <c r="AT28" s="16">
        <f t="shared" si="70"/>
        <v>0.00970880361173815</v>
      </c>
      <c r="AU28" s="16">
        <f t="shared" si="71"/>
        <v>0.0114105058365759</v>
      </c>
      <c r="AZ28" s="3"/>
      <c r="BA28" s="11" t="s">
        <v>244</v>
      </c>
      <c r="BB28" s="12">
        <v>85</v>
      </c>
      <c r="BC28" s="14">
        <v>78.6</v>
      </c>
      <c r="BD28" s="14">
        <v>76.3</v>
      </c>
      <c r="BE28" s="14">
        <v>75.9</v>
      </c>
      <c r="BF28" s="14">
        <v>73.7</v>
      </c>
      <c r="BG28" s="14">
        <v>76</v>
      </c>
      <c r="BH28" s="14">
        <v>75.9</v>
      </c>
      <c r="BI28" s="14">
        <v>75.9</v>
      </c>
      <c r="BJ28" s="4"/>
      <c r="BK28" s="4"/>
      <c r="BL28" s="17"/>
      <c r="BM28" s="17"/>
      <c r="BN28" s="17"/>
      <c r="BO28" s="17"/>
    </row>
    <row r="29" ht="15.5" spans="1:67">
      <c r="A29" s="3" t="s">
        <v>245</v>
      </c>
      <c r="B29" s="11" t="s">
        <v>240</v>
      </c>
      <c r="C29" s="12">
        <f t="shared" ref="C29:J29" si="88">BB29/1000</f>
        <v>0.9068</v>
      </c>
      <c r="D29" s="12">
        <f t="shared" si="88"/>
        <v>0.8586</v>
      </c>
      <c r="E29" s="12">
        <f t="shared" si="88"/>
        <v>0.8184</v>
      </c>
      <c r="F29" s="12">
        <f t="shared" si="88"/>
        <v>0.8091</v>
      </c>
      <c r="G29" s="12">
        <f t="shared" si="88"/>
        <v>0.7811</v>
      </c>
      <c r="H29" s="12">
        <f t="shared" si="88"/>
        <v>0.8217</v>
      </c>
      <c r="I29" s="12">
        <f t="shared" si="88"/>
        <v>0.8091</v>
      </c>
      <c r="J29" s="12">
        <f t="shared" si="88"/>
        <v>0.8091</v>
      </c>
      <c r="K29" s="4"/>
      <c r="L29" s="4"/>
      <c r="M29" s="17">
        <v>5.937</v>
      </c>
      <c r="N29" s="17">
        <v>5.845</v>
      </c>
      <c r="O29" s="17">
        <v>5.575</v>
      </c>
      <c r="P29" s="17">
        <v>5.276</v>
      </c>
      <c r="Q29" s="17">
        <v>5.363</v>
      </c>
      <c r="R29" s="17">
        <v>6.645</v>
      </c>
      <c r="S29" s="17">
        <v>5.654</v>
      </c>
      <c r="T29" s="17"/>
      <c r="U29" s="3" t="s">
        <v>245</v>
      </c>
      <c r="V29" s="11" t="s">
        <v>240</v>
      </c>
      <c r="W29" s="14">
        <f t="shared" ref="W29:AC29" si="89">D29/M29</f>
        <v>0.144618494188984</v>
      </c>
      <c r="X29" s="14">
        <f t="shared" si="89"/>
        <v>0.140017108639863</v>
      </c>
      <c r="Y29" s="14">
        <f t="shared" si="89"/>
        <v>0.145130044843049</v>
      </c>
      <c r="Z29" s="14">
        <f t="shared" si="89"/>
        <v>0.148047763457165</v>
      </c>
      <c r="AA29" s="14">
        <f t="shared" si="89"/>
        <v>0.153216483311579</v>
      </c>
      <c r="AB29" s="15">
        <f t="shared" si="89"/>
        <v>0.12176072234763</v>
      </c>
      <c r="AC29" s="15">
        <f t="shared" si="89"/>
        <v>0.143102228510789</v>
      </c>
      <c r="AD29" s="4"/>
      <c r="AE29" s="4"/>
      <c r="AF29" s="14">
        <f t="shared" ref="AF29:AJ29" si="90">W29</f>
        <v>0.144618494188984</v>
      </c>
      <c r="AG29" s="14">
        <f t="shared" si="90"/>
        <v>0.140017108639863</v>
      </c>
      <c r="AH29" s="14">
        <f t="shared" si="90"/>
        <v>0.145130044843049</v>
      </c>
      <c r="AI29" s="14">
        <f t="shared" si="90"/>
        <v>0.148047763457165</v>
      </c>
      <c r="AJ29" s="14">
        <f t="shared" si="90"/>
        <v>0.153216483311579</v>
      </c>
      <c r="AK29" s="16">
        <f t="shared" si="67"/>
        <v>0.140024830699774</v>
      </c>
      <c r="AL29" s="16">
        <f t="shared" si="68"/>
        <v>0.164567562787407</v>
      </c>
      <c r="AM29" s="4"/>
      <c r="AN29" s="4"/>
      <c r="AO29" s="14">
        <f t="shared" ref="AO29:AS29" si="91">W29</f>
        <v>0.144618494188984</v>
      </c>
      <c r="AP29" s="14">
        <f t="shared" si="91"/>
        <v>0.140017108639863</v>
      </c>
      <c r="AQ29" s="14">
        <f t="shared" si="91"/>
        <v>0.145130044843049</v>
      </c>
      <c r="AR29" s="14">
        <f t="shared" si="91"/>
        <v>0.148047763457165</v>
      </c>
      <c r="AS29" s="14">
        <f t="shared" si="91"/>
        <v>0.153216483311579</v>
      </c>
      <c r="AT29" s="16">
        <f t="shared" si="70"/>
        <v>0.103496613995485</v>
      </c>
      <c r="AU29" s="16">
        <f t="shared" si="71"/>
        <v>0.12163689423417</v>
      </c>
      <c r="AZ29" s="3" t="s">
        <v>245</v>
      </c>
      <c r="BA29" s="11" t="s">
        <v>240</v>
      </c>
      <c r="BB29" s="12">
        <v>906.8</v>
      </c>
      <c r="BC29" s="14">
        <v>858.6</v>
      </c>
      <c r="BD29" s="14">
        <v>818.4</v>
      </c>
      <c r="BE29" s="14">
        <v>809.1</v>
      </c>
      <c r="BF29" s="14">
        <v>781.1</v>
      </c>
      <c r="BG29" s="14">
        <v>821.7</v>
      </c>
      <c r="BH29" s="14">
        <v>809.1</v>
      </c>
      <c r="BI29" s="14">
        <v>809.1</v>
      </c>
      <c r="BJ29" s="4"/>
      <c r="BK29" s="4"/>
      <c r="BL29" s="17"/>
      <c r="BM29" s="17"/>
      <c r="BN29" s="17"/>
      <c r="BO29" s="17"/>
    </row>
    <row r="30" ht="15.5" spans="1:67">
      <c r="A30" s="3"/>
      <c r="B30" s="11" t="s">
        <v>241</v>
      </c>
      <c r="C30" s="12">
        <f t="shared" ref="C30:J30" si="92">BB30/1000</f>
        <v>0.8303</v>
      </c>
      <c r="D30" s="12">
        <f t="shared" si="92"/>
        <v>0.7909</v>
      </c>
      <c r="E30" s="12">
        <f t="shared" si="92"/>
        <v>0.7545</v>
      </c>
      <c r="F30" s="12">
        <f t="shared" si="92"/>
        <v>0.746</v>
      </c>
      <c r="G30" s="12">
        <f t="shared" si="92"/>
        <v>0.7199</v>
      </c>
      <c r="H30" s="12">
        <f t="shared" si="92"/>
        <v>0.7584</v>
      </c>
      <c r="I30" s="12">
        <f t="shared" si="92"/>
        <v>0.746</v>
      </c>
      <c r="J30" s="12">
        <f t="shared" si="92"/>
        <v>0.746</v>
      </c>
      <c r="K30" s="4"/>
      <c r="L30" s="4"/>
      <c r="M30" s="17">
        <v>5.937</v>
      </c>
      <c r="N30" s="17">
        <v>5.845</v>
      </c>
      <c r="O30" s="17">
        <v>5.575</v>
      </c>
      <c r="P30" s="17">
        <v>5.276</v>
      </c>
      <c r="Q30" s="17">
        <v>5.363</v>
      </c>
      <c r="R30" s="17">
        <v>6.645</v>
      </c>
      <c r="S30" s="17">
        <v>5.654</v>
      </c>
      <c r="T30" s="17"/>
      <c r="U30" s="3"/>
      <c r="V30" s="11" t="s">
        <v>241</v>
      </c>
      <c r="W30" s="14">
        <f t="shared" ref="W30:AC30" si="93">D30/M30</f>
        <v>0.133215428667677</v>
      </c>
      <c r="X30" s="14">
        <f t="shared" si="93"/>
        <v>0.129084687767322</v>
      </c>
      <c r="Y30" s="14">
        <f t="shared" si="93"/>
        <v>0.133811659192825</v>
      </c>
      <c r="Z30" s="14">
        <f t="shared" si="93"/>
        <v>0.13644806671721</v>
      </c>
      <c r="AA30" s="14">
        <f t="shared" si="93"/>
        <v>0.141413388029088</v>
      </c>
      <c r="AB30" s="15">
        <f t="shared" si="93"/>
        <v>0.112264860797592</v>
      </c>
      <c r="AC30" s="15">
        <f t="shared" si="93"/>
        <v>0.131941987973116</v>
      </c>
      <c r="AD30" s="4"/>
      <c r="AE30" s="4"/>
      <c r="AF30" s="14">
        <f t="shared" ref="AF30:AJ30" si="94">W30</f>
        <v>0.133215428667677</v>
      </c>
      <c r="AG30" s="14">
        <f t="shared" si="94"/>
        <v>0.129084687767322</v>
      </c>
      <c r="AH30" s="14">
        <f t="shared" si="94"/>
        <v>0.133811659192825</v>
      </c>
      <c r="AI30" s="14">
        <f t="shared" si="94"/>
        <v>0.13644806671721</v>
      </c>
      <c r="AJ30" s="14">
        <f t="shared" si="94"/>
        <v>0.141413388029088</v>
      </c>
      <c r="AK30" s="16">
        <f t="shared" si="67"/>
        <v>0.129104589917231</v>
      </c>
      <c r="AL30" s="16">
        <f t="shared" si="68"/>
        <v>0.151733286169084</v>
      </c>
      <c r="AM30" s="4"/>
      <c r="AN30" s="4"/>
      <c r="AO30" s="14">
        <f t="shared" ref="AO30:AS30" si="95">W30</f>
        <v>0.133215428667677</v>
      </c>
      <c r="AP30" s="14">
        <f t="shared" si="95"/>
        <v>0.129084687767322</v>
      </c>
      <c r="AQ30" s="14">
        <f t="shared" si="95"/>
        <v>0.133811659192825</v>
      </c>
      <c r="AR30" s="14">
        <f t="shared" si="95"/>
        <v>0.13644806671721</v>
      </c>
      <c r="AS30" s="14">
        <f t="shared" si="95"/>
        <v>0.141413388029088</v>
      </c>
      <c r="AT30" s="16">
        <f t="shared" si="70"/>
        <v>0.0954251316779534</v>
      </c>
      <c r="AU30" s="16">
        <f t="shared" si="71"/>
        <v>0.112150689777149</v>
      </c>
      <c r="AZ30" s="3"/>
      <c r="BA30" s="11" t="s">
        <v>241</v>
      </c>
      <c r="BB30" s="12">
        <v>830.3</v>
      </c>
      <c r="BC30" s="14">
        <v>790.9</v>
      </c>
      <c r="BD30" s="14">
        <v>754.5</v>
      </c>
      <c r="BE30" s="14">
        <v>746</v>
      </c>
      <c r="BF30" s="14">
        <v>719.9</v>
      </c>
      <c r="BG30" s="14">
        <v>758.4</v>
      </c>
      <c r="BH30" s="14">
        <v>746</v>
      </c>
      <c r="BI30" s="14">
        <v>746</v>
      </c>
      <c r="BJ30" s="4"/>
      <c r="BK30" s="4"/>
      <c r="BL30" s="17"/>
      <c r="BM30" s="17"/>
      <c r="BN30" s="17"/>
      <c r="BO30" s="17"/>
    </row>
    <row r="31" ht="15.5" spans="1:67">
      <c r="A31" s="3"/>
      <c r="B31" s="11" t="s">
        <v>242</v>
      </c>
      <c r="C31" s="12">
        <f t="shared" ref="C31:J31" si="96">BB31/1000</f>
        <v>0.2079</v>
      </c>
      <c r="D31" s="12">
        <f t="shared" si="96"/>
        <v>0.1842</v>
      </c>
      <c r="E31" s="12">
        <f t="shared" si="96"/>
        <v>0.1746</v>
      </c>
      <c r="F31" s="12">
        <f t="shared" si="96"/>
        <v>0.1724</v>
      </c>
      <c r="G31" s="12">
        <f t="shared" si="96"/>
        <v>0.1687</v>
      </c>
      <c r="H31" s="12">
        <f t="shared" si="96"/>
        <v>0.1747</v>
      </c>
      <c r="I31" s="12">
        <f t="shared" si="96"/>
        <v>0.1724</v>
      </c>
      <c r="J31" s="12">
        <f t="shared" si="96"/>
        <v>0.1724</v>
      </c>
      <c r="K31" s="4"/>
      <c r="L31" s="4"/>
      <c r="M31" s="17">
        <v>5.937</v>
      </c>
      <c r="N31" s="17">
        <v>5.845</v>
      </c>
      <c r="O31" s="17">
        <v>5.575</v>
      </c>
      <c r="P31" s="17">
        <v>5.276</v>
      </c>
      <c r="Q31" s="17">
        <v>5.363</v>
      </c>
      <c r="R31" s="17">
        <v>6.645</v>
      </c>
      <c r="S31" s="17">
        <v>5.654</v>
      </c>
      <c r="T31" s="17"/>
      <c r="U31" s="3"/>
      <c r="V31" s="11" t="s">
        <v>242</v>
      </c>
      <c r="W31" s="14">
        <f t="shared" ref="W31:AC31" si="97">D31/M31</f>
        <v>0.0310257705912077</v>
      </c>
      <c r="X31" s="14">
        <f t="shared" si="97"/>
        <v>0.0298716852010265</v>
      </c>
      <c r="Y31" s="14">
        <f t="shared" si="97"/>
        <v>0.0309237668161435</v>
      </c>
      <c r="Z31" s="14">
        <f t="shared" si="97"/>
        <v>0.0319749810462472</v>
      </c>
      <c r="AA31" s="14">
        <f t="shared" si="97"/>
        <v>0.0325750512772702</v>
      </c>
      <c r="AB31" s="15">
        <f t="shared" si="97"/>
        <v>0.0259443190368698</v>
      </c>
      <c r="AC31" s="15">
        <f t="shared" si="97"/>
        <v>0.0304916873010258</v>
      </c>
      <c r="AD31" s="4"/>
      <c r="AE31" s="4"/>
      <c r="AF31" s="14">
        <f t="shared" ref="AF31:AJ31" si="98">W31</f>
        <v>0.0310257705912077</v>
      </c>
      <c r="AG31" s="14">
        <f t="shared" si="98"/>
        <v>0.0298716852010265</v>
      </c>
      <c r="AH31" s="14">
        <f t="shared" si="98"/>
        <v>0.0309237668161435</v>
      </c>
      <c r="AI31" s="14">
        <f t="shared" si="98"/>
        <v>0.0319749810462472</v>
      </c>
      <c r="AJ31" s="14">
        <f t="shared" si="98"/>
        <v>0.0325750512772702</v>
      </c>
      <c r="AK31" s="16">
        <f t="shared" si="67"/>
        <v>0.0298359668924003</v>
      </c>
      <c r="AL31" s="16">
        <f t="shared" si="68"/>
        <v>0.0350654403961797</v>
      </c>
      <c r="AM31" s="4"/>
      <c r="AN31" s="4"/>
      <c r="AO31" s="14">
        <f t="shared" ref="AO31:AS31" si="99">W31</f>
        <v>0.0310257705912077</v>
      </c>
      <c r="AP31" s="14">
        <f t="shared" si="99"/>
        <v>0.0298716852010265</v>
      </c>
      <c r="AQ31" s="14">
        <f t="shared" si="99"/>
        <v>0.0309237668161435</v>
      </c>
      <c r="AR31" s="14">
        <f t="shared" si="99"/>
        <v>0.0319749810462472</v>
      </c>
      <c r="AS31" s="14">
        <f t="shared" si="99"/>
        <v>0.0325750512772702</v>
      </c>
      <c r="AT31" s="16">
        <f t="shared" si="70"/>
        <v>0.0220526711813394</v>
      </c>
      <c r="AU31" s="16">
        <f t="shared" si="71"/>
        <v>0.0259179342058719</v>
      </c>
      <c r="AZ31" s="3"/>
      <c r="BA31" s="11" t="s">
        <v>242</v>
      </c>
      <c r="BB31" s="12">
        <v>207.9</v>
      </c>
      <c r="BC31" s="14">
        <v>184.2</v>
      </c>
      <c r="BD31" s="14">
        <v>174.6</v>
      </c>
      <c r="BE31" s="14">
        <v>172.4</v>
      </c>
      <c r="BF31" s="14">
        <v>168.7</v>
      </c>
      <c r="BG31" s="14">
        <v>174.7</v>
      </c>
      <c r="BH31" s="14">
        <v>172.4</v>
      </c>
      <c r="BI31" s="14">
        <v>172.4</v>
      </c>
      <c r="BJ31" s="4"/>
      <c r="BK31" s="4"/>
      <c r="BL31" s="17"/>
      <c r="BM31" s="17"/>
      <c r="BN31" s="17"/>
      <c r="BO31" s="17"/>
    </row>
    <row r="32" ht="15.5" spans="1:67">
      <c r="A32" s="3"/>
      <c r="B32" s="11" t="s">
        <v>243</v>
      </c>
      <c r="C32" s="12">
        <f t="shared" ref="C32:J32" si="100">BB32/1000</f>
        <v>0.5747</v>
      </c>
      <c r="D32" s="12">
        <f t="shared" si="100"/>
        <v>0.5597</v>
      </c>
      <c r="E32" s="12">
        <f t="shared" si="100"/>
        <v>0.534</v>
      </c>
      <c r="F32" s="12">
        <f t="shared" si="100"/>
        <v>0.528</v>
      </c>
      <c r="G32" s="12">
        <f t="shared" si="100"/>
        <v>0.5061</v>
      </c>
      <c r="H32" s="12">
        <f t="shared" si="100"/>
        <v>0.5369</v>
      </c>
      <c r="I32" s="12">
        <f t="shared" si="100"/>
        <v>0.528</v>
      </c>
      <c r="J32" s="12">
        <f t="shared" si="100"/>
        <v>0.528</v>
      </c>
      <c r="K32" s="4"/>
      <c r="L32" s="4"/>
      <c r="M32" s="17">
        <v>5.937</v>
      </c>
      <c r="N32" s="17">
        <v>5.845</v>
      </c>
      <c r="O32" s="17">
        <v>5.575</v>
      </c>
      <c r="P32" s="17">
        <v>5.276</v>
      </c>
      <c r="Q32" s="17">
        <v>5.363</v>
      </c>
      <c r="R32" s="17">
        <v>6.645</v>
      </c>
      <c r="S32" s="17">
        <v>5.654</v>
      </c>
      <c r="T32" s="17"/>
      <c r="U32" s="3"/>
      <c r="V32" s="11" t="s">
        <v>243</v>
      </c>
      <c r="W32" s="14">
        <f t="shared" ref="W32:AC32" si="101">D32/M32</f>
        <v>0.0942732019538488</v>
      </c>
      <c r="X32" s="14">
        <f t="shared" si="101"/>
        <v>0.0913601368691189</v>
      </c>
      <c r="Y32" s="14">
        <f t="shared" si="101"/>
        <v>0.0947085201793722</v>
      </c>
      <c r="Z32" s="14">
        <f t="shared" si="101"/>
        <v>0.0959249431387415</v>
      </c>
      <c r="AA32" s="14">
        <f t="shared" si="101"/>
        <v>0.100111877680403</v>
      </c>
      <c r="AB32" s="15">
        <f t="shared" si="101"/>
        <v>0.0794582392776524</v>
      </c>
      <c r="AC32" s="15">
        <f t="shared" si="101"/>
        <v>0.0933852140077821</v>
      </c>
      <c r="AD32" s="4"/>
      <c r="AE32" s="4"/>
      <c r="AF32" s="14">
        <f t="shared" ref="AF32:AJ32" si="102">W32</f>
        <v>0.0942732019538488</v>
      </c>
      <c r="AG32" s="14">
        <f t="shared" si="102"/>
        <v>0.0913601368691189</v>
      </c>
      <c r="AH32" s="14">
        <f t="shared" si="102"/>
        <v>0.0947085201793722</v>
      </c>
      <c r="AI32" s="14">
        <f t="shared" si="102"/>
        <v>0.0959249431387415</v>
      </c>
      <c r="AJ32" s="14">
        <f t="shared" si="102"/>
        <v>0.100111877680403</v>
      </c>
      <c r="AK32" s="16">
        <f t="shared" si="67"/>
        <v>0.0913769751693002</v>
      </c>
      <c r="AL32" s="16">
        <f t="shared" si="68"/>
        <v>0.107392996108949</v>
      </c>
      <c r="AM32" s="4"/>
      <c r="AN32" s="4"/>
      <c r="AO32" s="14">
        <f t="shared" ref="AO32:AS32" si="103">W32</f>
        <v>0.0942732019538488</v>
      </c>
      <c r="AP32" s="14">
        <f t="shared" si="103"/>
        <v>0.0913601368691189</v>
      </c>
      <c r="AQ32" s="14">
        <f t="shared" si="103"/>
        <v>0.0947085201793722</v>
      </c>
      <c r="AR32" s="14">
        <f t="shared" si="103"/>
        <v>0.0959249431387415</v>
      </c>
      <c r="AS32" s="14">
        <f t="shared" si="103"/>
        <v>0.100111877680403</v>
      </c>
      <c r="AT32" s="16">
        <f t="shared" si="70"/>
        <v>0.0675395033860045</v>
      </c>
      <c r="AU32" s="16">
        <f t="shared" si="71"/>
        <v>0.0793774319066148</v>
      </c>
      <c r="AZ32" s="3"/>
      <c r="BA32" s="11" t="s">
        <v>243</v>
      </c>
      <c r="BB32" s="12">
        <v>574.7</v>
      </c>
      <c r="BC32" s="14">
        <v>559.7</v>
      </c>
      <c r="BD32" s="14">
        <v>534</v>
      </c>
      <c r="BE32" s="14">
        <v>528</v>
      </c>
      <c r="BF32" s="14">
        <v>506.1</v>
      </c>
      <c r="BG32" s="14">
        <v>536.9</v>
      </c>
      <c r="BH32" s="14">
        <v>528</v>
      </c>
      <c r="BI32" s="14">
        <v>528</v>
      </c>
      <c r="BJ32" s="4"/>
      <c r="BK32" s="4"/>
      <c r="BL32" s="17"/>
      <c r="BM32" s="17"/>
      <c r="BN32" s="17"/>
      <c r="BO32" s="17"/>
    </row>
    <row r="33" ht="15.5" spans="1:67">
      <c r="A33" s="3"/>
      <c r="B33" s="11" t="s">
        <v>244</v>
      </c>
      <c r="C33" s="12">
        <f t="shared" ref="C33:J33" si="104">BB33/1000</f>
        <v>0.088</v>
      </c>
      <c r="D33" s="12">
        <f t="shared" si="104"/>
        <v>0.0814</v>
      </c>
      <c r="E33" s="12">
        <f t="shared" si="104"/>
        <v>0.079</v>
      </c>
      <c r="F33" s="12">
        <f t="shared" si="104"/>
        <v>0.0785</v>
      </c>
      <c r="G33" s="12">
        <f t="shared" si="104"/>
        <v>0.0764</v>
      </c>
      <c r="H33" s="12">
        <f t="shared" si="104"/>
        <v>0.0787</v>
      </c>
      <c r="I33" s="12">
        <f t="shared" si="104"/>
        <v>0.0785</v>
      </c>
      <c r="J33" s="12">
        <f t="shared" si="104"/>
        <v>0.0785</v>
      </c>
      <c r="K33" s="4"/>
      <c r="L33" s="4"/>
      <c r="M33" s="17">
        <v>5.937</v>
      </c>
      <c r="N33" s="17">
        <v>5.845</v>
      </c>
      <c r="O33" s="17">
        <v>5.575</v>
      </c>
      <c r="P33" s="17">
        <v>5.276</v>
      </c>
      <c r="Q33" s="17">
        <v>5.363</v>
      </c>
      <c r="R33" s="17">
        <v>6.645</v>
      </c>
      <c r="S33" s="17">
        <v>5.654</v>
      </c>
      <c r="T33" s="17"/>
      <c r="U33" s="3"/>
      <c r="V33" s="11" t="s">
        <v>244</v>
      </c>
      <c r="W33" s="14">
        <f t="shared" ref="W33:AC33" si="105">D33/M33</f>
        <v>0.0137106282634327</v>
      </c>
      <c r="X33" s="14">
        <f t="shared" si="105"/>
        <v>0.0135158254918734</v>
      </c>
      <c r="Y33" s="14">
        <f t="shared" si="105"/>
        <v>0.0140807174887892</v>
      </c>
      <c r="Z33" s="14">
        <f t="shared" si="105"/>
        <v>0.0144806671721001</v>
      </c>
      <c r="AA33" s="14">
        <f t="shared" si="105"/>
        <v>0.0146746224128286</v>
      </c>
      <c r="AB33" s="15">
        <f t="shared" si="105"/>
        <v>0.0118133935289691</v>
      </c>
      <c r="AC33" s="15">
        <f t="shared" si="105"/>
        <v>0.0138839759462328</v>
      </c>
      <c r="AD33" s="4"/>
      <c r="AE33" s="4"/>
      <c r="AF33" s="14">
        <f t="shared" ref="AF33:AJ33" si="106">W33</f>
        <v>0.0137106282634327</v>
      </c>
      <c r="AG33" s="14">
        <f t="shared" si="106"/>
        <v>0.0135158254918734</v>
      </c>
      <c r="AH33" s="14">
        <f t="shared" si="106"/>
        <v>0.0140807174887892</v>
      </c>
      <c r="AI33" s="14">
        <f t="shared" si="106"/>
        <v>0.0144806671721001</v>
      </c>
      <c r="AJ33" s="14">
        <f t="shared" si="106"/>
        <v>0.0146746224128286</v>
      </c>
      <c r="AK33" s="16">
        <f t="shared" si="67"/>
        <v>0.0135854025583145</v>
      </c>
      <c r="AL33" s="16">
        <f t="shared" si="68"/>
        <v>0.0159665723381677</v>
      </c>
      <c r="AM33" s="4"/>
      <c r="AN33" s="4"/>
      <c r="AO33" s="14">
        <f t="shared" ref="AO33:AS33" si="107">W33</f>
        <v>0.0137106282634327</v>
      </c>
      <c r="AP33" s="14">
        <f t="shared" si="107"/>
        <v>0.0135158254918734</v>
      </c>
      <c r="AQ33" s="14">
        <f t="shared" si="107"/>
        <v>0.0140807174887892</v>
      </c>
      <c r="AR33" s="14">
        <f t="shared" si="107"/>
        <v>0.0144806671721001</v>
      </c>
      <c r="AS33" s="14">
        <f t="shared" si="107"/>
        <v>0.0146746224128286</v>
      </c>
      <c r="AT33" s="16">
        <f t="shared" si="70"/>
        <v>0.0100413844996238</v>
      </c>
      <c r="AU33" s="16">
        <f t="shared" si="71"/>
        <v>0.0118013795542978</v>
      </c>
      <c r="AZ33" s="3"/>
      <c r="BA33" s="11" t="s">
        <v>244</v>
      </c>
      <c r="BB33" s="12">
        <v>88</v>
      </c>
      <c r="BC33" s="14">
        <v>81.4</v>
      </c>
      <c r="BD33" s="14">
        <v>79</v>
      </c>
      <c r="BE33" s="14">
        <v>78.5</v>
      </c>
      <c r="BF33" s="14">
        <v>76.4</v>
      </c>
      <c r="BG33" s="14">
        <v>78.7</v>
      </c>
      <c r="BH33" s="14">
        <v>78.5</v>
      </c>
      <c r="BI33" s="14">
        <v>78.5</v>
      </c>
      <c r="BJ33" s="4"/>
      <c r="BK33" s="4"/>
      <c r="BL33" s="17"/>
      <c r="BM33" s="17"/>
      <c r="BN33" s="17"/>
      <c r="BO33" s="17"/>
    </row>
    <row r="34" ht="15.5" spans="1:67">
      <c r="A34" s="3" t="s">
        <v>11</v>
      </c>
      <c r="B34" s="11" t="s">
        <v>240</v>
      </c>
      <c r="C34" s="12">
        <f t="shared" ref="C34:J34" si="108">BB34/1000</f>
        <v>0.9217</v>
      </c>
      <c r="D34" s="12">
        <f t="shared" si="108"/>
        <v>0.8721</v>
      </c>
      <c r="E34" s="12">
        <f t="shared" si="108"/>
        <v>0.8313</v>
      </c>
      <c r="F34" s="12">
        <f t="shared" si="108"/>
        <v>0.8218</v>
      </c>
      <c r="G34" s="12">
        <f t="shared" si="108"/>
        <v>0.794</v>
      </c>
      <c r="H34" s="12">
        <f t="shared" si="108"/>
        <v>0.835</v>
      </c>
      <c r="I34" s="12">
        <f t="shared" si="108"/>
        <v>0.8218</v>
      </c>
      <c r="J34" s="12">
        <f t="shared" si="108"/>
        <v>0.8218</v>
      </c>
      <c r="K34" s="4"/>
      <c r="L34" s="4"/>
      <c r="M34" s="17">
        <v>5.937</v>
      </c>
      <c r="N34" s="17">
        <v>5.845</v>
      </c>
      <c r="O34" s="17">
        <v>5.575</v>
      </c>
      <c r="P34" s="17">
        <v>5.276</v>
      </c>
      <c r="Q34" s="17">
        <v>5.363</v>
      </c>
      <c r="R34" s="17">
        <v>6.645</v>
      </c>
      <c r="S34" s="17">
        <v>5.654</v>
      </c>
      <c r="T34" s="17"/>
      <c r="U34" s="3" t="s">
        <v>11</v>
      </c>
      <c r="V34" s="11" t="s">
        <v>240</v>
      </c>
      <c r="W34" s="14">
        <f t="shared" ref="W34:AC34" si="109">D34/M34</f>
        <v>0.14689236988378</v>
      </c>
      <c r="X34" s="14">
        <f t="shared" si="109"/>
        <v>0.142224123182207</v>
      </c>
      <c r="Y34" s="14">
        <f t="shared" si="109"/>
        <v>0.147408071748879</v>
      </c>
      <c r="Z34" s="14">
        <f t="shared" si="109"/>
        <v>0.15049279757392</v>
      </c>
      <c r="AA34" s="14">
        <f t="shared" si="109"/>
        <v>0.155696438560507</v>
      </c>
      <c r="AB34" s="15">
        <f t="shared" si="109"/>
        <v>0.123671933784801</v>
      </c>
      <c r="AC34" s="15">
        <f t="shared" si="109"/>
        <v>0.145348425893173</v>
      </c>
      <c r="AD34" s="4"/>
      <c r="AE34" s="4"/>
      <c r="AF34" s="14">
        <f t="shared" ref="AF34:AJ34" si="110">W34</f>
        <v>0.14689236988378</v>
      </c>
      <c r="AG34" s="14">
        <f t="shared" si="110"/>
        <v>0.142224123182207</v>
      </c>
      <c r="AH34" s="14">
        <f t="shared" si="110"/>
        <v>0.147408071748879</v>
      </c>
      <c r="AI34" s="14">
        <f t="shared" si="110"/>
        <v>0.15049279757392</v>
      </c>
      <c r="AJ34" s="14">
        <f t="shared" si="110"/>
        <v>0.155696438560507</v>
      </c>
      <c r="AK34" s="16">
        <f t="shared" si="67"/>
        <v>0.142222723852521</v>
      </c>
      <c r="AL34" s="16">
        <f t="shared" si="68"/>
        <v>0.167150689777149</v>
      </c>
      <c r="AM34" s="4"/>
      <c r="AN34" s="4"/>
      <c r="AO34" s="14">
        <f t="shared" ref="AO34:AS34" si="111">W34</f>
        <v>0.14689236988378</v>
      </c>
      <c r="AP34" s="14">
        <f t="shared" si="111"/>
        <v>0.142224123182207</v>
      </c>
      <c r="AQ34" s="14">
        <f t="shared" si="111"/>
        <v>0.147408071748879</v>
      </c>
      <c r="AR34" s="14">
        <f t="shared" si="111"/>
        <v>0.15049279757392</v>
      </c>
      <c r="AS34" s="14">
        <f t="shared" si="111"/>
        <v>0.155696438560507</v>
      </c>
      <c r="AT34" s="16">
        <f t="shared" si="70"/>
        <v>0.105121143717081</v>
      </c>
      <c r="AU34" s="16">
        <f t="shared" si="71"/>
        <v>0.123546162009197</v>
      </c>
      <c r="AZ34" s="3" t="s">
        <v>11</v>
      </c>
      <c r="BA34" s="11" t="s">
        <v>240</v>
      </c>
      <c r="BB34" s="12">
        <v>921.7</v>
      </c>
      <c r="BC34" s="14">
        <v>872.1</v>
      </c>
      <c r="BD34" s="14">
        <v>831.3</v>
      </c>
      <c r="BE34" s="14">
        <v>821.8</v>
      </c>
      <c r="BF34" s="14">
        <v>794</v>
      </c>
      <c r="BG34" s="14">
        <v>835</v>
      </c>
      <c r="BH34" s="14">
        <v>821.8</v>
      </c>
      <c r="BI34" s="14">
        <v>821.8</v>
      </c>
      <c r="BJ34" s="4"/>
      <c r="BK34" s="4"/>
      <c r="BL34" s="17"/>
      <c r="BM34" s="17"/>
      <c r="BN34" s="17"/>
      <c r="BO34" s="17"/>
    </row>
    <row r="35" ht="15.5" spans="1:67">
      <c r="A35" s="3"/>
      <c r="B35" s="11" t="s">
        <v>241</v>
      </c>
      <c r="C35" s="12">
        <f t="shared" ref="C35:J35" si="112">BB35/1000</f>
        <v>0.8422</v>
      </c>
      <c r="D35" s="12">
        <f t="shared" si="112"/>
        <v>0.8018</v>
      </c>
      <c r="E35" s="12">
        <f t="shared" si="112"/>
        <v>0.7648</v>
      </c>
      <c r="F35" s="12">
        <f t="shared" si="112"/>
        <v>0.7562</v>
      </c>
      <c r="G35" s="12">
        <f t="shared" si="112"/>
        <v>0.7302</v>
      </c>
      <c r="H35" s="12">
        <f t="shared" si="112"/>
        <v>0.7691</v>
      </c>
      <c r="I35" s="12">
        <f t="shared" si="112"/>
        <v>0.7562</v>
      </c>
      <c r="J35" s="12">
        <f t="shared" si="112"/>
        <v>0.7562</v>
      </c>
      <c r="K35" s="4"/>
      <c r="L35" s="4"/>
      <c r="M35" s="17">
        <v>5.937</v>
      </c>
      <c r="N35" s="17">
        <v>5.845</v>
      </c>
      <c r="O35" s="17">
        <v>5.575</v>
      </c>
      <c r="P35" s="17">
        <v>5.276</v>
      </c>
      <c r="Q35" s="17">
        <v>5.363</v>
      </c>
      <c r="R35" s="17">
        <v>6.645</v>
      </c>
      <c r="S35" s="17">
        <v>5.654</v>
      </c>
      <c r="T35" s="17"/>
      <c r="U35" s="3"/>
      <c r="V35" s="11" t="s">
        <v>241</v>
      </c>
      <c r="W35" s="14">
        <f t="shared" ref="W35:AC35" si="113">D35/M35</f>
        <v>0.135051372747179</v>
      </c>
      <c r="X35" s="14">
        <f t="shared" si="113"/>
        <v>0.130846877673225</v>
      </c>
      <c r="Y35" s="14">
        <f t="shared" si="113"/>
        <v>0.135641255605381</v>
      </c>
      <c r="Z35" s="14">
        <f t="shared" si="113"/>
        <v>0.138400303260046</v>
      </c>
      <c r="AA35" s="14">
        <f t="shared" si="113"/>
        <v>0.143408539996271</v>
      </c>
      <c r="AB35" s="15">
        <f t="shared" si="113"/>
        <v>0.11379984951091</v>
      </c>
      <c r="AC35" s="15">
        <f t="shared" si="113"/>
        <v>0.133746020516449</v>
      </c>
      <c r="AD35" s="4"/>
      <c r="AE35" s="4"/>
      <c r="AF35" s="14">
        <f t="shared" ref="AF35:AJ35" si="114">W35</f>
        <v>0.135051372747179</v>
      </c>
      <c r="AG35" s="14">
        <f t="shared" si="114"/>
        <v>0.130846877673225</v>
      </c>
      <c r="AH35" s="14">
        <f t="shared" si="114"/>
        <v>0.135641255605381</v>
      </c>
      <c r="AI35" s="14">
        <f t="shared" si="114"/>
        <v>0.138400303260046</v>
      </c>
      <c r="AJ35" s="14">
        <f t="shared" si="114"/>
        <v>0.143408539996271</v>
      </c>
      <c r="AK35" s="16">
        <f t="shared" si="67"/>
        <v>0.130869826937547</v>
      </c>
      <c r="AL35" s="16">
        <f t="shared" si="68"/>
        <v>0.153807923593916</v>
      </c>
      <c r="AM35" s="4"/>
      <c r="AN35" s="4"/>
      <c r="AO35" s="14">
        <f t="shared" ref="AO35:AS35" si="115">W35</f>
        <v>0.135051372747179</v>
      </c>
      <c r="AP35" s="14">
        <f t="shared" si="115"/>
        <v>0.130846877673225</v>
      </c>
      <c r="AQ35" s="14">
        <f t="shared" si="115"/>
        <v>0.135641255605381</v>
      </c>
      <c r="AR35" s="14">
        <f t="shared" si="115"/>
        <v>0.138400303260046</v>
      </c>
      <c r="AS35" s="14">
        <f t="shared" si="115"/>
        <v>0.143408539996271</v>
      </c>
      <c r="AT35" s="16">
        <f t="shared" si="70"/>
        <v>0.0967298720842739</v>
      </c>
      <c r="AU35" s="16">
        <f t="shared" si="71"/>
        <v>0.113684117438981</v>
      </c>
      <c r="AZ35" s="3"/>
      <c r="BA35" s="11" t="s">
        <v>241</v>
      </c>
      <c r="BB35" s="12">
        <v>842.2</v>
      </c>
      <c r="BC35" s="14">
        <v>801.8</v>
      </c>
      <c r="BD35" s="14">
        <v>764.8</v>
      </c>
      <c r="BE35" s="14">
        <v>756.2</v>
      </c>
      <c r="BF35" s="14">
        <v>730.2</v>
      </c>
      <c r="BG35" s="14">
        <v>769.1</v>
      </c>
      <c r="BH35" s="14">
        <v>756.2</v>
      </c>
      <c r="BI35" s="14">
        <v>756.2</v>
      </c>
      <c r="BJ35" s="4"/>
      <c r="BK35" s="4"/>
      <c r="BL35" s="17"/>
      <c r="BM35" s="17"/>
      <c r="BN35" s="17"/>
      <c r="BO35" s="17"/>
    </row>
    <row r="36" ht="15.5" spans="1:67">
      <c r="A36" s="3"/>
      <c r="B36" s="11" t="s">
        <v>242</v>
      </c>
      <c r="C36" s="12">
        <f t="shared" ref="C36:J36" si="116">BB36/1000</f>
        <v>0.2694</v>
      </c>
      <c r="D36" s="12">
        <f t="shared" si="116"/>
        <v>0.2401</v>
      </c>
      <c r="E36" s="12">
        <f t="shared" si="116"/>
        <v>0.2278</v>
      </c>
      <c r="F36" s="12">
        <f t="shared" si="116"/>
        <v>0.2249</v>
      </c>
      <c r="G36" s="12">
        <f t="shared" si="116"/>
        <v>0.2217</v>
      </c>
      <c r="H36" s="12">
        <f t="shared" si="116"/>
        <v>0.2296</v>
      </c>
      <c r="I36" s="12">
        <f t="shared" si="116"/>
        <v>0.2249</v>
      </c>
      <c r="J36" s="12">
        <f t="shared" si="116"/>
        <v>0.2249</v>
      </c>
      <c r="K36" s="4"/>
      <c r="L36" s="4"/>
      <c r="M36" s="17">
        <v>5.937</v>
      </c>
      <c r="N36" s="17">
        <v>5.845</v>
      </c>
      <c r="O36" s="17">
        <v>5.575</v>
      </c>
      <c r="P36" s="17">
        <v>5.276</v>
      </c>
      <c r="Q36" s="17">
        <v>5.363</v>
      </c>
      <c r="R36" s="17">
        <v>6.645</v>
      </c>
      <c r="S36" s="17">
        <v>5.654</v>
      </c>
      <c r="T36" s="17"/>
      <c r="U36" s="3"/>
      <c r="V36" s="11" t="s">
        <v>242</v>
      </c>
      <c r="W36" s="14">
        <f t="shared" ref="W36:AC36" si="117">D36/M36</f>
        <v>0.0404413003200269</v>
      </c>
      <c r="X36" s="14">
        <f t="shared" si="117"/>
        <v>0.0389734816082122</v>
      </c>
      <c r="Y36" s="14">
        <f t="shared" si="117"/>
        <v>0.0403408071748879</v>
      </c>
      <c r="Z36" s="14">
        <f t="shared" si="117"/>
        <v>0.0420204700530705</v>
      </c>
      <c r="AA36" s="14">
        <f t="shared" si="117"/>
        <v>0.0428118590341227</v>
      </c>
      <c r="AB36" s="15">
        <f t="shared" si="117"/>
        <v>0.0338449962377728</v>
      </c>
      <c r="AC36" s="15">
        <f t="shared" si="117"/>
        <v>0.0397771489211178</v>
      </c>
      <c r="AD36" s="4"/>
      <c r="AE36" s="4"/>
      <c r="AF36" s="14">
        <f t="shared" ref="AF36:AJ36" si="118">W36</f>
        <v>0.0404413003200269</v>
      </c>
      <c r="AG36" s="14">
        <f t="shared" si="118"/>
        <v>0.0389734816082122</v>
      </c>
      <c r="AH36" s="14">
        <f t="shared" si="118"/>
        <v>0.0403408071748879</v>
      </c>
      <c r="AI36" s="14">
        <f t="shared" si="118"/>
        <v>0.0420204700530705</v>
      </c>
      <c r="AJ36" s="14">
        <f t="shared" si="118"/>
        <v>0.0428118590341227</v>
      </c>
      <c r="AK36" s="16">
        <f t="shared" si="67"/>
        <v>0.0389217456734387</v>
      </c>
      <c r="AL36" s="16">
        <f t="shared" si="68"/>
        <v>0.0457437212592855</v>
      </c>
      <c r="AM36" s="4"/>
      <c r="AN36" s="4"/>
      <c r="AO36" s="14">
        <f t="shared" ref="AO36:AS36" si="119">W36</f>
        <v>0.0404413003200269</v>
      </c>
      <c r="AP36" s="14">
        <f t="shared" si="119"/>
        <v>0.0389734816082122</v>
      </c>
      <c r="AQ36" s="14">
        <f t="shared" si="119"/>
        <v>0.0403408071748879</v>
      </c>
      <c r="AR36" s="14">
        <f t="shared" si="119"/>
        <v>0.0420204700530705</v>
      </c>
      <c r="AS36" s="14">
        <f t="shared" si="119"/>
        <v>0.0428118590341227</v>
      </c>
      <c r="AT36" s="16">
        <f t="shared" si="70"/>
        <v>0.0287682468021069</v>
      </c>
      <c r="AU36" s="16">
        <f t="shared" si="71"/>
        <v>0.0338105765829501</v>
      </c>
      <c r="AZ36" s="3"/>
      <c r="BA36" s="11" t="s">
        <v>242</v>
      </c>
      <c r="BB36" s="12">
        <v>269.4</v>
      </c>
      <c r="BC36" s="14">
        <v>240.1</v>
      </c>
      <c r="BD36" s="14">
        <v>227.8</v>
      </c>
      <c r="BE36" s="14">
        <v>224.9</v>
      </c>
      <c r="BF36" s="14">
        <v>221.7</v>
      </c>
      <c r="BG36" s="14">
        <v>229.6</v>
      </c>
      <c r="BH36" s="14">
        <v>224.9</v>
      </c>
      <c r="BI36" s="14">
        <v>224.9</v>
      </c>
      <c r="BJ36" s="4"/>
      <c r="BK36" s="4"/>
      <c r="BL36" s="17"/>
      <c r="BM36" s="17"/>
      <c r="BN36" s="17"/>
      <c r="BO36" s="17"/>
    </row>
    <row r="37" ht="15.5" spans="1:67">
      <c r="A37" s="3"/>
      <c r="B37" s="11" t="s">
        <v>243</v>
      </c>
      <c r="C37" s="12">
        <f t="shared" ref="C37:J37" si="120">BB37/1000</f>
        <v>0.5273</v>
      </c>
      <c r="D37" s="12">
        <f t="shared" si="120"/>
        <v>0.5167</v>
      </c>
      <c r="E37" s="12">
        <f t="shared" si="120"/>
        <v>0.4931</v>
      </c>
      <c r="F37" s="12">
        <f t="shared" si="120"/>
        <v>0.4875</v>
      </c>
      <c r="G37" s="12">
        <f t="shared" si="120"/>
        <v>0.4653</v>
      </c>
      <c r="H37" s="12">
        <f t="shared" si="120"/>
        <v>0.4946</v>
      </c>
      <c r="I37" s="12">
        <f t="shared" si="120"/>
        <v>0.4875</v>
      </c>
      <c r="J37" s="12">
        <f t="shared" si="120"/>
        <v>0.4875</v>
      </c>
      <c r="K37" s="4"/>
      <c r="L37" s="4"/>
      <c r="M37" s="17">
        <v>5.937</v>
      </c>
      <c r="N37" s="17">
        <v>5.845</v>
      </c>
      <c r="O37" s="17">
        <v>5.575</v>
      </c>
      <c r="P37" s="17">
        <v>5.276</v>
      </c>
      <c r="Q37" s="17">
        <v>5.363</v>
      </c>
      <c r="R37" s="17">
        <v>6.645</v>
      </c>
      <c r="S37" s="17">
        <v>5.654</v>
      </c>
      <c r="T37" s="17"/>
      <c r="U37" s="3"/>
      <c r="V37" s="11" t="s">
        <v>243</v>
      </c>
      <c r="W37" s="14">
        <f t="shared" ref="W37:AC37" si="121">D37/M37</f>
        <v>0.0870304867778339</v>
      </c>
      <c r="X37" s="14">
        <f t="shared" si="121"/>
        <v>0.0843627031650984</v>
      </c>
      <c r="Y37" s="14">
        <f t="shared" si="121"/>
        <v>0.0874439461883408</v>
      </c>
      <c r="Z37" s="14">
        <f t="shared" si="121"/>
        <v>0.0881918119787718</v>
      </c>
      <c r="AA37" s="14">
        <f t="shared" si="121"/>
        <v>0.0922245012120082</v>
      </c>
      <c r="AB37" s="15">
        <f t="shared" si="121"/>
        <v>0.0733634311512415</v>
      </c>
      <c r="AC37" s="15">
        <f t="shared" si="121"/>
        <v>0.0862221436151397</v>
      </c>
      <c r="AD37" s="4"/>
      <c r="AE37" s="4"/>
      <c r="AF37" s="14">
        <f t="shared" ref="AF37:AJ37" si="122">W37</f>
        <v>0.0870304867778339</v>
      </c>
      <c r="AG37" s="14">
        <f t="shared" si="122"/>
        <v>0.0843627031650984</v>
      </c>
      <c r="AH37" s="14">
        <f t="shared" si="122"/>
        <v>0.0874439461883408</v>
      </c>
      <c r="AI37" s="14">
        <f t="shared" si="122"/>
        <v>0.0881918119787718</v>
      </c>
      <c r="AJ37" s="14">
        <f t="shared" si="122"/>
        <v>0.0922245012120082</v>
      </c>
      <c r="AK37" s="16">
        <f t="shared" si="67"/>
        <v>0.0843679458239278</v>
      </c>
      <c r="AL37" s="16">
        <f t="shared" si="68"/>
        <v>0.0991554651574107</v>
      </c>
      <c r="AM37" s="4"/>
      <c r="AN37" s="4"/>
      <c r="AO37" s="14">
        <f t="shared" ref="AO37:AS37" si="123">W37</f>
        <v>0.0870304867778339</v>
      </c>
      <c r="AP37" s="14">
        <f t="shared" si="123"/>
        <v>0.0843627031650984</v>
      </c>
      <c r="AQ37" s="14">
        <f t="shared" si="123"/>
        <v>0.0874439461883408</v>
      </c>
      <c r="AR37" s="14">
        <f t="shared" si="123"/>
        <v>0.0881918119787718</v>
      </c>
      <c r="AS37" s="14">
        <f t="shared" si="123"/>
        <v>0.0922245012120082</v>
      </c>
      <c r="AT37" s="16">
        <f t="shared" si="70"/>
        <v>0.0623589164785553</v>
      </c>
      <c r="AU37" s="16">
        <f t="shared" si="71"/>
        <v>0.0732888220728688</v>
      </c>
      <c r="AZ37" s="3"/>
      <c r="BA37" s="11" t="s">
        <v>243</v>
      </c>
      <c r="BB37" s="12">
        <v>527.3</v>
      </c>
      <c r="BC37" s="14">
        <v>516.7</v>
      </c>
      <c r="BD37" s="14">
        <v>493.1</v>
      </c>
      <c r="BE37" s="14">
        <v>487.5</v>
      </c>
      <c r="BF37" s="14">
        <v>465.3</v>
      </c>
      <c r="BG37" s="14">
        <v>494.6</v>
      </c>
      <c r="BH37" s="14">
        <v>487.5</v>
      </c>
      <c r="BI37" s="14">
        <v>487.5</v>
      </c>
      <c r="BJ37" s="4"/>
      <c r="BK37" s="4"/>
      <c r="BL37" s="17"/>
      <c r="BM37" s="17"/>
      <c r="BN37" s="17"/>
      <c r="BO37" s="17"/>
    </row>
    <row r="38" ht="15.5" spans="1:67">
      <c r="A38" s="3"/>
      <c r="B38" s="11" t="s">
        <v>244</v>
      </c>
      <c r="C38" s="12">
        <f t="shared" ref="C38:J38" si="124">BB38/1000</f>
        <v>0.0858</v>
      </c>
      <c r="D38" s="12">
        <f t="shared" si="124"/>
        <v>0.0793</v>
      </c>
      <c r="E38" s="12">
        <f t="shared" si="124"/>
        <v>0.0771</v>
      </c>
      <c r="F38" s="12">
        <f t="shared" si="124"/>
        <v>0.0766</v>
      </c>
      <c r="G38" s="12">
        <f t="shared" si="124"/>
        <v>0.0744</v>
      </c>
      <c r="H38" s="12">
        <f t="shared" si="124"/>
        <v>0.0767</v>
      </c>
      <c r="I38" s="12">
        <f t="shared" si="124"/>
        <v>0.0766</v>
      </c>
      <c r="J38" s="12">
        <f t="shared" si="124"/>
        <v>0.0766</v>
      </c>
      <c r="K38" s="4"/>
      <c r="L38" s="4"/>
      <c r="M38" s="17">
        <v>5.937</v>
      </c>
      <c r="N38" s="17">
        <v>5.845</v>
      </c>
      <c r="O38" s="17">
        <v>5.575</v>
      </c>
      <c r="P38" s="17">
        <v>5.276</v>
      </c>
      <c r="Q38" s="17">
        <v>5.363</v>
      </c>
      <c r="R38" s="17">
        <v>6.645</v>
      </c>
      <c r="S38" s="17">
        <v>5.654</v>
      </c>
      <c r="T38" s="17"/>
      <c r="U38" s="3"/>
      <c r="V38" s="11" t="s">
        <v>244</v>
      </c>
      <c r="W38" s="14">
        <f t="shared" ref="W38:AC38" si="125">D38/M38</f>
        <v>0.0133569142664645</v>
      </c>
      <c r="X38" s="14">
        <f t="shared" si="125"/>
        <v>0.0131907613344739</v>
      </c>
      <c r="Y38" s="14">
        <f t="shared" si="125"/>
        <v>0.0137399103139013</v>
      </c>
      <c r="Z38" s="14">
        <f t="shared" si="125"/>
        <v>0.0141015921152388</v>
      </c>
      <c r="AA38" s="14">
        <f t="shared" si="125"/>
        <v>0.0143016968114861</v>
      </c>
      <c r="AB38" s="15">
        <f t="shared" si="125"/>
        <v>0.0115274642588412</v>
      </c>
      <c r="AC38" s="15">
        <f t="shared" si="125"/>
        <v>0.0135479306685532</v>
      </c>
      <c r="AD38" s="4"/>
      <c r="AE38" s="4"/>
      <c r="AF38" s="14">
        <f t="shared" ref="AF38:AJ38" si="126">W38</f>
        <v>0.0133569142664645</v>
      </c>
      <c r="AG38" s="14">
        <f t="shared" si="126"/>
        <v>0.0131907613344739</v>
      </c>
      <c r="AH38" s="14">
        <f t="shared" si="126"/>
        <v>0.0137399103139013</v>
      </c>
      <c r="AI38" s="14">
        <f t="shared" si="126"/>
        <v>0.0141015921152388</v>
      </c>
      <c r="AJ38" s="14">
        <f t="shared" si="126"/>
        <v>0.0143016968114861</v>
      </c>
      <c r="AK38" s="16">
        <f t="shared" si="67"/>
        <v>0.0132565838976674</v>
      </c>
      <c r="AL38" s="16">
        <f t="shared" si="68"/>
        <v>0.0155801202688362</v>
      </c>
      <c r="AM38" s="4"/>
      <c r="AN38" s="4"/>
      <c r="AO38" s="14">
        <f t="shared" ref="AO38:AS38" si="127">W38</f>
        <v>0.0133569142664645</v>
      </c>
      <c r="AP38" s="14">
        <f t="shared" si="127"/>
        <v>0.0131907613344739</v>
      </c>
      <c r="AQ38" s="14">
        <f t="shared" si="127"/>
        <v>0.0137399103139013</v>
      </c>
      <c r="AR38" s="14">
        <f t="shared" si="127"/>
        <v>0.0141015921152388</v>
      </c>
      <c r="AS38" s="14">
        <f t="shared" si="127"/>
        <v>0.0143016968114861</v>
      </c>
      <c r="AT38" s="16">
        <f t="shared" si="70"/>
        <v>0.00979834462001505</v>
      </c>
      <c r="AU38" s="16">
        <f t="shared" si="71"/>
        <v>0.0115157410682703</v>
      </c>
      <c r="AZ38" s="3"/>
      <c r="BA38" s="11" t="s">
        <v>244</v>
      </c>
      <c r="BB38" s="12">
        <v>85.8</v>
      </c>
      <c r="BC38" s="14">
        <v>79.3</v>
      </c>
      <c r="BD38" s="14">
        <v>77.1</v>
      </c>
      <c r="BE38" s="14">
        <v>76.6</v>
      </c>
      <c r="BF38" s="14">
        <v>74.4</v>
      </c>
      <c r="BG38" s="14">
        <v>76.7</v>
      </c>
      <c r="BH38" s="14">
        <v>76.6</v>
      </c>
      <c r="BI38" s="14">
        <v>76.6</v>
      </c>
      <c r="BJ38" s="4"/>
      <c r="BK38" s="4"/>
      <c r="BL38" s="17"/>
      <c r="BM38" s="17"/>
      <c r="BN38" s="17"/>
      <c r="BO38" s="17"/>
    </row>
    <row r="39" ht="15.5" spans="1:67">
      <c r="A39" s="4"/>
      <c r="B39" s="4"/>
      <c r="C39" s="7"/>
      <c r="D39" s="4"/>
      <c r="E39" s="4"/>
      <c r="F39" s="4"/>
      <c r="G39" s="4"/>
      <c r="H39" s="4"/>
      <c r="I39" s="4"/>
      <c r="J39" s="4"/>
      <c r="K39" s="4"/>
      <c r="L39" s="4"/>
      <c r="M39" s="4"/>
      <c r="N39" s="4"/>
      <c r="O39" s="4"/>
      <c r="P39" s="4"/>
      <c r="Q39" s="4"/>
      <c r="R39" s="4"/>
      <c r="S39" s="4"/>
      <c r="T39" s="4"/>
      <c r="AZ39" s="4"/>
      <c r="BA39" s="4"/>
      <c r="BB39" s="7"/>
      <c r="BC39" s="4"/>
      <c r="BD39" s="4"/>
      <c r="BE39" s="4"/>
      <c r="BF39" s="4"/>
      <c r="BG39" s="4"/>
      <c r="BH39" s="4"/>
      <c r="BI39" s="4"/>
      <c r="BJ39" s="4"/>
      <c r="BK39" s="4"/>
      <c r="BL39" s="4"/>
      <c r="BM39" s="4"/>
      <c r="BN39" s="4"/>
      <c r="BO39" s="4"/>
    </row>
    <row r="40" ht="15.5" spans="1:67">
      <c r="A40" s="4"/>
      <c r="B40" s="4"/>
      <c r="C40" s="7"/>
      <c r="D40" s="4"/>
      <c r="E40" s="4"/>
      <c r="F40" s="4"/>
      <c r="G40" s="4"/>
      <c r="H40" s="4"/>
      <c r="I40" s="4"/>
      <c r="J40" s="4"/>
      <c r="K40" s="4"/>
      <c r="L40" s="4"/>
      <c r="M40" s="4"/>
      <c r="N40" s="4"/>
      <c r="O40" s="4"/>
      <c r="P40" s="4"/>
      <c r="Q40" s="4"/>
      <c r="R40" s="4"/>
      <c r="S40" s="4"/>
      <c r="T40" s="4"/>
      <c r="AZ40" s="4"/>
      <c r="BA40" s="4"/>
      <c r="BB40" s="7"/>
      <c r="BC40" s="4"/>
      <c r="BD40" s="4"/>
      <c r="BE40" s="4"/>
      <c r="BF40" s="4"/>
      <c r="BG40" s="4"/>
      <c r="BH40" s="4"/>
      <c r="BI40" s="4"/>
      <c r="BJ40" s="4"/>
      <c r="BK40" s="4"/>
      <c r="BL40" s="4"/>
      <c r="BM40" s="4"/>
      <c r="BN40" s="4"/>
      <c r="BO40" s="4"/>
    </row>
    <row r="41" ht="15.5" spans="1:67">
      <c r="A41" s="3" t="s">
        <v>260</v>
      </c>
      <c r="B41" s="3"/>
      <c r="C41" s="3"/>
      <c r="D41" s="3"/>
      <c r="E41" s="3"/>
      <c r="F41" s="3"/>
      <c r="G41" s="3"/>
      <c r="H41" s="3"/>
      <c r="I41" s="3"/>
      <c r="J41" s="3"/>
      <c r="K41" s="4"/>
      <c r="L41" s="4"/>
      <c r="M41" s="4"/>
      <c r="N41" s="4"/>
      <c r="O41" s="4"/>
      <c r="P41" s="4"/>
      <c r="Q41" s="4"/>
      <c r="R41" s="4"/>
      <c r="S41" s="4"/>
      <c r="T41" s="4"/>
      <c r="AZ41" s="3" t="s">
        <v>260</v>
      </c>
      <c r="BA41" s="3"/>
      <c r="BB41" s="3"/>
      <c r="BC41" s="3"/>
      <c r="BD41" s="3"/>
      <c r="BE41" s="3"/>
      <c r="BF41" s="3"/>
      <c r="BG41" s="3"/>
      <c r="BH41" s="3"/>
      <c r="BI41" s="3"/>
      <c r="BJ41" s="4"/>
      <c r="BK41" s="4"/>
      <c r="BL41" s="4"/>
      <c r="BM41" s="4"/>
      <c r="BN41" s="4"/>
      <c r="BO41" s="4"/>
    </row>
    <row r="42" ht="15.5" spans="1:67">
      <c r="A42" s="3" t="s">
        <v>228</v>
      </c>
      <c r="B42" s="3" t="s">
        <v>259</v>
      </c>
      <c r="C42" s="3" t="s">
        <v>230</v>
      </c>
      <c r="D42" s="3"/>
      <c r="E42" s="3"/>
      <c r="F42" s="3"/>
      <c r="G42" s="3"/>
      <c r="H42" s="3"/>
      <c r="I42" s="3"/>
      <c r="J42" s="3"/>
      <c r="K42" s="4"/>
      <c r="L42" s="4"/>
      <c r="M42" s="4"/>
      <c r="N42" s="4"/>
      <c r="O42" s="4"/>
      <c r="P42" s="4"/>
      <c r="Q42" s="4"/>
      <c r="R42" s="4"/>
      <c r="S42" s="4"/>
      <c r="T42" s="4"/>
      <c r="AZ42" s="3" t="s">
        <v>228</v>
      </c>
      <c r="BA42" s="3" t="s">
        <v>259</v>
      </c>
      <c r="BB42" s="3" t="s">
        <v>230</v>
      </c>
      <c r="BC42" s="3"/>
      <c r="BD42" s="3"/>
      <c r="BE42" s="3"/>
      <c r="BF42" s="3"/>
      <c r="BG42" s="3"/>
      <c r="BH42" s="3"/>
      <c r="BI42" s="3"/>
      <c r="BJ42" s="4"/>
      <c r="BK42" s="4"/>
      <c r="BL42" s="4"/>
      <c r="BM42" s="4"/>
      <c r="BN42" s="4"/>
      <c r="BO42" s="4"/>
    </row>
    <row r="43" ht="30" spans="1:67">
      <c r="A43" s="3"/>
      <c r="B43" s="3"/>
      <c r="C43" s="7" t="s">
        <v>231</v>
      </c>
      <c r="D43" s="4" t="s">
        <v>232</v>
      </c>
      <c r="E43" s="4" t="s">
        <v>233</v>
      </c>
      <c r="F43" s="8" t="s">
        <v>234</v>
      </c>
      <c r="G43" s="4" t="s">
        <v>235</v>
      </c>
      <c r="H43" s="4" t="s">
        <v>236</v>
      </c>
      <c r="I43" s="4" t="s">
        <v>237</v>
      </c>
      <c r="J43" s="4" t="s">
        <v>238</v>
      </c>
      <c r="K43" s="4"/>
      <c r="L43" s="4"/>
      <c r="M43" s="4" t="s">
        <v>232</v>
      </c>
      <c r="N43" s="4" t="s">
        <v>233</v>
      </c>
      <c r="O43" s="4" t="s">
        <v>234</v>
      </c>
      <c r="P43" s="4" t="s">
        <v>235</v>
      </c>
      <c r="Q43" s="4" t="s">
        <v>236</v>
      </c>
      <c r="R43" s="4" t="s">
        <v>237</v>
      </c>
      <c r="S43" s="4" t="s">
        <v>238</v>
      </c>
      <c r="T43" s="4"/>
      <c r="U43" s="4"/>
      <c r="V43" s="6" t="s">
        <v>257</v>
      </c>
      <c r="W43" s="4" t="s">
        <v>232</v>
      </c>
      <c r="X43" s="4" t="s">
        <v>233</v>
      </c>
      <c r="Y43" s="8" t="s">
        <v>234</v>
      </c>
      <c r="Z43" s="4" t="s">
        <v>235</v>
      </c>
      <c r="AA43" s="4" t="s">
        <v>236</v>
      </c>
      <c r="AB43" s="10" t="s">
        <v>237</v>
      </c>
      <c r="AC43" s="10" t="s">
        <v>238</v>
      </c>
      <c r="AD43" s="4"/>
      <c r="AE43" s="4"/>
      <c r="AF43" s="4" t="s">
        <v>232</v>
      </c>
      <c r="AG43" s="4" t="s">
        <v>233</v>
      </c>
      <c r="AH43" s="8" t="s">
        <v>234</v>
      </c>
      <c r="AI43" s="4" t="s">
        <v>235</v>
      </c>
      <c r="AJ43" s="4" t="s">
        <v>236</v>
      </c>
      <c r="AK43" s="10" t="s">
        <v>237</v>
      </c>
      <c r="AL43" s="10" t="s">
        <v>238</v>
      </c>
      <c r="AO43" s="4" t="s">
        <v>232</v>
      </c>
      <c r="AP43" s="4" t="s">
        <v>233</v>
      </c>
      <c r="AQ43" s="8" t="s">
        <v>234</v>
      </c>
      <c r="AR43" s="4" t="s">
        <v>235</v>
      </c>
      <c r="AS43" s="4" t="s">
        <v>236</v>
      </c>
      <c r="AT43" s="10" t="s">
        <v>237</v>
      </c>
      <c r="AU43" s="10" t="s">
        <v>238</v>
      </c>
      <c r="AZ43" s="3"/>
      <c r="BA43" s="3"/>
      <c r="BB43" s="7" t="s">
        <v>231</v>
      </c>
      <c r="BC43" s="4" t="s">
        <v>232</v>
      </c>
      <c r="BD43" s="4" t="s">
        <v>233</v>
      </c>
      <c r="BE43" s="8" t="s">
        <v>234</v>
      </c>
      <c r="BF43" s="4" t="s">
        <v>235</v>
      </c>
      <c r="BG43" s="4" t="s">
        <v>236</v>
      </c>
      <c r="BH43" s="4" t="s">
        <v>237</v>
      </c>
      <c r="BI43" s="4" t="s">
        <v>238</v>
      </c>
      <c r="BJ43" s="4"/>
      <c r="BK43" s="4"/>
      <c r="BL43" s="4"/>
      <c r="BM43" s="4"/>
      <c r="BN43" s="4"/>
      <c r="BO43" s="4"/>
    </row>
    <row r="44" ht="15.5" spans="1:67">
      <c r="A44" s="3" t="s">
        <v>239</v>
      </c>
      <c r="B44" s="11" t="s">
        <v>240</v>
      </c>
      <c r="C44" s="12">
        <f t="shared" ref="C44:J44" si="128">BB44/1000</f>
        <v>0.6652</v>
      </c>
      <c r="D44" s="12">
        <f t="shared" si="128"/>
        <v>0.5864</v>
      </c>
      <c r="E44" s="12">
        <f t="shared" si="128"/>
        <v>0.5679</v>
      </c>
      <c r="F44" s="12">
        <f t="shared" si="128"/>
        <v>0.5636</v>
      </c>
      <c r="G44" s="12">
        <f t="shared" si="128"/>
        <v>0.5409</v>
      </c>
      <c r="H44" s="12">
        <f t="shared" si="128"/>
        <v>0.5521</v>
      </c>
      <c r="I44" s="12">
        <f t="shared" si="128"/>
        <v>0.5636</v>
      </c>
      <c r="J44" s="12">
        <f t="shared" si="128"/>
        <v>0.5636</v>
      </c>
      <c r="K44" s="4"/>
      <c r="L44" s="4"/>
      <c r="M44" s="13">
        <v>5.937</v>
      </c>
      <c r="N44" s="13">
        <v>5.845</v>
      </c>
      <c r="O44" s="13">
        <v>5.575</v>
      </c>
      <c r="P44" s="13">
        <v>5.276</v>
      </c>
      <c r="Q44" s="13">
        <v>5.363</v>
      </c>
      <c r="R44" s="13">
        <v>6.645</v>
      </c>
      <c r="S44" s="13">
        <v>5.654</v>
      </c>
      <c r="T44" s="13"/>
      <c r="U44" s="3" t="s">
        <v>239</v>
      </c>
      <c r="V44" s="11" t="s">
        <v>240</v>
      </c>
      <c r="W44" s="14">
        <f t="shared" ref="W44:AC44" si="129">D44/M44</f>
        <v>0.098770422772444</v>
      </c>
      <c r="X44" s="14">
        <f t="shared" si="129"/>
        <v>0.0971599657827203</v>
      </c>
      <c r="Y44" s="14">
        <f t="shared" si="129"/>
        <v>0.101094170403587</v>
      </c>
      <c r="Z44" s="14">
        <f t="shared" si="129"/>
        <v>0.102520849128127</v>
      </c>
      <c r="AA44" s="14">
        <f t="shared" si="129"/>
        <v>0.102946112250606</v>
      </c>
      <c r="AB44" s="15">
        <f t="shared" si="129"/>
        <v>0.0848156508653123</v>
      </c>
      <c r="AC44" s="15">
        <f t="shared" si="129"/>
        <v>0.0996816413158826</v>
      </c>
      <c r="AD44" s="4"/>
      <c r="AE44" s="4"/>
      <c r="AF44" s="14">
        <f t="shared" ref="AF44:AJ44" si="130">W44</f>
        <v>0.098770422772444</v>
      </c>
      <c r="AG44" s="14">
        <f t="shared" si="130"/>
        <v>0.0971599657827203</v>
      </c>
      <c r="AH44" s="14">
        <f t="shared" si="130"/>
        <v>0.101094170403587</v>
      </c>
      <c r="AI44" s="14">
        <f t="shared" si="130"/>
        <v>0.102520849128127</v>
      </c>
      <c r="AJ44" s="14">
        <f t="shared" si="130"/>
        <v>0.102946112250606</v>
      </c>
      <c r="AK44" s="16">
        <f t="shared" ref="AK44:AK58" si="131">AB44*1.15</f>
        <v>0.0975379984951091</v>
      </c>
      <c r="AL44" s="16">
        <f t="shared" ref="AL44:AL58" si="132">AC44*1.15</f>
        <v>0.114633887513265</v>
      </c>
      <c r="AO44" s="14">
        <f t="shared" ref="AO44:AS44" si="133">W44</f>
        <v>0.098770422772444</v>
      </c>
      <c r="AP44" s="14">
        <f t="shared" si="133"/>
        <v>0.0971599657827203</v>
      </c>
      <c r="AQ44" s="14">
        <f t="shared" si="133"/>
        <v>0.101094170403587</v>
      </c>
      <c r="AR44" s="14">
        <f t="shared" si="133"/>
        <v>0.102520849128127</v>
      </c>
      <c r="AS44" s="14">
        <f t="shared" si="133"/>
        <v>0.102946112250606</v>
      </c>
      <c r="AT44" s="16">
        <f t="shared" ref="AT44:AT58" si="134">AB44*0.85</f>
        <v>0.0720933032355154</v>
      </c>
      <c r="AU44" s="16">
        <f t="shared" ref="AU44:AU58" si="135">AC44*0.85</f>
        <v>0.0847293951185002</v>
      </c>
      <c r="AZ44" s="3" t="s">
        <v>239</v>
      </c>
      <c r="BA44" s="11" t="s">
        <v>240</v>
      </c>
      <c r="BB44" s="12">
        <v>665.2</v>
      </c>
      <c r="BC44" s="14">
        <v>586.4</v>
      </c>
      <c r="BD44" s="14">
        <v>567.9</v>
      </c>
      <c r="BE44" s="14">
        <v>563.6</v>
      </c>
      <c r="BF44" s="14">
        <v>540.9</v>
      </c>
      <c r="BG44" s="14">
        <v>552.1</v>
      </c>
      <c r="BH44" s="14">
        <v>563.6</v>
      </c>
      <c r="BI44" s="14">
        <v>563.6</v>
      </c>
      <c r="BJ44" s="4"/>
      <c r="BK44" s="4"/>
      <c r="BL44" s="13"/>
      <c r="BM44" s="13"/>
      <c r="BN44" s="13"/>
      <c r="BO44" s="13"/>
    </row>
    <row r="45" ht="15.5" spans="1:67">
      <c r="A45" s="3"/>
      <c r="B45" s="11" t="s">
        <v>241</v>
      </c>
      <c r="C45" s="12">
        <f t="shared" ref="C45:J45" si="136">BB45/1000</f>
        <v>0.6092</v>
      </c>
      <c r="D45" s="12">
        <f t="shared" si="136"/>
        <v>0.5396</v>
      </c>
      <c r="E45" s="12">
        <f t="shared" si="136"/>
        <v>0.5232</v>
      </c>
      <c r="F45" s="12">
        <f t="shared" si="136"/>
        <v>0.5193</v>
      </c>
      <c r="G45" s="12">
        <f t="shared" si="136"/>
        <v>0.499</v>
      </c>
      <c r="H45" s="12">
        <f t="shared" si="136"/>
        <v>0.5091</v>
      </c>
      <c r="I45" s="12">
        <f t="shared" si="136"/>
        <v>0.5193</v>
      </c>
      <c r="J45" s="12">
        <f t="shared" si="136"/>
        <v>0.5193</v>
      </c>
      <c r="K45" s="4"/>
      <c r="L45" s="4"/>
      <c r="M45" s="17">
        <v>5.937</v>
      </c>
      <c r="N45" s="17">
        <v>5.845</v>
      </c>
      <c r="O45" s="17">
        <v>5.575</v>
      </c>
      <c r="P45" s="17">
        <v>5.276</v>
      </c>
      <c r="Q45" s="17">
        <v>5.363</v>
      </c>
      <c r="R45" s="17">
        <v>6.645</v>
      </c>
      <c r="S45" s="17">
        <v>5.654</v>
      </c>
      <c r="T45" s="17"/>
      <c r="U45" s="3"/>
      <c r="V45" s="11" t="s">
        <v>241</v>
      </c>
      <c r="W45" s="14">
        <f t="shared" ref="W45:AC45" si="137">D45/M45</f>
        <v>0.0908876536971534</v>
      </c>
      <c r="X45" s="14">
        <f t="shared" si="137"/>
        <v>0.0895124037639008</v>
      </c>
      <c r="Y45" s="14">
        <f t="shared" si="137"/>
        <v>0.0931479820627803</v>
      </c>
      <c r="Z45" s="14">
        <f t="shared" si="137"/>
        <v>0.094579226686884</v>
      </c>
      <c r="AA45" s="14">
        <f t="shared" si="137"/>
        <v>0.0949282118217415</v>
      </c>
      <c r="AB45" s="15">
        <f t="shared" si="137"/>
        <v>0.0781489841986456</v>
      </c>
      <c r="AC45" s="15">
        <f t="shared" si="137"/>
        <v>0.0918464803678811</v>
      </c>
      <c r="AD45" s="4"/>
      <c r="AE45" s="4"/>
      <c r="AF45" s="14">
        <f t="shared" ref="AF45:AJ45" si="138">W45</f>
        <v>0.0908876536971534</v>
      </c>
      <c r="AG45" s="14">
        <f t="shared" si="138"/>
        <v>0.0895124037639008</v>
      </c>
      <c r="AH45" s="14">
        <f t="shared" si="138"/>
        <v>0.0931479820627803</v>
      </c>
      <c r="AI45" s="14">
        <f t="shared" si="138"/>
        <v>0.094579226686884</v>
      </c>
      <c r="AJ45" s="14">
        <f t="shared" si="138"/>
        <v>0.0949282118217415</v>
      </c>
      <c r="AK45" s="16">
        <f t="shared" si="131"/>
        <v>0.0898713318284424</v>
      </c>
      <c r="AL45" s="16">
        <f t="shared" si="132"/>
        <v>0.105623452423063</v>
      </c>
      <c r="AO45" s="14">
        <f t="shared" ref="AO45:AS45" si="139">W45</f>
        <v>0.0908876536971534</v>
      </c>
      <c r="AP45" s="14">
        <f t="shared" si="139"/>
        <v>0.0895124037639008</v>
      </c>
      <c r="AQ45" s="14">
        <f t="shared" si="139"/>
        <v>0.0931479820627803</v>
      </c>
      <c r="AR45" s="14">
        <f t="shared" si="139"/>
        <v>0.094579226686884</v>
      </c>
      <c r="AS45" s="14">
        <f t="shared" si="139"/>
        <v>0.0949282118217415</v>
      </c>
      <c r="AT45" s="16">
        <f t="shared" si="134"/>
        <v>0.0664266365688488</v>
      </c>
      <c r="AU45" s="16">
        <f t="shared" si="135"/>
        <v>0.078069508312699</v>
      </c>
      <c r="AZ45" s="3"/>
      <c r="BA45" s="11" t="s">
        <v>241</v>
      </c>
      <c r="BB45" s="12">
        <v>609.2</v>
      </c>
      <c r="BC45" s="14">
        <v>539.6</v>
      </c>
      <c r="BD45" s="14">
        <v>523.2</v>
      </c>
      <c r="BE45" s="14">
        <v>519.3</v>
      </c>
      <c r="BF45" s="14">
        <v>499</v>
      </c>
      <c r="BG45" s="14">
        <v>509.1</v>
      </c>
      <c r="BH45" s="14">
        <v>519.3</v>
      </c>
      <c r="BI45" s="14">
        <v>519.3</v>
      </c>
      <c r="BJ45" s="4"/>
      <c r="BK45" s="4"/>
      <c r="BL45" s="17"/>
      <c r="BM45" s="17"/>
      <c r="BN45" s="17"/>
      <c r="BO45" s="17"/>
    </row>
    <row r="46" ht="15.5" spans="1:67">
      <c r="A46" s="3"/>
      <c r="B46" s="11" t="s">
        <v>242</v>
      </c>
      <c r="C46" s="12">
        <f t="shared" ref="C46:J46" si="140">BB46/1000</f>
        <v>0.1429</v>
      </c>
      <c r="D46" s="12">
        <f t="shared" si="140"/>
        <v>0.1194</v>
      </c>
      <c r="E46" s="12">
        <f t="shared" si="140"/>
        <v>0.114</v>
      </c>
      <c r="F46" s="12">
        <f t="shared" si="140"/>
        <v>0.1127</v>
      </c>
      <c r="G46" s="12">
        <f t="shared" si="140"/>
        <v>0.1061</v>
      </c>
      <c r="H46" s="12">
        <f t="shared" si="140"/>
        <v>0.1094</v>
      </c>
      <c r="I46" s="12">
        <f t="shared" si="140"/>
        <v>0.1127</v>
      </c>
      <c r="J46" s="12">
        <f t="shared" si="140"/>
        <v>0.1127</v>
      </c>
      <c r="K46" s="4"/>
      <c r="L46" s="4"/>
      <c r="M46" s="17">
        <v>5.937</v>
      </c>
      <c r="N46" s="17">
        <v>5.845</v>
      </c>
      <c r="O46" s="17">
        <v>5.575</v>
      </c>
      <c r="P46" s="17">
        <v>5.276</v>
      </c>
      <c r="Q46" s="17">
        <v>5.363</v>
      </c>
      <c r="R46" s="17">
        <v>6.645</v>
      </c>
      <c r="S46" s="17">
        <v>5.654</v>
      </c>
      <c r="T46" s="17"/>
      <c r="U46" s="3"/>
      <c r="V46" s="11" t="s">
        <v>242</v>
      </c>
      <c r="W46" s="14">
        <f t="shared" ref="W46:AC46" si="141">D46/M46</f>
        <v>0.02011116725619</v>
      </c>
      <c r="X46" s="14">
        <f t="shared" si="141"/>
        <v>0.0195038494439692</v>
      </c>
      <c r="Y46" s="14">
        <f t="shared" si="141"/>
        <v>0.0202152466367713</v>
      </c>
      <c r="Z46" s="14">
        <f t="shared" si="141"/>
        <v>0.0201099317664898</v>
      </c>
      <c r="AA46" s="14">
        <f t="shared" si="141"/>
        <v>0.0203990303934365</v>
      </c>
      <c r="AB46" s="15">
        <f t="shared" si="141"/>
        <v>0.0169601203912716</v>
      </c>
      <c r="AC46" s="15">
        <f t="shared" si="141"/>
        <v>0.0199327909444641</v>
      </c>
      <c r="AD46" s="4"/>
      <c r="AE46" s="4"/>
      <c r="AF46" s="14">
        <f t="shared" ref="AF46:AJ46" si="142">W46</f>
        <v>0.02011116725619</v>
      </c>
      <c r="AG46" s="14">
        <f t="shared" si="142"/>
        <v>0.0195038494439692</v>
      </c>
      <c r="AH46" s="14">
        <f t="shared" si="142"/>
        <v>0.0202152466367713</v>
      </c>
      <c r="AI46" s="14">
        <f t="shared" si="142"/>
        <v>0.0201099317664898</v>
      </c>
      <c r="AJ46" s="14">
        <f t="shared" si="142"/>
        <v>0.0203990303934365</v>
      </c>
      <c r="AK46" s="16">
        <f t="shared" si="131"/>
        <v>0.0195041384499624</v>
      </c>
      <c r="AL46" s="16">
        <f t="shared" si="132"/>
        <v>0.0229227095861337</v>
      </c>
      <c r="AO46" s="14">
        <f t="shared" ref="AO46:AS46" si="143">W46</f>
        <v>0.02011116725619</v>
      </c>
      <c r="AP46" s="14">
        <f t="shared" si="143"/>
        <v>0.0195038494439692</v>
      </c>
      <c r="AQ46" s="14">
        <f t="shared" si="143"/>
        <v>0.0202152466367713</v>
      </c>
      <c r="AR46" s="14">
        <f t="shared" si="143"/>
        <v>0.0201099317664898</v>
      </c>
      <c r="AS46" s="14">
        <f t="shared" si="143"/>
        <v>0.0203990303934365</v>
      </c>
      <c r="AT46" s="16">
        <f t="shared" si="134"/>
        <v>0.0144161023325809</v>
      </c>
      <c r="AU46" s="16">
        <f t="shared" si="135"/>
        <v>0.0169428723027945</v>
      </c>
      <c r="AZ46" s="3"/>
      <c r="BA46" s="11" t="s">
        <v>242</v>
      </c>
      <c r="BB46" s="12">
        <v>142.9</v>
      </c>
      <c r="BC46" s="14">
        <v>119.4</v>
      </c>
      <c r="BD46" s="14">
        <v>114</v>
      </c>
      <c r="BE46" s="14">
        <v>112.7</v>
      </c>
      <c r="BF46" s="14">
        <v>106.1</v>
      </c>
      <c r="BG46" s="14">
        <v>109.4</v>
      </c>
      <c r="BH46" s="14">
        <v>112.7</v>
      </c>
      <c r="BI46" s="14">
        <v>112.7</v>
      </c>
      <c r="BJ46" s="4"/>
      <c r="BK46" s="4"/>
      <c r="BL46" s="17"/>
      <c r="BM46" s="17"/>
      <c r="BN46" s="17"/>
      <c r="BO46" s="17"/>
    </row>
    <row r="47" ht="15.5" spans="1:67">
      <c r="A47" s="3"/>
      <c r="B47" s="11" t="s">
        <v>243</v>
      </c>
      <c r="C47" s="12">
        <f t="shared" ref="C47:J47" si="144">BB47/1000</f>
        <v>0.4256</v>
      </c>
      <c r="D47" s="12">
        <f t="shared" si="144"/>
        <v>0.3807</v>
      </c>
      <c r="E47" s="12">
        <f t="shared" si="144"/>
        <v>0.3703</v>
      </c>
      <c r="F47" s="12">
        <f t="shared" si="144"/>
        <v>0.3679</v>
      </c>
      <c r="G47" s="12">
        <f t="shared" si="144"/>
        <v>0.3552</v>
      </c>
      <c r="H47" s="12">
        <f t="shared" si="144"/>
        <v>0.3613</v>
      </c>
      <c r="I47" s="12">
        <f t="shared" si="144"/>
        <v>0.3679</v>
      </c>
      <c r="J47" s="12">
        <f t="shared" si="144"/>
        <v>0.3679</v>
      </c>
      <c r="K47" s="4"/>
      <c r="L47" s="4"/>
      <c r="M47" s="17">
        <v>5.937</v>
      </c>
      <c r="N47" s="17">
        <v>5.845</v>
      </c>
      <c r="O47" s="17">
        <v>5.575</v>
      </c>
      <c r="P47" s="17">
        <v>5.276</v>
      </c>
      <c r="Q47" s="17">
        <v>5.363</v>
      </c>
      <c r="R47" s="17">
        <v>6.645</v>
      </c>
      <c r="S47" s="17">
        <v>5.654</v>
      </c>
      <c r="T47" s="17"/>
      <c r="U47" s="3"/>
      <c r="V47" s="11" t="s">
        <v>243</v>
      </c>
      <c r="W47" s="14">
        <f t="shared" ref="W47:AC47" si="145">D47/M47</f>
        <v>0.0641232945932289</v>
      </c>
      <c r="X47" s="14">
        <f t="shared" si="145"/>
        <v>0.0633532934131737</v>
      </c>
      <c r="Y47" s="14">
        <f t="shared" si="145"/>
        <v>0.0659910313901345</v>
      </c>
      <c r="Z47" s="14">
        <f t="shared" si="145"/>
        <v>0.0673237300985595</v>
      </c>
      <c r="AA47" s="14">
        <f t="shared" si="145"/>
        <v>0.0673690098825284</v>
      </c>
      <c r="AB47" s="15">
        <f t="shared" si="145"/>
        <v>0.055364936042137</v>
      </c>
      <c r="AC47" s="15">
        <f t="shared" si="145"/>
        <v>0.0650689777148921</v>
      </c>
      <c r="AD47" s="4"/>
      <c r="AE47" s="4"/>
      <c r="AF47" s="14">
        <f t="shared" ref="AF47:AJ47" si="146">W47</f>
        <v>0.0641232945932289</v>
      </c>
      <c r="AG47" s="14">
        <f t="shared" si="146"/>
        <v>0.0633532934131737</v>
      </c>
      <c r="AH47" s="14">
        <f t="shared" si="146"/>
        <v>0.0659910313901345</v>
      </c>
      <c r="AI47" s="14">
        <f t="shared" si="146"/>
        <v>0.0673237300985595</v>
      </c>
      <c r="AJ47" s="14">
        <f t="shared" si="146"/>
        <v>0.0673690098825284</v>
      </c>
      <c r="AK47" s="16">
        <f t="shared" si="131"/>
        <v>0.0636696764484575</v>
      </c>
      <c r="AL47" s="16">
        <f t="shared" si="132"/>
        <v>0.0748293243721259</v>
      </c>
      <c r="AO47" s="14">
        <f t="shared" ref="AO47:AS47" si="147">W47</f>
        <v>0.0641232945932289</v>
      </c>
      <c r="AP47" s="14">
        <f t="shared" si="147"/>
        <v>0.0633532934131737</v>
      </c>
      <c r="AQ47" s="14">
        <f t="shared" si="147"/>
        <v>0.0659910313901345</v>
      </c>
      <c r="AR47" s="14">
        <f t="shared" si="147"/>
        <v>0.0673237300985595</v>
      </c>
      <c r="AS47" s="14">
        <f t="shared" si="147"/>
        <v>0.0673690098825284</v>
      </c>
      <c r="AT47" s="16">
        <f t="shared" si="134"/>
        <v>0.0470601956358164</v>
      </c>
      <c r="AU47" s="16">
        <f t="shared" si="135"/>
        <v>0.0553086310576583</v>
      </c>
      <c r="AZ47" s="3"/>
      <c r="BA47" s="11" t="s">
        <v>243</v>
      </c>
      <c r="BB47" s="12">
        <v>425.6</v>
      </c>
      <c r="BC47" s="14">
        <v>380.7</v>
      </c>
      <c r="BD47" s="14">
        <v>370.3</v>
      </c>
      <c r="BE47" s="14">
        <v>367.9</v>
      </c>
      <c r="BF47" s="14">
        <v>355.2</v>
      </c>
      <c r="BG47" s="14">
        <v>361.3</v>
      </c>
      <c r="BH47" s="14">
        <v>367.9</v>
      </c>
      <c r="BI47" s="14">
        <v>367.9</v>
      </c>
      <c r="BJ47" s="4"/>
      <c r="BK47" s="4"/>
      <c r="BL47" s="17"/>
      <c r="BM47" s="17"/>
      <c r="BN47" s="17"/>
      <c r="BO47" s="17"/>
    </row>
    <row r="48" ht="15.5" spans="1:67">
      <c r="A48" s="3"/>
      <c r="B48" s="11" t="s">
        <v>244</v>
      </c>
      <c r="C48" s="12">
        <f t="shared" ref="C48:J48" si="148">BB48/1000</f>
        <v>0.0846</v>
      </c>
      <c r="D48" s="12">
        <f t="shared" si="148"/>
        <v>0.077</v>
      </c>
      <c r="E48" s="12">
        <f t="shared" si="148"/>
        <v>0.0749</v>
      </c>
      <c r="F48" s="12">
        <f t="shared" si="148"/>
        <v>0.0744</v>
      </c>
      <c r="G48" s="12">
        <f t="shared" si="148"/>
        <v>0.0717</v>
      </c>
      <c r="H48" s="12">
        <f t="shared" si="148"/>
        <v>0.0731</v>
      </c>
      <c r="I48" s="12">
        <f t="shared" si="148"/>
        <v>0.0744</v>
      </c>
      <c r="J48" s="12">
        <f t="shared" si="148"/>
        <v>0.0744</v>
      </c>
      <c r="K48" s="4"/>
      <c r="L48" s="4"/>
      <c r="M48" s="17">
        <v>5.937</v>
      </c>
      <c r="N48" s="17">
        <v>5.845</v>
      </c>
      <c r="O48" s="17">
        <v>5.575</v>
      </c>
      <c r="P48" s="17">
        <v>5.276</v>
      </c>
      <c r="Q48" s="17">
        <v>5.363</v>
      </c>
      <c r="R48" s="17">
        <v>6.645</v>
      </c>
      <c r="S48" s="17">
        <v>5.654</v>
      </c>
      <c r="T48" s="17"/>
      <c r="U48" s="3"/>
      <c r="V48" s="11" t="s">
        <v>244</v>
      </c>
      <c r="W48" s="14">
        <f t="shared" ref="W48:AC48" si="149">D48/M48</f>
        <v>0.0129695132221661</v>
      </c>
      <c r="X48" s="14">
        <f t="shared" si="149"/>
        <v>0.012814371257485</v>
      </c>
      <c r="Y48" s="14">
        <f t="shared" si="149"/>
        <v>0.0133452914798206</v>
      </c>
      <c r="Z48" s="14">
        <f t="shared" si="149"/>
        <v>0.0135898407884761</v>
      </c>
      <c r="AA48" s="14">
        <f t="shared" si="149"/>
        <v>0.0136304307290695</v>
      </c>
      <c r="AB48" s="15">
        <f t="shared" si="149"/>
        <v>0.011196388261851</v>
      </c>
      <c r="AC48" s="15">
        <f t="shared" si="149"/>
        <v>0.0131588256101875</v>
      </c>
      <c r="AD48" s="4"/>
      <c r="AE48" s="4"/>
      <c r="AF48" s="14">
        <f t="shared" ref="AF48:AJ48" si="150">W48</f>
        <v>0.0129695132221661</v>
      </c>
      <c r="AG48" s="14">
        <f t="shared" si="150"/>
        <v>0.012814371257485</v>
      </c>
      <c r="AH48" s="14">
        <f t="shared" si="150"/>
        <v>0.0133452914798206</v>
      </c>
      <c r="AI48" s="14">
        <f t="shared" si="150"/>
        <v>0.0135898407884761</v>
      </c>
      <c r="AJ48" s="14">
        <f t="shared" si="150"/>
        <v>0.0136304307290695</v>
      </c>
      <c r="AK48" s="16">
        <f t="shared" si="131"/>
        <v>0.0128758465011287</v>
      </c>
      <c r="AL48" s="16">
        <f t="shared" si="132"/>
        <v>0.0151326494517156</v>
      </c>
      <c r="AO48" s="14">
        <f t="shared" ref="AO48:AS48" si="151">W48</f>
        <v>0.0129695132221661</v>
      </c>
      <c r="AP48" s="14">
        <f t="shared" si="151"/>
        <v>0.012814371257485</v>
      </c>
      <c r="AQ48" s="14">
        <f t="shared" si="151"/>
        <v>0.0133452914798206</v>
      </c>
      <c r="AR48" s="14">
        <f t="shared" si="151"/>
        <v>0.0135898407884761</v>
      </c>
      <c r="AS48" s="14">
        <f t="shared" si="151"/>
        <v>0.0136304307290695</v>
      </c>
      <c r="AT48" s="16">
        <f t="shared" si="134"/>
        <v>0.00951693002257336</v>
      </c>
      <c r="AU48" s="16">
        <f t="shared" si="135"/>
        <v>0.0111850017686594</v>
      </c>
      <c r="AZ48" s="3"/>
      <c r="BA48" s="11" t="s">
        <v>244</v>
      </c>
      <c r="BB48" s="12">
        <v>84.6</v>
      </c>
      <c r="BC48" s="14">
        <v>77</v>
      </c>
      <c r="BD48" s="14">
        <v>74.9</v>
      </c>
      <c r="BE48" s="14">
        <v>74.4</v>
      </c>
      <c r="BF48" s="14">
        <v>71.7</v>
      </c>
      <c r="BG48" s="14">
        <v>73.1</v>
      </c>
      <c r="BH48" s="14">
        <v>74.4</v>
      </c>
      <c r="BI48" s="14">
        <v>74.4</v>
      </c>
      <c r="BJ48" s="4"/>
      <c r="BK48" s="4"/>
      <c r="BL48" s="17"/>
      <c r="BM48" s="17"/>
      <c r="BN48" s="17"/>
      <c r="BO48" s="17"/>
    </row>
    <row r="49" ht="15.5" spans="1:67">
      <c r="A49" s="3" t="s">
        <v>245</v>
      </c>
      <c r="B49" s="11" t="s">
        <v>240</v>
      </c>
      <c r="C49" s="12">
        <f t="shared" ref="C49:J49" si="152">BB49/1000</f>
        <v>0.6792</v>
      </c>
      <c r="D49" s="12">
        <f t="shared" si="152"/>
        <v>0.5984</v>
      </c>
      <c r="E49" s="12">
        <f t="shared" si="152"/>
        <v>0.5794</v>
      </c>
      <c r="F49" s="12">
        <f t="shared" si="152"/>
        <v>0.575</v>
      </c>
      <c r="G49" s="12">
        <f t="shared" si="152"/>
        <v>0.5517</v>
      </c>
      <c r="H49" s="12">
        <f t="shared" si="152"/>
        <v>0.5632</v>
      </c>
      <c r="I49" s="12">
        <f t="shared" si="152"/>
        <v>0.575</v>
      </c>
      <c r="J49" s="12">
        <f t="shared" si="152"/>
        <v>0.575</v>
      </c>
      <c r="K49" s="4"/>
      <c r="L49" s="4"/>
      <c r="M49" s="17">
        <v>5.937</v>
      </c>
      <c r="N49" s="17">
        <v>5.845</v>
      </c>
      <c r="O49" s="17">
        <v>5.575</v>
      </c>
      <c r="P49" s="17">
        <v>5.276</v>
      </c>
      <c r="Q49" s="17">
        <v>5.363</v>
      </c>
      <c r="R49" s="17">
        <v>6.645</v>
      </c>
      <c r="S49" s="17">
        <v>5.654</v>
      </c>
      <c r="T49" s="17"/>
      <c r="U49" s="3" t="s">
        <v>245</v>
      </c>
      <c r="V49" s="11" t="s">
        <v>240</v>
      </c>
      <c r="W49" s="14">
        <f t="shared" ref="W49:AC49" si="153">D49/M49</f>
        <v>0.100791645612262</v>
      </c>
      <c r="X49" s="14">
        <f t="shared" si="153"/>
        <v>0.0991274593669803</v>
      </c>
      <c r="Y49" s="14">
        <f t="shared" si="153"/>
        <v>0.103139013452915</v>
      </c>
      <c r="Z49" s="14">
        <f t="shared" si="153"/>
        <v>0.104567854435178</v>
      </c>
      <c r="AA49" s="14">
        <f t="shared" si="153"/>
        <v>0.105015849338057</v>
      </c>
      <c r="AB49" s="15">
        <f t="shared" si="153"/>
        <v>0.0865312264860798</v>
      </c>
      <c r="AC49" s="15">
        <f t="shared" si="153"/>
        <v>0.10169791298196</v>
      </c>
      <c r="AD49" s="4"/>
      <c r="AE49" s="4"/>
      <c r="AF49" s="14">
        <f t="shared" ref="AF49:AJ49" si="154">W49</f>
        <v>0.100791645612262</v>
      </c>
      <c r="AG49" s="14">
        <f t="shared" si="154"/>
        <v>0.0991274593669803</v>
      </c>
      <c r="AH49" s="14">
        <f t="shared" si="154"/>
        <v>0.103139013452915</v>
      </c>
      <c r="AI49" s="14">
        <f t="shared" si="154"/>
        <v>0.104567854435178</v>
      </c>
      <c r="AJ49" s="14">
        <f t="shared" si="154"/>
        <v>0.105015849338057</v>
      </c>
      <c r="AK49" s="16">
        <f t="shared" si="131"/>
        <v>0.0995109104589917</v>
      </c>
      <c r="AL49" s="16">
        <f t="shared" si="132"/>
        <v>0.116952599929254</v>
      </c>
      <c r="AO49" s="14">
        <f t="shared" ref="AO49:AS49" si="155">W49</f>
        <v>0.100791645612262</v>
      </c>
      <c r="AP49" s="14">
        <f t="shared" si="155"/>
        <v>0.0991274593669803</v>
      </c>
      <c r="AQ49" s="14">
        <f t="shared" si="155"/>
        <v>0.103139013452915</v>
      </c>
      <c r="AR49" s="14">
        <f t="shared" si="155"/>
        <v>0.104567854435178</v>
      </c>
      <c r="AS49" s="14">
        <f t="shared" si="155"/>
        <v>0.105015849338057</v>
      </c>
      <c r="AT49" s="16">
        <f t="shared" si="134"/>
        <v>0.0735515425131678</v>
      </c>
      <c r="AU49" s="16">
        <f t="shared" si="135"/>
        <v>0.0864432260346657</v>
      </c>
      <c r="AZ49" s="3" t="s">
        <v>245</v>
      </c>
      <c r="BA49" s="11" t="s">
        <v>240</v>
      </c>
      <c r="BB49" s="12">
        <v>679.2</v>
      </c>
      <c r="BC49" s="14">
        <v>598.4</v>
      </c>
      <c r="BD49" s="14">
        <v>579.4</v>
      </c>
      <c r="BE49" s="14">
        <v>575</v>
      </c>
      <c r="BF49" s="14">
        <v>551.7</v>
      </c>
      <c r="BG49" s="14">
        <v>563.2</v>
      </c>
      <c r="BH49" s="14">
        <v>575</v>
      </c>
      <c r="BI49" s="14">
        <v>575</v>
      </c>
      <c r="BJ49" s="4"/>
      <c r="BK49" s="4"/>
      <c r="BL49" s="17"/>
      <c r="BM49" s="17"/>
      <c r="BN49" s="17"/>
      <c r="BO49" s="17"/>
    </row>
    <row r="50" ht="15.5" spans="1:67">
      <c r="A50" s="3"/>
      <c r="B50" s="11" t="s">
        <v>241</v>
      </c>
      <c r="C50" s="12">
        <f t="shared" ref="C50:J50" si="156">BB50/1000</f>
        <v>0.6241</v>
      </c>
      <c r="D50" s="12">
        <f t="shared" si="156"/>
        <v>0.5523</v>
      </c>
      <c r="E50" s="12">
        <f t="shared" si="156"/>
        <v>0.5353</v>
      </c>
      <c r="F50" s="12">
        <f t="shared" si="156"/>
        <v>0.5314</v>
      </c>
      <c r="G50" s="12">
        <f t="shared" si="156"/>
        <v>0.5105</v>
      </c>
      <c r="H50" s="12">
        <f t="shared" si="156"/>
        <v>0.5209</v>
      </c>
      <c r="I50" s="12">
        <f t="shared" si="156"/>
        <v>0.5314</v>
      </c>
      <c r="J50" s="12">
        <f t="shared" si="156"/>
        <v>0.5314</v>
      </c>
      <c r="K50" s="4"/>
      <c r="L50" s="4"/>
      <c r="M50" s="17">
        <v>5.937</v>
      </c>
      <c r="N50" s="17">
        <v>5.845</v>
      </c>
      <c r="O50" s="17">
        <v>5.575</v>
      </c>
      <c r="P50" s="17">
        <v>5.276</v>
      </c>
      <c r="Q50" s="17">
        <v>5.363</v>
      </c>
      <c r="R50" s="17">
        <v>6.645</v>
      </c>
      <c r="S50" s="17">
        <v>5.654</v>
      </c>
      <c r="T50" s="17"/>
      <c r="U50" s="3"/>
      <c r="V50" s="11" t="s">
        <v>241</v>
      </c>
      <c r="W50" s="14">
        <f t="shared" ref="W50:AC50" si="157">D50/M50</f>
        <v>0.0930267812026276</v>
      </c>
      <c r="X50" s="14">
        <f t="shared" si="157"/>
        <v>0.0915825491873396</v>
      </c>
      <c r="Y50" s="14">
        <f t="shared" si="157"/>
        <v>0.0953183856502242</v>
      </c>
      <c r="Z50" s="14">
        <f t="shared" si="157"/>
        <v>0.0967589082638362</v>
      </c>
      <c r="AA50" s="14">
        <f t="shared" si="157"/>
        <v>0.0971284728696625</v>
      </c>
      <c r="AB50" s="15">
        <f t="shared" si="157"/>
        <v>0.0799699021820918</v>
      </c>
      <c r="AC50" s="15">
        <f t="shared" si="157"/>
        <v>0.0939865581888928</v>
      </c>
      <c r="AD50" s="4"/>
      <c r="AE50" s="4"/>
      <c r="AF50" s="14">
        <f t="shared" ref="AF50:AJ50" si="158">W50</f>
        <v>0.0930267812026276</v>
      </c>
      <c r="AG50" s="14">
        <f t="shared" si="158"/>
        <v>0.0915825491873396</v>
      </c>
      <c r="AH50" s="14">
        <f t="shared" si="158"/>
        <v>0.0953183856502242</v>
      </c>
      <c r="AI50" s="14">
        <f t="shared" si="158"/>
        <v>0.0967589082638362</v>
      </c>
      <c r="AJ50" s="14">
        <f t="shared" si="158"/>
        <v>0.0971284728696625</v>
      </c>
      <c r="AK50" s="16">
        <f t="shared" si="131"/>
        <v>0.0919653875094056</v>
      </c>
      <c r="AL50" s="16">
        <f t="shared" si="132"/>
        <v>0.108084541917227</v>
      </c>
      <c r="AO50" s="14">
        <f t="shared" ref="AO50:AS50" si="159">W50</f>
        <v>0.0930267812026276</v>
      </c>
      <c r="AP50" s="14">
        <f t="shared" si="159"/>
        <v>0.0915825491873396</v>
      </c>
      <c r="AQ50" s="14">
        <f t="shared" si="159"/>
        <v>0.0953183856502242</v>
      </c>
      <c r="AR50" s="14">
        <f t="shared" si="159"/>
        <v>0.0967589082638362</v>
      </c>
      <c r="AS50" s="14">
        <f t="shared" si="159"/>
        <v>0.0971284728696625</v>
      </c>
      <c r="AT50" s="16">
        <f t="shared" si="134"/>
        <v>0.067974416854778</v>
      </c>
      <c r="AU50" s="16">
        <f t="shared" si="135"/>
        <v>0.0798885744605589</v>
      </c>
      <c r="AZ50" s="3"/>
      <c r="BA50" s="11" t="s">
        <v>241</v>
      </c>
      <c r="BB50" s="12">
        <v>624.1</v>
      </c>
      <c r="BC50" s="14">
        <v>552.3</v>
      </c>
      <c r="BD50" s="14">
        <v>535.3</v>
      </c>
      <c r="BE50" s="14">
        <v>531.4</v>
      </c>
      <c r="BF50" s="14">
        <v>510.5</v>
      </c>
      <c r="BG50" s="14">
        <v>520.9</v>
      </c>
      <c r="BH50" s="14">
        <v>531.4</v>
      </c>
      <c r="BI50" s="14">
        <v>531.4</v>
      </c>
      <c r="BJ50" s="4"/>
      <c r="BK50" s="4"/>
      <c r="BL50" s="17"/>
      <c r="BM50" s="17"/>
      <c r="BN50" s="17"/>
      <c r="BO50" s="17"/>
    </row>
    <row r="51" ht="15.5" spans="1:67">
      <c r="A51" s="3"/>
      <c r="B51" s="11" t="s">
        <v>242</v>
      </c>
      <c r="C51" s="12">
        <f t="shared" ref="C51:J51" si="160">BB51/1000</f>
        <v>0.1745</v>
      </c>
      <c r="D51" s="12">
        <f t="shared" si="160"/>
        <v>0.1463</v>
      </c>
      <c r="E51" s="12">
        <f t="shared" si="160"/>
        <v>0.1398</v>
      </c>
      <c r="F51" s="12">
        <f t="shared" si="160"/>
        <v>0.1383</v>
      </c>
      <c r="G51" s="12">
        <f t="shared" si="160"/>
        <v>0.1304</v>
      </c>
      <c r="H51" s="12">
        <f t="shared" si="160"/>
        <v>0.1343</v>
      </c>
      <c r="I51" s="12">
        <f t="shared" si="160"/>
        <v>0.1383</v>
      </c>
      <c r="J51" s="12">
        <f t="shared" si="160"/>
        <v>0.1383</v>
      </c>
      <c r="K51" s="4"/>
      <c r="L51" s="4"/>
      <c r="M51" s="17">
        <v>5.937</v>
      </c>
      <c r="N51" s="17">
        <v>5.845</v>
      </c>
      <c r="O51" s="17">
        <v>5.575</v>
      </c>
      <c r="P51" s="17">
        <v>5.276</v>
      </c>
      <c r="Q51" s="17">
        <v>5.363</v>
      </c>
      <c r="R51" s="17">
        <v>6.645</v>
      </c>
      <c r="S51" s="17">
        <v>5.654</v>
      </c>
      <c r="T51" s="17"/>
      <c r="U51" s="3"/>
      <c r="V51" s="11" t="s">
        <v>242</v>
      </c>
      <c r="W51" s="14">
        <f t="shared" ref="W51:AC51" si="161">D51/M51</f>
        <v>0.0246420751221155</v>
      </c>
      <c r="X51" s="14">
        <f t="shared" si="161"/>
        <v>0.023917878528657</v>
      </c>
      <c r="Y51" s="14">
        <f t="shared" si="161"/>
        <v>0.0248071748878924</v>
      </c>
      <c r="Z51" s="14">
        <f t="shared" si="161"/>
        <v>0.0247156937073541</v>
      </c>
      <c r="AA51" s="14">
        <f t="shared" si="161"/>
        <v>0.025041954130151</v>
      </c>
      <c r="AB51" s="15">
        <f t="shared" si="161"/>
        <v>0.0208126410835214</v>
      </c>
      <c r="AC51" s="15">
        <f t="shared" si="161"/>
        <v>0.0244605588963566</v>
      </c>
      <c r="AD51" s="4"/>
      <c r="AE51" s="4"/>
      <c r="AF51" s="14">
        <f t="shared" ref="AF51:AJ51" si="162">W51</f>
        <v>0.0246420751221155</v>
      </c>
      <c r="AG51" s="14">
        <f t="shared" si="162"/>
        <v>0.023917878528657</v>
      </c>
      <c r="AH51" s="14">
        <f t="shared" si="162"/>
        <v>0.0248071748878924</v>
      </c>
      <c r="AI51" s="14">
        <f t="shared" si="162"/>
        <v>0.0247156937073541</v>
      </c>
      <c r="AJ51" s="14">
        <f t="shared" si="162"/>
        <v>0.025041954130151</v>
      </c>
      <c r="AK51" s="16">
        <f t="shared" si="131"/>
        <v>0.0239345372460497</v>
      </c>
      <c r="AL51" s="16">
        <f t="shared" si="132"/>
        <v>0.02812964273081</v>
      </c>
      <c r="AO51" s="14">
        <f t="shared" ref="AO51:AS51" si="163">W51</f>
        <v>0.0246420751221155</v>
      </c>
      <c r="AP51" s="14">
        <f t="shared" si="163"/>
        <v>0.023917878528657</v>
      </c>
      <c r="AQ51" s="14">
        <f t="shared" si="163"/>
        <v>0.0248071748878924</v>
      </c>
      <c r="AR51" s="14">
        <f t="shared" si="163"/>
        <v>0.0247156937073541</v>
      </c>
      <c r="AS51" s="14">
        <f t="shared" si="163"/>
        <v>0.025041954130151</v>
      </c>
      <c r="AT51" s="16">
        <f t="shared" si="134"/>
        <v>0.0176907449209932</v>
      </c>
      <c r="AU51" s="16">
        <f t="shared" si="135"/>
        <v>0.0207914750619031</v>
      </c>
      <c r="AZ51" s="3"/>
      <c r="BA51" s="11" t="s">
        <v>242</v>
      </c>
      <c r="BB51" s="12">
        <v>174.5</v>
      </c>
      <c r="BC51" s="14">
        <v>146.3</v>
      </c>
      <c r="BD51" s="14">
        <v>139.8</v>
      </c>
      <c r="BE51" s="14">
        <v>138.3</v>
      </c>
      <c r="BF51" s="14">
        <v>130.4</v>
      </c>
      <c r="BG51" s="14">
        <v>134.3</v>
      </c>
      <c r="BH51" s="14">
        <v>138.3</v>
      </c>
      <c r="BI51" s="14">
        <v>138.3</v>
      </c>
      <c r="BJ51" s="4"/>
      <c r="BK51" s="4"/>
      <c r="BL51" s="17"/>
      <c r="BM51" s="17"/>
      <c r="BN51" s="17"/>
      <c r="BO51" s="17"/>
    </row>
    <row r="52" ht="15.5" spans="1:67">
      <c r="A52" s="3"/>
      <c r="B52" s="11" t="s">
        <v>243</v>
      </c>
      <c r="C52" s="12">
        <f t="shared" ref="C52:J52" si="164">BB52/1000</f>
        <v>0.4064</v>
      </c>
      <c r="D52" s="12">
        <f t="shared" si="164"/>
        <v>0.3643</v>
      </c>
      <c r="E52" s="12">
        <f t="shared" si="164"/>
        <v>0.3546</v>
      </c>
      <c r="F52" s="12">
        <f t="shared" si="164"/>
        <v>0.3523</v>
      </c>
      <c r="G52" s="12">
        <f t="shared" si="164"/>
        <v>0.3404</v>
      </c>
      <c r="H52" s="12">
        <f t="shared" si="164"/>
        <v>0.3462</v>
      </c>
      <c r="I52" s="12">
        <f t="shared" si="164"/>
        <v>0.3523</v>
      </c>
      <c r="J52" s="12">
        <f t="shared" si="164"/>
        <v>0.3523</v>
      </c>
      <c r="K52" s="4"/>
      <c r="L52" s="4"/>
      <c r="M52" s="17">
        <v>5.937</v>
      </c>
      <c r="N52" s="17">
        <v>5.845</v>
      </c>
      <c r="O52" s="17">
        <v>5.575</v>
      </c>
      <c r="P52" s="17">
        <v>5.276</v>
      </c>
      <c r="Q52" s="17">
        <v>5.363</v>
      </c>
      <c r="R52" s="17">
        <v>6.645</v>
      </c>
      <c r="S52" s="17">
        <v>5.654</v>
      </c>
      <c r="T52" s="17"/>
      <c r="U52" s="3"/>
      <c r="V52" s="11" t="s">
        <v>243</v>
      </c>
      <c r="W52" s="14">
        <f t="shared" ref="W52:AC52" si="165">D52/M52</f>
        <v>0.0613609567121442</v>
      </c>
      <c r="X52" s="14">
        <f t="shared" si="165"/>
        <v>0.0606672369546621</v>
      </c>
      <c r="Y52" s="14">
        <f t="shared" si="165"/>
        <v>0.0631928251121076</v>
      </c>
      <c r="Z52" s="14">
        <f t="shared" si="165"/>
        <v>0.0645185746777862</v>
      </c>
      <c r="AA52" s="14">
        <f t="shared" si="165"/>
        <v>0.0645534215923923</v>
      </c>
      <c r="AB52" s="15">
        <f t="shared" si="165"/>
        <v>0.0530173062452972</v>
      </c>
      <c r="AC52" s="15">
        <f t="shared" si="165"/>
        <v>0.0623098691192076</v>
      </c>
      <c r="AD52" s="4"/>
      <c r="AE52" s="4"/>
      <c r="AF52" s="14">
        <f t="shared" ref="AF52:AJ52" si="166">W52</f>
        <v>0.0613609567121442</v>
      </c>
      <c r="AG52" s="14">
        <f t="shared" si="166"/>
        <v>0.0606672369546621</v>
      </c>
      <c r="AH52" s="14">
        <f t="shared" si="166"/>
        <v>0.0631928251121076</v>
      </c>
      <c r="AI52" s="14">
        <f t="shared" si="166"/>
        <v>0.0645185746777862</v>
      </c>
      <c r="AJ52" s="14">
        <f t="shared" si="166"/>
        <v>0.0645534215923923</v>
      </c>
      <c r="AK52" s="16">
        <f t="shared" si="131"/>
        <v>0.0609699021820918</v>
      </c>
      <c r="AL52" s="16">
        <f t="shared" si="132"/>
        <v>0.0716563494870888</v>
      </c>
      <c r="AO52" s="14">
        <f t="shared" ref="AO52:AS52" si="167">W52</f>
        <v>0.0613609567121442</v>
      </c>
      <c r="AP52" s="14">
        <f t="shared" si="167"/>
        <v>0.0606672369546621</v>
      </c>
      <c r="AQ52" s="14">
        <f t="shared" si="167"/>
        <v>0.0631928251121076</v>
      </c>
      <c r="AR52" s="14">
        <f t="shared" si="167"/>
        <v>0.0645185746777862</v>
      </c>
      <c r="AS52" s="14">
        <f t="shared" si="167"/>
        <v>0.0645534215923923</v>
      </c>
      <c r="AT52" s="16">
        <f t="shared" si="134"/>
        <v>0.0450647103085026</v>
      </c>
      <c r="AU52" s="16">
        <f t="shared" si="135"/>
        <v>0.0529633887513265</v>
      </c>
      <c r="AZ52" s="3"/>
      <c r="BA52" s="11" t="s">
        <v>243</v>
      </c>
      <c r="BB52" s="12">
        <v>406.4</v>
      </c>
      <c r="BC52" s="14">
        <v>364.3</v>
      </c>
      <c r="BD52" s="14">
        <v>354.6</v>
      </c>
      <c r="BE52" s="14">
        <v>352.3</v>
      </c>
      <c r="BF52" s="14">
        <v>340.4</v>
      </c>
      <c r="BG52" s="14">
        <v>346.2</v>
      </c>
      <c r="BH52" s="14">
        <v>352.3</v>
      </c>
      <c r="BI52" s="14">
        <v>352.3</v>
      </c>
      <c r="BJ52" s="4"/>
      <c r="BK52" s="4"/>
      <c r="BL52" s="17"/>
      <c r="BM52" s="17"/>
      <c r="BN52" s="17"/>
      <c r="BO52" s="17"/>
    </row>
    <row r="53" ht="15.5" spans="1:67">
      <c r="A53" s="3"/>
      <c r="B53" s="11" t="s">
        <v>244</v>
      </c>
      <c r="C53" s="12">
        <f t="shared" ref="C53:J53" si="168">BB53/1000</f>
        <v>0.0872</v>
      </c>
      <c r="D53" s="12">
        <f t="shared" si="168"/>
        <v>0.0791</v>
      </c>
      <c r="E53" s="12">
        <f t="shared" si="168"/>
        <v>0.077</v>
      </c>
      <c r="F53" s="12">
        <f t="shared" si="168"/>
        <v>0.0765</v>
      </c>
      <c r="G53" s="12">
        <f t="shared" si="168"/>
        <v>0.0737</v>
      </c>
      <c r="H53" s="12">
        <f t="shared" si="168"/>
        <v>0.0751</v>
      </c>
      <c r="I53" s="12">
        <f t="shared" si="168"/>
        <v>0.0765</v>
      </c>
      <c r="J53" s="12">
        <f t="shared" si="168"/>
        <v>0.0765</v>
      </c>
      <c r="K53" s="4"/>
      <c r="L53" s="4"/>
      <c r="M53" s="17">
        <v>5.937</v>
      </c>
      <c r="N53" s="17">
        <v>5.845</v>
      </c>
      <c r="O53" s="17">
        <v>5.575</v>
      </c>
      <c r="P53" s="17">
        <v>5.276</v>
      </c>
      <c r="Q53" s="17">
        <v>5.363</v>
      </c>
      <c r="R53" s="17">
        <v>6.645</v>
      </c>
      <c r="S53" s="17">
        <v>5.654</v>
      </c>
      <c r="T53" s="17"/>
      <c r="U53" s="3"/>
      <c r="V53" s="11" t="s">
        <v>244</v>
      </c>
      <c r="W53" s="14">
        <f t="shared" ref="W53:AC53" si="169">D53/M53</f>
        <v>0.0133232272191342</v>
      </c>
      <c r="X53" s="14">
        <f t="shared" si="169"/>
        <v>0.0131736526946108</v>
      </c>
      <c r="Y53" s="14">
        <f t="shared" si="169"/>
        <v>0.0137219730941704</v>
      </c>
      <c r="Z53" s="14">
        <f t="shared" si="169"/>
        <v>0.0139689158453374</v>
      </c>
      <c r="AA53" s="14">
        <f t="shared" si="169"/>
        <v>0.0140033563304121</v>
      </c>
      <c r="AB53" s="15">
        <f t="shared" si="169"/>
        <v>0.0115124153498871</v>
      </c>
      <c r="AC53" s="15">
        <f t="shared" si="169"/>
        <v>0.0135302440749912</v>
      </c>
      <c r="AD53" s="4"/>
      <c r="AE53" s="4"/>
      <c r="AF53" s="14">
        <f t="shared" ref="AF53:AJ53" si="170">W53</f>
        <v>0.0133232272191342</v>
      </c>
      <c r="AG53" s="14">
        <f t="shared" si="170"/>
        <v>0.0131736526946108</v>
      </c>
      <c r="AH53" s="14">
        <f t="shared" si="170"/>
        <v>0.0137219730941704</v>
      </c>
      <c r="AI53" s="14">
        <f t="shared" si="170"/>
        <v>0.0139689158453374</v>
      </c>
      <c r="AJ53" s="14">
        <f t="shared" si="170"/>
        <v>0.0140033563304121</v>
      </c>
      <c r="AK53" s="16">
        <f t="shared" si="131"/>
        <v>0.0132392776523702</v>
      </c>
      <c r="AL53" s="16">
        <f t="shared" si="132"/>
        <v>0.0155597806862398</v>
      </c>
      <c r="AO53" s="14">
        <f t="shared" ref="AO53:AS53" si="171">W53</f>
        <v>0.0133232272191342</v>
      </c>
      <c r="AP53" s="14">
        <f t="shared" si="171"/>
        <v>0.0131736526946108</v>
      </c>
      <c r="AQ53" s="14">
        <f t="shared" si="171"/>
        <v>0.0137219730941704</v>
      </c>
      <c r="AR53" s="14">
        <f t="shared" si="171"/>
        <v>0.0139689158453374</v>
      </c>
      <c r="AS53" s="14">
        <f t="shared" si="171"/>
        <v>0.0140033563304121</v>
      </c>
      <c r="AT53" s="16">
        <f t="shared" si="134"/>
        <v>0.00978555304740406</v>
      </c>
      <c r="AU53" s="16">
        <f t="shared" si="135"/>
        <v>0.0115007074637425</v>
      </c>
      <c r="AZ53" s="3"/>
      <c r="BA53" s="11" t="s">
        <v>244</v>
      </c>
      <c r="BB53" s="12">
        <v>87.2</v>
      </c>
      <c r="BC53" s="14">
        <v>79.1</v>
      </c>
      <c r="BD53" s="14">
        <v>77</v>
      </c>
      <c r="BE53" s="14">
        <v>76.5</v>
      </c>
      <c r="BF53" s="14">
        <v>73.7</v>
      </c>
      <c r="BG53" s="14">
        <v>75.1</v>
      </c>
      <c r="BH53" s="14">
        <v>76.5</v>
      </c>
      <c r="BI53" s="14">
        <v>76.5</v>
      </c>
      <c r="BJ53" s="4"/>
      <c r="BK53" s="4"/>
      <c r="BL53" s="17"/>
      <c r="BM53" s="17"/>
      <c r="BN53" s="17"/>
      <c r="BO53" s="17"/>
    </row>
    <row r="54" ht="15.5" spans="1:67">
      <c r="A54" s="3" t="s">
        <v>11</v>
      </c>
      <c r="B54" s="11" t="s">
        <v>240</v>
      </c>
      <c r="C54" s="12">
        <f t="shared" ref="C54:J54" si="172">BB54/1000</f>
        <v>0.6916</v>
      </c>
      <c r="D54" s="12">
        <f t="shared" si="172"/>
        <v>0.6089</v>
      </c>
      <c r="E54" s="12">
        <f t="shared" si="172"/>
        <v>0.5895</v>
      </c>
      <c r="F54" s="12">
        <f t="shared" si="172"/>
        <v>0.585</v>
      </c>
      <c r="G54" s="12">
        <f t="shared" si="172"/>
        <v>0.5612</v>
      </c>
      <c r="H54" s="12">
        <f t="shared" si="172"/>
        <v>0.573</v>
      </c>
      <c r="I54" s="12">
        <f t="shared" si="172"/>
        <v>0.585</v>
      </c>
      <c r="J54" s="12">
        <f t="shared" si="172"/>
        <v>0.585</v>
      </c>
      <c r="K54" s="4"/>
      <c r="L54" s="4"/>
      <c r="M54" s="17">
        <v>5.937</v>
      </c>
      <c r="N54" s="17">
        <v>5.845</v>
      </c>
      <c r="O54" s="17">
        <v>5.575</v>
      </c>
      <c r="P54" s="17">
        <v>5.276</v>
      </c>
      <c r="Q54" s="17">
        <v>5.363</v>
      </c>
      <c r="R54" s="17">
        <v>6.645</v>
      </c>
      <c r="S54" s="17">
        <v>5.654</v>
      </c>
      <c r="T54" s="17"/>
      <c r="U54" s="3" t="s">
        <v>11</v>
      </c>
      <c r="V54" s="11" t="s">
        <v>240</v>
      </c>
      <c r="W54" s="14">
        <f t="shared" ref="W54:AC54" si="173">D54/M54</f>
        <v>0.102560215597103</v>
      </c>
      <c r="X54" s="14">
        <f t="shared" si="173"/>
        <v>0.100855431993157</v>
      </c>
      <c r="Y54" s="14">
        <f t="shared" si="173"/>
        <v>0.104932735426009</v>
      </c>
      <c r="Z54" s="14">
        <f t="shared" si="173"/>
        <v>0.106368460955269</v>
      </c>
      <c r="AA54" s="14">
        <f t="shared" si="173"/>
        <v>0.106843184784635</v>
      </c>
      <c r="AB54" s="15">
        <f t="shared" si="173"/>
        <v>0.0880361173814898</v>
      </c>
      <c r="AC54" s="15">
        <f t="shared" si="173"/>
        <v>0.103466572338168</v>
      </c>
      <c r="AD54" s="4"/>
      <c r="AE54" s="4"/>
      <c r="AF54" s="14">
        <f t="shared" ref="AF54:AJ54" si="174">W54</f>
        <v>0.102560215597103</v>
      </c>
      <c r="AG54" s="14">
        <f t="shared" si="174"/>
        <v>0.100855431993157</v>
      </c>
      <c r="AH54" s="14">
        <f t="shared" si="174"/>
        <v>0.104932735426009</v>
      </c>
      <c r="AI54" s="14">
        <f t="shared" si="174"/>
        <v>0.106368460955269</v>
      </c>
      <c r="AJ54" s="14">
        <f t="shared" si="174"/>
        <v>0.106843184784635</v>
      </c>
      <c r="AK54" s="16">
        <f t="shared" si="131"/>
        <v>0.101241534988713</v>
      </c>
      <c r="AL54" s="16">
        <f t="shared" si="132"/>
        <v>0.118986558188893</v>
      </c>
      <c r="AO54" s="14">
        <f t="shared" ref="AO54:AS54" si="175">W54</f>
        <v>0.102560215597103</v>
      </c>
      <c r="AP54" s="14">
        <f t="shared" si="175"/>
        <v>0.100855431993157</v>
      </c>
      <c r="AQ54" s="14">
        <f t="shared" si="175"/>
        <v>0.104932735426009</v>
      </c>
      <c r="AR54" s="14">
        <f t="shared" si="175"/>
        <v>0.106368460955269</v>
      </c>
      <c r="AS54" s="14">
        <f t="shared" si="175"/>
        <v>0.106843184784635</v>
      </c>
      <c r="AT54" s="16">
        <f t="shared" si="134"/>
        <v>0.0748306997742664</v>
      </c>
      <c r="AU54" s="16">
        <f t="shared" si="135"/>
        <v>0.0879465864874425</v>
      </c>
      <c r="AZ54" s="3" t="s">
        <v>11</v>
      </c>
      <c r="BA54" s="11" t="s">
        <v>240</v>
      </c>
      <c r="BB54" s="12">
        <v>691.6</v>
      </c>
      <c r="BC54" s="14">
        <v>608.9</v>
      </c>
      <c r="BD54" s="14">
        <v>589.5</v>
      </c>
      <c r="BE54" s="14">
        <v>585</v>
      </c>
      <c r="BF54" s="14">
        <v>561.2</v>
      </c>
      <c r="BG54" s="14">
        <v>573</v>
      </c>
      <c r="BH54" s="14">
        <v>585</v>
      </c>
      <c r="BI54" s="14">
        <v>585</v>
      </c>
      <c r="BJ54" s="4"/>
      <c r="BK54" s="4"/>
      <c r="BL54" s="17"/>
      <c r="BM54" s="17"/>
      <c r="BN54" s="17"/>
      <c r="BO54" s="17"/>
    </row>
    <row r="55" ht="15.5" spans="1:67">
      <c r="A55" s="3"/>
      <c r="B55" s="11" t="s">
        <v>241</v>
      </c>
      <c r="C55" s="12">
        <f t="shared" ref="C55:J55" si="176">BB55/1000</f>
        <v>0.634</v>
      </c>
      <c r="D55" s="12">
        <f t="shared" si="176"/>
        <v>0.5608</v>
      </c>
      <c r="E55" s="12">
        <f t="shared" si="176"/>
        <v>0.5435</v>
      </c>
      <c r="F55" s="12">
        <f t="shared" si="176"/>
        <v>0.5394</v>
      </c>
      <c r="G55" s="12">
        <f t="shared" si="176"/>
        <v>0.5181</v>
      </c>
      <c r="H55" s="12">
        <f t="shared" si="176"/>
        <v>0.5287</v>
      </c>
      <c r="I55" s="12">
        <f t="shared" si="176"/>
        <v>0.5394</v>
      </c>
      <c r="J55" s="12">
        <f t="shared" si="176"/>
        <v>0.5394</v>
      </c>
      <c r="K55" s="4"/>
      <c r="L55" s="4"/>
      <c r="M55" s="17">
        <v>5.937</v>
      </c>
      <c r="N55" s="17">
        <v>5.845</v>
      </c>
      <c r="O55" s="17">
        <v>5.575</v>
      </c>
      <c r="P55" s="17">
        <v>5.276</v>
      </c>
      <c r="Q55" s="17">
        <v>5.363</v>
      </c>
      <c r="R55" s="17">
        <v>6.645</v>
      </c>
      <c r="S55" s="17">
        <v>5.654</v>
      </c>
      <c r="T55" s="17"/>
      <c r="U55" s="3"/>
      <c r="V55" s="11" t="s">
        <v>241</v>
      </c>
      <c r="W55" s="14">
        <f t="shared" ref="W55:AC55" si="177">D55/M55</f>
        <v>0.0944584807141654</v>
      </c>
      <c r="X55" s="14">
        <f t="shared" si="177"/>
        <v>0.0929854576561163</v>
      </c>
      <c r="Y55" s="14">
        <f t="shared" si="177"/>
        <v>0.0967533632286995</v>
      </c>
      <c r="Z55" s="14">
        <f t="shared" si="177"/>
        <v>0.098199393479909</v>
      </c>
      <c r="AA55" s="14">
        <f t="shared" si="177"/>
        <v>0.0985828827148984</v>
      </c>
      <c r="AB55" s="15">
        <f t="shared" si="177"/>
        <v>0.0811738148984199</v>
      </c>
      <c r="AC55" s="15">
        <f t="shared" si="177"/>
        <v>0.0954014856738592</v>
      </c>
      <c r="AD55" s="4"/>
      <c r="AE55" s="4"/>
      <c r="AF55" s="14">
        <f t="shared" ref="AF55:AJ55" si="178">W55</f>
        <v>0.0944584807141654</v>
      </c>
      <c r="AG55" s="14">
        <f t="shared" si="178"/>
        <v>0.0929854576561163</v>
      </c>
      <c r="AH55" s="14">
        <f t="shared" si="178"/>
        <v>0.0967533632286995</v>
      </c>
      <c r="AI55" s="14">
        <f t="shared" si="178"/>
        <v>0.098199393479909</v>
      </c>
      <c r="AJ55" s="14">
        <f t="shared" si="178"/>
        <v>0.0985828827148984</v>
      </c>
      <c r="AK55" s="16">
        <f t="shared" si="131"/>
        <v>0.0933498871331828</v>
      </c>
      <c r="AL55" s="16">
        <f t="shared" si="132"/>
        <v>0.109711708524938</v>
      </c>
      <c r="AO55" s="14">
        <f t="shared" ref="AO55:AS55" si="179">W55</f>
        <v>0.0944584807141654</v>
      </c>
      <c r="AP55" s="14">
        <f t="shared" si="179"/>
        <v>0.0929854576561163</v>
      </c>
      <c r="AQ55" s="14">
        <f t="shared" si="179"/>
        <v>0.0967533632286995</v>
      </c>
      <c r="AR55" s="14">
        <f t="shared" si="179"/>
        <v>0.098199393479909</v>
      </c>
      <c r="AS55" s="14">
        <f t="shared" si="179"/>
        <v>0.0985828827148984</v>
      </c>
      <c r="AT55" s="16">
        <f t="shared" si="134"/>
        <v>0.0689977426636569</v>
      </c>
      <c r="AU55" s="16">
        <f t="shared" si="135"/>
        <v>0.0810912628227803</v>
      </c>
      <c r="AZ55" s="3"/>
      <c r="BA55" s="11" t="s">
        <v>241</v>
      </c>
      <c r="BB55" s="12">
        <v>634</v>
      </c>
      <c r="BC55" s="14">
        <v>560.8</v>
      </c>
      <c r="BD55" s="14">
        <v>543.5</v>
      </c>
      <c r="BE55" s="14">
        <v>539.4</v>
      </c>
      <c r="BF55" s="14">
        <v>518.1</v>
      </c>
      <c r="BG55" s="14">
        <v>528.7</v>
      </c>
      <c r="BH55" s="14">
        <v>539.4</v>
      </c>
      <c r="BI55" s="14">
        <v>539.4</v>
      </c>
      <c r="BJ55" s="4"/>
      <c r="BK55" s="4"/>
      <c r="BL55" s="17"/>
      <c r="BM55" s="17"/>
      <c r="BN55" s="17"/>
      <c r="BO55" s="17"/>
    </row>
    <row r="56" ht="15.5" spans="1:67">
      <c r="A56" s="3"/>
      <c r="B56" s="11" t="s">
        <v>242</v>
      </c>
      <c r="C56" s="12">
        <f t="shared" ref="C56:J56" si="180">BB56/1000</f>
        <v>0.2256</v>
      </c>
      <c r="D56" s="12">
        <f t="shared" si="180"/>
        <v>0.1898</v>
      </c>
      <c r="E56" s="12">
        <f t="shared" si="180"/>
        <v>0.1816</v>
      </c>
      <c r="F56" s="12">
        <f t="shared" si="180"/>
        <v>0.1797</v>
      </c>
      <c r="G56" s="12">
        <f t="shared" si="180"/>
        <v>0.1697</v>
      </c>
      <c r="H56" s="12">
        <f t="shared" si="180"/>
        <v>0.1747</v>
      </c>
      <c r="I56" s="12">
        <f t="shared" si="180"/>
        <v>0.1797</v>
      </c>
      <c r="J56" s="12">
        <f t="shared" si="180"/>
        <v>0.1797</v>
      </c>
      <c r="K56" s="4"/>
      <c r="L56" s="4"/>
      <c r="M56" s="17">
        <v>5.937</v>
      </c>
      <c r="N56" s="17">
        <v>5.845</v>
      </c>
      <c r="O56" s="17">
        <v>5.575</v>
      </c>
      <c r="P56" s="17">
        <v>5.276</v>
      </c>
      <c r="Q56" s="17">
        <v>5.363</v>
      </c>
      <c r="R56" s="17">
        <v>6.645</v>
      </c>
      <c r="S56" s="17">
        <v>5.654</v>
      </c>
      <c r="T56" s="17"/>
      <c r="U56" s="3"/>
      <c r="V56" s="11" t="s">
        <v>242</v>
      </c>
      <c r="W56" s="14">
        <f t="shared" ref="W56:AC56" si="181">D56/M56</f>
        <v>0.0319690079164561</v>
      </c>
      <c r="X56" s="14">
        <f t="shared" si="181"/>
        <v>0.0310692899914457</v>
      </c>
      <c r="Y56" s="14">
        <f t="shared" si="181"/>
        <v>0.0322331838565022</v>
      </c>
      <c r="Z56" s="14">
        <f t="shared" si="181"/>
        <v>0.0321645185746778</v>
      </c>
      <c r="AA56" s="14">
        <f t="shared" si="181"/>
        <v>0.0325750512772702</v>
      </c>
      <c r="AB56" s="15">
        <f t="shared" si="181"/>
        <v>0.0270428893905192</v>
      </c>
      <c r="AC56" s="15">
        <f t="shared" si="181"/>
        <v>0.0317828086310577</v>
      </c>
      <c r="AD56" s="4"/>
      <c r="AE56" s="4"/>
      <c r="AF56" s="14">
        <f t="shared" ref="AF56:AJ56" si="182">W56</f>
        <v>0.0319690079164561</v>
      </c>
      <c r="AG56" s="14">
        <f t="shared" si="182"/>
        <v>0.0310692899914457</v>
      </c>
      <c r="AH56" s="14">
        <f t="shared" si="182"/>
        <v>0.0322331838565022</v>
      </c>
      <c r="AI56" s="14">
        <f t="shared" si="182"/>
        <v>0.0321645185746778</v>
      </c>
      <c r="AJ56" s="14">
        <f t="shared" si="182"/>
        <v>0.0325750512772702</v>
      </c>
      <c r="AK56" s="16">
        <f t="shared" si="131"/>
        <v>0.0310993227990971</v>
      </c>
      <c r="AL56" s="16">
        <f t="shared" si="132"/>
        <v>0.0365502299257163</v>
      </c>
      <c r="AO56" s="14">
        <f t="shared" ref="AO56:AS56" si="183">W56</f>
        <v>0.0319690079164561</v>
      </c>
      <c r="AP56" s="14">
        <f t="shared" si="183"/>
        <v>0.0310692899914457</v>
      </c>
      <c r="AQ56" s="14">
        <f t="shared" si="183"/>
        <v>0.0322331838565022</v>
      </c>
      <c r="AR56" s="14">
        <f t="shared" si="183"/>
        <v>0.0321645185746778</v>
      </c>
      <c r="AS56" s="14">
        <f t="shared" si="183"/>
        <v>0.0325750512772702</v>
      </c>
      <c r="AT56" s="16">
        <f t="shared" si="134"/>
        <v>0.0229864559819413</v>
      </c>
      <c r="AU56" s="16">
        <f t="shared" si="135"/>
        <v>0.027015387336399</v>
      </c>
      <c r="AZ56" s="3"/>
      <c r="BA56" s="11" t="s">
        <v>242</v>
      </c>
      <c r="BB56" s="12">
        <v>225.6</v>
      </c>
      <c r="BC56" s="14">
        <v>189.8</v>
      </c>
      <c r="BD56" s="14">
        <v>181.6</v>
      </c>
      <c r="BE56" s="14">
        <v>179.7</v>
      </c>
      <c r="BF56" s="14">
        <v>169.7</v>
      </c>
      <c r="BG56" s="14">
        <v>174.7</v>
      </c>
      <c r="BH56" s="14">
        <v>179.7</v>
      </c>
      <c r="BI56" s="14">
        <v>179.7</v>
      </c>
      <c r="BJ56" s="4"/>
      <c r="BK56" s="4"/>
      <c r="BL56" s="17"/>
      <c r="BM56" s="17"/>
      <c r="BN56" s="17"/>
      <c r="BO56" s="17"/>
    </row>
    <row r="57" ht="15.5" spans="1:67">
      <c r="A57" s="3"/>
      <c r="B57" s="11" t="s">
        <v>243</v>
      </c>
      <c r="C57" s="12">
        <f t="shared" ref="C57:J57" si="184">BB57/1000</f>
        <v>0.3671</v>
      </c>
      <c r="D57" s="12">
        <f t="shared" si="184"/>
        <v>0.3308</v>
      </c>
      <c r="E57" s="12">
        <f t="shared" si="184"/>
        <v>0.3224</v>
      </c>
      <c r="F57" s="12">
        <f t="shared" si="184"/>
        <v>0.3205</v>
      </c>
      <c r="G57" s="12">
        <f t="shared" si="184"/>
        <v>0.3101</v>
      </c>
      <c r="H57" s="12">
        <f t="shared" si="184"/>
        <v>0.3151</v>
      </c>
      <c r="I57" s="12">
        <f t="shared" si="184"/>
        <v>0.3205</v>
      </c>
      <c r="J57" s="12">
        <f t="shared" si="184"/>
        <v>0.3205</v>
      </c>
      <c r="K57" s="4"/>
      <c r="L57" s="4"/>
      <c r="M57" s="17">
        <v>5.937</v>
      </c>
      <c r="N57" s="17">
        <v>5.845</v>
      </c>
      <c r="O57" s="17">
        <v>5.575</v>
      </c>
      <c r="P57" s="17">
        <v>5.276</v>
      </c>
      <c r="Q57" s="17">
        <v>5.363</v>
      </c>
      <c r="R57" s="17">
        <v>6.645</v>
      </c>
      <c r="S57" s="17">
        <v>5.654</v>
      </c>
      <c r="T57" s="17"/>
      <c r="U57" s="3"/>
      <c r="V57" s="11" t="s">
        <v>243</v>
      </c>
      <c r="W57" s="14">
        <f t="shared" ref="W57:AC57" si="185">D57/M57</f>
        <v>0.0557183762843187</v>
      </c>
      <c r="X57" s="14">
        <f t="shared" si="185"/>
        <v>0.055158254918734</v>
      </c>
      <c r="Y57" s="14">
        <f t="shared" si="185"/>
        <v>0.0574887892376682</v>
      </c>
      <c r="Z57" s="14">
        <f t="shared" si="185"/>
        <v>0.0587755875663381</v>
      </c>
      <c r="AA57" s="14">
        <f t="shared" si="185"/>
        <v>0.0587544284915159</v>
      </c>
      <c r="AB57" s="15">
        <f t="shared" si="185"/>
        <v>0.0482317531978932</v>
      </c>
      <c r="AC57" s="15">
        <f t="shared" si="185"/>
        <v>0.0566855323664662</v>
      </c>
      <c r="AD57" s="4"/>
      <c r="AE57" s="4"/>
      <c r="AF57" s="14">
        <f t="shared" ref="AF57:AJ57" si="186">W57</f>
        <v>0.0557183762843187</v>
      </c>
      <c r="AG57" s="14">
        <f t="shared" si="186"/>
        <v>0.055158254918734</v>
      </c>
      <c r="AH57" s="14">
        <f t="shared" si="186"/>
        <v>0.0574887892376682</v>
      </c>
      <c r="AI57" s="14">
        <f t="shared" si="186"/>
        <v>0.0587755875663381</v>
      </c>
      <c r="AJ57" s="14">
        <f t="shared" si="186"/>
        <v>0.0587544284915159</v>
      </c>
      <c r="AK57" s="16">
        <f t="shared" si="131"/>
        <v>0.0554665161775771</v>
      </c>
      <c r="AL57" s="16">
        <f t="shared" si="132"/>
        <v>0.0651883622214361</v>
      </c>
      <c r="AO57" s="14">
        <f t="shared" ref="AO57:AS57" si="187">W57</f>
        <v>0.0557183762843187</v>
      </c>
      <c r="AP57" s="14">
        <f t="shared" si="187"/>
        <v>0.055158254918734</v>
      </c>
      <c r="AQ57" s="14">
        <f t="shared" si="187"/>
        <v>0.0574887892376682</v>
      </c>
      <c r="AR57" s="14">
        <f t="shared" si="187"/>
        <v>0.0587755875663381</v>
      </c>
      <c r="AS57" s="14">
        <f t="shared" si="187"/>
        <v>0.0587544284915159</v>
      </c>
      <c r="AT57" s="16">
        <f t="shared" si="134"/>
        <v>0.0409969902182092</v>
      </c>
      <c r="AU57" s="16">
        <f t="shared" si="135"/>
        <v>0.0481827025114963</v>
      </c>
      <c r="AZ57" s="3"/>
      <c r="BA57" s="11" t="s">
        <v>243</v>
      </c>
      <c r="BB57" s="12">
        <v>367.1</v>
      </c>
      <c r="BC57" s="14">
        <v>330.8</v>
      </c>
      <c r="BD57" s="14">
        <v>322.4</v>
      </c>
      <c r="BE57" s="14">
        <v>320.5</v>
      </c>
      <c r="BF57" s="14">
        <v>310.1</v>
      </c>
      <c r="BG57" s="14">
        <v>315.1</v>
      </c>
      <c r="BH57" s="14">
        <v>320.5</v>
      </c>
      <c r="BI57" s="14">
        <v>320.5</v>
      </c>
      <c r="BJ57" s="4"/>
      <c r="BK57" s="4"/>
      <c r="BL57" s="17"/>
      <c r="BM57" s="17"/>
      <c r="BN57" s="17"/>
      <c r="BO57" s="17"/>
    </row>
    <row r="58" ht="15.5" spans="1:67">
      <c r="A58" s="3"/>
      <c r="B58" s="11" t="s">
        <v>244</v>
      </c>
      <c r="C58" s="12">
        <f t="shared" ref="C58:J58" si="188">BB58/1000</f>
        <v>0.0853</v>
      </c>
      <c r="D58" s="12">
        <f t="shared" si="188"/>
        <v>0.0775</v>
      </c>
      <c r="E58" s="12">
        <f t="shared" si="188"/>
        <v>0.0755</v>
      </c>
      <c r="F58" s="12">
        <f t="shared" si="188"/>
        <v>0.075</v>
      </c>
      <c r="G58" s="12">
        <f t="shared" si="188"/>
        <v>0.0722</v>
      </c>
      <c r="H58" s="12">
        <f t="shared" si="188"/>
        <v>0.0736</v>
      </c>
      <c r="I58" s="12">
        <f t="shared" si="188"/>
        <v>0.075</v>
      </c>
      <c r="J58" s="12">
        <f t="shared" si="188"/>
        <v>0.075</v>
      </c>
      <c r="K58" s="4"/>
      <c r="L58" s="4"/>
      <c r="M58" s="17">
        <v>5.937</v>
      </c>
      <c r="N58" s="17">
        <v>5.845</v>
      </c>
      <c r="O58" s="17">
        <v>5.575</v>
      </c>
      <c r="P58" s="17">
        <v>5.276</v>
      </c>
      <c r="Q58" s="17">
        <v>5.363</v>
      </c>
      <c r="R58" s="17">
        <v>6.645</v>
      </c>
      <c r="S58" s="17">
        <v>5.654</v>
      </c>
      <c r="T58" s="17"/>
      <c r="U58" s="3"/>
      <c r="V58" s="11" t="s">
        <v>244</v>
      </c>
      <c r="W58" s="14">
        <f t="shared" ref="W58:AC58" si="189">D58/M58</f>
        <v>0.0130537308404918</v>
      </c>
      <c r="X58" s="14">
        <f t="shared" si="189"/>
        <v>0.0129170230966638</v>
      </c>
      <c r="Y58" s="14">
        <f t="shared" si="189"/>
        <v>0.0134529147982063</v>
      </c>
      <c r="Z58" s="14">
        <f t="shared" si="189"/>
        <v>0.0136846095526914</v>
      </c>
      <c r="AA58" s="14">
        <f t="shared" si="189"/>
        <v>0.0137236621294052</v>
      </c>
      <c r="AB58" s="15">
        <f t="shared" si="189"/>
        <v>0.0112866817155756</v>
      </c>
      <c r="AC58" s="15">
        <f t="shared" si="189"/>
        <v>0.01326494517156</v>
      </c>
      <c r="AD58" s="4"/>
      <c r="AE58" s="4"/>
      <c r="AF58" s="14">
        <f t="shared" ref="AF58:AJ58" si="190">W58</f>
        <v>0.0130537308404918</v>
      </c>
      <c r="AG58" s="14">
        <f t="shared" si="190"/>
        <v>0.0129170230966638</v>
      </c>
      <c r="AH58" s="14">
        <f t="shared" si="190"/>
        <v>0.0134529147982063</v>
      </c>
      <c r="AI58" s="14">
        <f t="shared" si="190"/>
        <v>0.0136846095526914</v>
      </c>
      <c r="AJ58" s="14">
        <f t="shared" si="190"/>
        <v>0.0137236621294052</v>
      </c>
      <c r="AK58" s="16">
        <f t="shared" si="131"/>
        <v>0.012979683972912</v>
      </c>
      <c r="AL58" s="16">
        <f t="shared" si="132"/>
        <v>0.0152546869472939</v>
      </c>
      <c r="AO58" s="14">
        <f t="shared" ref="AO58:AS58" si="191">W58</f>
        <v>0.0130537308404918</v>
      </c>
      <c r="AP58" s="14">
        <f t="shared" si="191"/>
        <v>0.0129170230966638</v>
      </c>
      <c r="AQ58" s="14">
        <f t="shared" si="191"/>
        <v>0.0134529147982063</v>
      </c>
      <c r="AR58" s="14">
        <f t="shared" si="191"/>
        <v>0.0136846095526914</v>
      </c>
      <c r="AS58" s="14">
        <f t="shared" si="191"/>
        <v>0.0137236621294052</v>
      </c>
      <c r="AT58" s="16">
        <f t="shared" si="134"/>
        <v>0.00959367945823928</v>
      </c>
      <c r="AU58" s="16">
        <f t="shared" si="135"/>
        <v>0.011275203395826</v>
      </c>
      <c r="AZ58" s="3"/>
      <c r="BA58" s="11" t="s">
        <v>244</v>
      </c>
      <c r="BB58" s="12">
        <v>85.3</v>
      </c>
      <c r="BC58" s="14">
        <v>77.5</v>
      </c>
      <c r="BD58" s="14">
        <v>75.5</v>
      </c>
      <c r="BE58" s="14">
        <v>75</v>
      </c>
      <c r="BF58" s="14">
        <v>72.2</v>
      </c>
      <c r="BG58" s="14">
        <v>73.6</v>
      </c>
      <c r="BH58" s="14">
        <v>75</v>
      </c>
      <c r="BI58" s="14">
        <v>75</v>
      </c>
      <c r="BJ58" s="4"/>
      <c r="BK58" s="4"/>
      <c r="BL58" s="17"/>
      <c r="BM58" s="17"/>
      <c r="BN58" s="17"/>
      <c r="BO58" s="17"/>
    </row>
    <row r="59" ht="15.5" spans="1:67">
      <c r="A59" s="4"/>
      <c r="B59" s="4"/>
      <c r="C59" s="7"/>
      <c r="D59" s="4"/>
      <c r="E59" s="4"/>
      <c r="F59" s="4"/>
      <c r="G59" s="4"/>
      <c r="H59" s="4"/>
      <c r="I59" s="4"/>
      <c r="J59" s="4"/>
      <c r="K59" s="4"/>
      <c r="L59" s="4"/>
      <c r="M59" s="4"/>
      <c r="N59" s="4"/>
      <c r="O59" s="4"/>
      <c r="P59" s="4"/>
      <c r="Q59" s="4"/>
      <c r="R59" s="4"/>
      <c r="S59" s="4"/>
      <c r="T59" s="4"/>
      <c r="AZ59" s="4"/>
      <c r="BA59" s="4"/>
      <c r="BB59" s="7"/>
      <c r="BC59" s="4"/>
      <c r="BD59" s="4"/>
      <c r="BE59" s="4"/>
      <c r="BF59" s="4"/>
      <c r="BG59" s="4"/>
      <c r="BH59" s="4"/>
      <c r="BI59" s="4"/>
      <c r="BJ59" s="4"/>
      <c r="BK59" s="4"/>
      <c r="BL59" s="4"/>
      <c r="BM59" s="4"/>
      <c r="BN59" s="4"/>
      <c r="BO59" s="4"/>
    </row>
    <row r="60" ht="15.5" spans="1:67">
      <c r="A60" s="4" t="s">
        <v>246</v>
      </c>
      <c r="B60" s="4"/>
      <c r="C60" s="7"/>
      <c r="D60" s="4"/>
      <c r="E60" s="4"/>
      <c r="F60" s="4"/>
      <c r="G60" s="4"/>
      <c r="H60" s="4"/>
      <c r="I60" s="4"/>
      <c r="J60" s="4"/>
      <c r="K60" s="4"/>
      <c r="L60" s="4"/>
      <c r="M60" s="4"/>
      <c r="N60" s="4"/>
      <c r="O60" s="4"/>
      <c r="P60" s="4"/>
      <c r="Q60" s="4"/>
      <c r="R60" s="4"/>
      <c r="S60" s="4"/>
      <c r="T60" s="4"/>
      <c r="AZ60" s="4" t="s">
        <v>246</v>
      </c>
      <c r="BA60" s="4"/>
      <c r="BB60" s="7"/>
      <c r="BC60" s="4"/>
      <c r="BD60" s="4"/>
      <c r="BE60" s="4"/>
      <c r="BF60" s="4"/>
      <c r="BG60" s="4"/>
      <c r="BH60" s="4"/>
      <c r="BI60" s="4"/>
      <c r="BJ60" s="4"/>
      <c r="BK60" s="4"/>
      <c r="BL60" s="4"/>
      <c r="BM60" s="4"/>
      <c r="BN60" s="4"/>
      <c r="BO60" s="4"/>
    </row>
    <row r="61" ht="15.5" spans="1:67">
      <c r="A61" s="4" t="s">
        <v>261</v>
      </c>
      <c r="B61" s="4"/>
      <c r="C61" s="7"/>
      <c r="D61" s="4"/>
      <c r="E61" s="4"/>
      <c r="F61" s="4"/>
      <c r="G61" s="4"/>
      <c r="H61" s="4"/>
      <c r="I61" s="4"/>
      <c r="J61" s="4"/>
      <c r="K61" s="4"/>
      <c r="L61" s="4"/>
      <c r="M61" s="4"/>
      <c r="N61" s="4"/>
      <c r="O61" s="4"/>
      <c r="P61" s="4"/>
      <c r="Q61" s="4"/>
      <c r="R61" s="4"/>
      <c r="S61" s="4"/>
      <c r="T61" s="4"/>
      <c r="AZ61" s="4" t="s">
        <v>261</v>
      </c>
      <c r="BA61" s="4"/>
      <c r="BB61" s="7"/>
      <c r="BC61" s="4"/>
      <c r="BD61" s="4"/>
      <c r="BE61" s="4"/>
      <c r="BF61" s="4"/>
      <c r="BG61" s="4"/>
      <c r="BH61" s="4"/>
      <c r="BI61" s="4"/>
      <c r="BJ61" s="4"/>
      <c r="BK61" s="4"/>
      <c r="BL61" s="4"/>
      <c r="BM61" s="4"/>
      <c r="BN61" s="4"/>
      <c r="BO61" s="4"/>
    </row>
    <row r="62" ht="15.5" spans="1:67">
      <c r="A62" s="4" t="s">
        <v>262</v>
      </c>
      <c r="B62" s="4"/>
      <c r="C62" s="7"/>
      <c r="D62" s="4"/>
      <c r="E62" s="4"/>
      <c r="F62" s="4"/>
      <c r="G62" s="4"/>
      <c r="H62" s="4"/>
      <c r="I62" s="4"/>
      <c r="J62" s="4"/>
      <c r="K62" s="4"/>
      <c r="L62" s="4"/>
      <c r="M62" s="4"/>
      <c r="N62" s="4"/>
      <c r="O62" s="4"/>
      <c r="P62" s="4"/>
      <c r="Q62" s="4"/>
      <c r="R62" s="4"/>
      <c r="S62" s="4"/>
      <c r="T62" s="4"/>
      <c r="AZ62" s="4" t="s">
        <v>262</v>
      </c>
      <c r="BA62" s="4"/>
      <c r="BB62" s="7"/>
      <c r="BC62" s="4"/>
      <c r="BD62" s="4"/>
      <c r="BE62" s="4"/>
      <c r="BF62" s="4"/>
      <c r="BG62" s="4"/>
      <c r="BH62" s="4"/>
      <c r="BI62" s="4"/>
      <c r="BJ62" s="4"/>
      <c r="BK62" s="4"/>
      <c r="BL62" s="4"/>
      <c r="BM62" s="4"/>
      <c r="BN62" s="4"/>
      <c r="BO62" s="4"/>
    </row>
    <row r="71" ht="15.5" spans="21:47">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row>
    <row r="72" ht="15.5" spans="21:47">
      <c r="U72" s="4"/>
      <c r="V72" s="4"/>
      <c r="W72" s="4" t="s">
        <v>232</v>
      </c>
      <c r="X72" s="4" t="s">
        <v>233</v>
      </c>
      <c r="Y72" s="8" t="s">
        <v>234</v>
      </c>
      <c r="Z72" s="4" t="s">
        <v>235</v>
      </c>
      <c r="AA72" s="4" t="s">
        <v>236</v>
      </c>
      <c r="AB72" s="10" t="s">
        <v>237</v>
      </c>
      <c r="AC72" s="10" t="s">
        <v>238</v>
      </c>
      <c r="AD72" s="4"/>
      <c r="AE72" s="4"/>
      <c r="AF72" s="4" t="s">
        <v>232</v>
      </c>
      <c r="AG72" s="4" t="s">
        <v>233</v>
      </c>
      <c r="AH72" s="8" t="s">
        <v>234</v>
      </c>
      <c r="AI72" s="4" t="s">
        <v>235</v>
      </c>
      <c r="AJ72" s="4" t="s">
        <v>236</v>
      </c>
      <c r="AK72" s="10" t="s">
        <v>237</v>
      </c>
      <c r="AL72" s="10" t="s">
        <v>238</v>
      </c>
      <c r="AM72" s="4"/>
      <c r="AN72" s="4"/>
      <c r="AO72" s="4" t="s">
        <v>232</v>
      </c>
      <c r="AP72" s="4" t="s">
        <v>233</v>
      </c>
      <c r="AQ72" s="8" t="s">
        <v>234</v>
      </c>
      <c r="AR72" s="4" t="s">
        <v>235</v>
      </c>
      <c r="AS72" s="4" t="s">
        <v>236</v>
      </c>
      <c r="AT72" s="10" t="s">
        <v>237</v>
      </c>
      <c r="AU72" s="10"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263</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264</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265</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263</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264</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4"/>
      <c r="AE79" s="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4"/>
      <c r="AN79" s="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265</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4"/>
      <c r="AE80" s="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4"/>
      <c r="AN80" s="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266</v>
      </c>
      <c r="V81" s="18" t="s">
        <v>105</v>
      </c>
      <c r="W81" s="4">
        <f t="shared" ref="W81:AC81" si="216">W14-W15</f>
        <v>0.010830385716692</v>
      </c>
      <c r="X81" s="4">
        <f t="shared" si="216"/>
        <v>0.0104020530367836</v>
      </c>
      <c r="Y81" s="4">
        <f t="shared" si="216"/>
        <v>0.0107085201793722</v>
      </c>
      <c r="Z81" s="4">
        <f t="shared" si="216"/>
        <v>0.0117702805155421</v>
      </c>
      <c r="AA81" s="4">
        <f t="shared" si="216"/>
        <v>0.011933619242961</v>
      </c>
      <c r="AB81" s="4">
        <f t="shared" si="216"/>
        <v>0.00898419864559818</v>
      </c>
      <c r="AC81" s="4">
        <f t="shared" si="216"/>
        <v>0.0105588963565617</v>
      </c>
      <c r="AD81" s="4"/>
      <c r="AE81" s="4"/>
      <c r="AF81" s="4">
        <f t="shared" ref="AF81:AL81" si="217">AF14-AF15</f>
        <v>0.010830385716692</v>
      </c>
      <c r="AG81" s="4">
        <f t="shared" si="217"/>
        <v>0.0104020530367836</v>
      </c>
      <c r="AH81" s="4">
        <f t="shared" si="217"/>
        <v>0.0107085201793722</v>
      </c>
      <c r="AI81" s="4">
        <f t="shared" si="217"/>
        <v>0.0117702805155421</v>
      </c>
      <c r="AJ81" s="4">
        <f t="shared" si="217"/>
        <v>0.011933619242961</v>
      </c>
      <c r="AK81" s="4">
        <f t="shared" si="217"/>
        <v>0.0103318284424379</v>
      </c>
      <c r="AL81" s="4">
        <f t="shared" si="217"/>
        <v>0.012142730810046</v>
      </c>
      <c r="AM81" s="4"/>
      <c r="AN81" s="4"/>
      <c r="AO81" s="4">
        <f t="shared" ref="AO81:AU81" si="218">AO14-AO15</f>
        <v>0.010830385716692</v>
      </c>
      <c r="AP81" s="4">
        <f t="shared" si="218"/>
        <v>0.0104020530367836</v>
      </c>
      <c r="AQ81" s="4">
        <f t="shared" si="218"/>
        <v>0.0107085201793722</v>
      </c>
      <c r="AR81" s="4">
        <f t="shared" si="218"/>
        <v>0.0117702805155421</v>
      </c>
      <c r="AS81" s="4">
        <f t="shared" si="218"/>
        <v>0.011933619242961</v>
      </c>
      <c r="AT81" s="4">
        <f t="shared" si="218"/>
        <v>0.00763656884875846</v>
      </c>
      <c r="AU81" s="4">
        <f t="shared" si="218"/>
        <v>0.00897506190307747</v>
      </c>
    </row>
    <row r="82" ht="15.5" spans="21:47">
      <c r="U82" s="3"/>
      <c r="V82" s="19" t="s">
        <v>263</v>
      </c>
      <c r="W82" s="4">
        <f t="shared" ref="W82:AC82" si="219">W16</f>
        <v>0.0447027118073101</v>
      </c>
      <c r="X82" s="4">
        <f t="shared" si="219"/>
        <v>0.0428058169375535</v>
      </c>
      <c r="Y82" s="4">
        <f t="shared" si="219"/>
        <v>0.0441255605381166</v>
      </c>
      <c r="Z82" s="4">
        <f t="shared" si="219"/>
        <v>0.0456406368460955</v>
      </c>
      <c r="AA82" s="4">
        <f t="shared" si="219"/>
        <v>0.0467275778482193</v>
      </c>
      <c r="AB82" s="4">
        <f t="shared" si="219"/>
        <v>0.037020316027088</v>
      </c>
      <c r="AC82" s="4">
        <f t="shared" si="219"/>
        <v>0.0435090201627167</v>
      </c>
      <c r="AD82" s="4"/>
      <c r="AE82" s="4"/>
      <c r="AF82" s="4">
        <f t="shared" ref="AF82:AL82" si="220">AF16</f>
        <v>0.0447027118073101</v>
      </c>
      <c r="AG82" s="4">
        <f t="shared" si="220"/>
        <v>0.0428058169375535</v>
      </c>
      <c r="AH82" s="4">
        <f t="shared" si="220"/>
        <v>0.0441255605381166</v>
      </c>
      <c r="AI82" s="4">
        <f t="shared" si="220"/>
        <v>0.0456406368460955</v>
      </c>
      <c r="AJ82" s="4">
        <f t="shared" si="220"/>
        <v>0.0467275778482193</v>
      </c>
      <c r="AK82" s="4">
        <f t="shared" si="220"/>
        <v>0.0425733634311512</v>
      </c>
      <c r="AL82" s="4">
        <f t="shared" si="220"/>
        <v>0.0500353731871242</v>
      </c>
      <c r="AM82" s="4"/>
      <c r="AN82" s="4"/>
      <c r="AO82" s="4">
        <f t="shared" ref="AO82:AU82" si="221">AO16</f>
        <v>0.0447027118073101</v>
      </c>
      <c r="AP82" s="4">
        <f t="shared" si="221"/>
        <v>0.0428058169375535</v>
      </c>
      <c r="AQ82" s="4">
        <f t="shared" si="221"/>
        <v>0.0441255605381166</v>
      </c>
      <c r="AR82" s="4">
        <f t="shared" si="221"/>
        <v>0.0456406368460955</v>
      </c>
      <c r="AS82" s="4">
        <f t="shared" si="221"/>
        <v>0.0467275778482193</v>
      </c>
      <c r="AT82" s="4">
        <f t="shared" si="221"/>
        <v>0.0314672686230248</v>
      </c>
      <c r="AU82" s="4">
        <f t="shared" si="221"/>
        <v>0.0369826671383092</v>
      </c>
    </row>
    <row r="83" ht="15.5" spans="21:47">
      <c r="U83" s="3"/>
      <c r="V83" s="18" t="s">
        <v>264</v>
      </c>
      <c r="W83" s="4">
        <f t="shared" ref="W83:AC83" si="222">W17</f>
        <v>0.0724945258548088</v>
      </c>
      <c r="X83" s="4">
        <f t="shared" si="222"/>
        <v>0.0706073567151412</v>
      </c>
      <c r="Y83" s="4">
        <f t="shared" si="222"/>
        <v>0.0732017937219731</v>
      </c>
      <c r="Z83" s="4">
        <f t="shared" si="222"/>
        <v>0.076516300227445</v>
      </c>
      <c r="AA83" s="4">
        <f t="shared" si="222"/>
        <v>0.0803841133693828</v>
      </c>
      <c r="AB83" s="4">
        <f t="shared" si="222"/>
        <v>0.0614145974416855</v>
      </c>
      <c r="AC83" s="4">
        <f t="shared" si="222"/>
        <v>0.0721789883268483</v>
      </c>
      <c r="AD83" s="4"/>
      <c r="AE83" s="4"/>
      <c r="AF83" s="4">
        <f t="shared" ref="AF83:AL83" si="223">AF17</f>
        <v>0.0724945258548088</v>
      </c>
      <c r="AG83" s="4">
        <f t="shared" si="223"/>
        <v>0.0706073567151412</v>
      </c>
      <c r="AH83" s="4">
        <f t="shared" si="223"/>
        <v>0.0732017937219731</v>
      </c>
      <c r="AI83" s="4">
        <f t="shared" si="223"/>
        <v>0.076516300227445</v>
      </c>
      <c r="AJ83" s="4">
        <f t="shared" si="223"/>
        <v>0.0803841133693828</v>
      </c>
      <c r="AK83" s="4">
        <f t="shared" si="223"/>
        <v>0.0706267870579383</v>
      </c>
      <c r="AL83" s="4">
        <f t="shared" si="223"/>
        <v>0.0830058365758755</v>
      </c>
      <c r="AM83" s="4"/>
      <c r="AN83" s="4"/>
      <c r="AO83" s="4">
        <f t="shared" ref="AO83:AU83" si="224">AO17</f>
        <v>0.0724945258548088</v>
      </c>
      <c r="AP83" s="4">
        <f t="shared" si="224"/>
        <v>0.0706073567151412</v>
      </c>
      <c r="AQ83" s="4">
        <f t="shared" si="224"/>
        <v>0.0732017937219731</v>
      </c>
      <c r="AR83" s="4">
        <f t="shared" si="224"/>
        <v>0.076516300227445</v>
      </c>
      <c r="AS83" s="4">
        <f t="shared" si="224"/>
        <v>0.0803841133693828</v>
      </c>
      <c r="AT83" s="4">
        <f t="shared" si="224"/>
        <v>0.0522024078254327</v>
      </c>
      <c r="AU83" s="4">
        <f t="shared" si="224"/>
        <v>0.061352140077821</v>
      </c>
    </row>
    <row r="84" ht="15.5" spans="21:47">
      <c r="U84" s="3"/>
      <c r="V84" s="18" t="s">
        <v>265</v>
      </c>
      <c r="W84" s="4">
        <f t="shared" ref="W84:AC84" si="225">W18</f>
        <v>0.0131547919824827</v>
      </c>
      <c r="X84" s="4">
        <f t="shared" si="225"/>
        <v>0.0128656971770744</v>
      </c>
      <c r="Y84" s="4">
        <f t="shared" si="225"/>
        <v>0.0133273542600897</v>
      </c>
      <c r="Z84" s="4">
        <f t="shared" si="225"/>
        <v>0.0145564821834723</v>
      </c>
      <c r="AA84" s="4">
        <f t="shared" si="225"/>
        <v>0.0148610852134999</v>
      </c>
      <c r="AB84" s="4">
        <f t="shared" si="225"/>
        <v>0.0111813393528969</v>
      </c>
      <c r="AC84" s="4">
        <f t="shared" si="225"/>
        <v>0.0131411390166254</v>
      </c>
      <c r="AD84" s="4"/>
      <c r="AE84" s="4"/>
      <c r="AF84" s="4">
        <f t="shared" ref="AF84:AL84" si="226">AF18</f>
        <v>0.0131547919824827</v>
      </c>
      <c r="AG84" s="4">
        <f t="shared" si="226"/>
        <v>0.0128656971770744</v>
      </c>
      <c r="AH84" s="4">
        <f t="shared" si="226"/>
        <v>0.0133273542600897</v>
      </c>
      <c r="AI84" s="4">
        <f t="shared" si="226"/>
        <v>0.0145564821834723</v>
      </c>
      <c r="AJ84" s="4">
        <f t="shared" si="226"/>
        <v>0.0148610852134999</v>
      </c>
      <c r="AK84" s="4">
        <f t="shared" si="226"/>
        <v>0.0128585402558315</v>
      </c>
      <c r="AL84" s="4">
        <f t="shared" si="226"/>
        <v>0.0151123098691192</v>
      </c>
      <c r="AM84" s="4"/>
      <c r="AN84" s="4"/>
      <c r="AO84" s="4">
        <f t="shared" ref="AO84:AU84" si="227">AO18</f>
        <v>0.0131547919824827</v>
      </c>
      <c r="AP84" s="4">
        <f t="shared" si="227"/>
        <v>0.0128656971770744</v>
      </c>
      <c r="AQ84" s="4">
        <f t="shared" si="227"/>
        <v>0.0133273542600897</v>
      </c>
      <c r="AR84" s="4">
        <f t="shared" si="227"/>
        <v>0.0145564821834723</v>
      </c>
      <c r="AS84" s="4">
        <f t="shared" si="227"/>
        <v>0.0148610852134999</v>
      </c>
      <c r="AT84" s="4">
        <f t="shared" si="227"/>
        <v>0.00950413844996238</v>
      </c>
      <c r="AU84" s="4">
        <f t="shared" si="227"/>
        <v>0.0111699681641316</v>
      </c>
    </row>
    <row r="85" ht="15.5" spans="21:47">
      <c r="U85" s="3" t="s">
        <v>266</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4"/>
      <c r="AE85" s="4"/>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4"/>
      <c r="AN85" s="4"/>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263</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4"/>
      <c r="AE86" s="4"/>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4"/>
      <c r="AN86" s="4"/>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264</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4"/>
      <c r="AE87" s="4"/>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4"/>
      <c r="AN87" s="4"/>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265</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4"/>
      <c r="AE88" s="4"/>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4"/>
      <c r="AN88" s="4"/>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row>
    <row r="90" ht="15.5" spans="21:47">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row>
    <row r="91" ht="15.5" spans="21:47">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row>
    <row r="92" ht="15.5" spans="21:47">
      <c r="U92" s="4"/>
      <c r="V92" s="4"/>
      <c r="W92" s="4" t="s">
        <v>232</v>
      </c>
      <c r="X92" s="4" t="s">
        <v>233</v>
      </c>
      <c r="Y92" s="8" t="s">
        <v>234</v>
      </c>
      <c r="Z92" s="4" t="s">
        <v>235</v>
      </c>
      <c r="AA92" s="4" t="s">
        <v>236</v>
      </c>
      <c r="AB92" s="10" t="s">
        <v>237</v>
      </c>
      <c r="AC92" s="10" t="s">
        <v>238</v>
      </c>
      <c r="AD92" s="4"/>
      <c r="AE92" s="4"/>
      <c r="AF92" s="4" t="s">
        <v>232</v>
      </c>
      <c r="AG92" s="4" t="s">
        <v>233</v>
      </c>
      <c r="AH92" s="8" t="s">
        <v>234</v>
      </c>
      <c r="AI92" s="4" t="s">
        <v>235</v>
      </c>
      <c r="AJ92" s="4" t="s">
        <v>236</v>
      </c>
      <c r="AK92" s="10" t="s">
        <v>237</v>
      </c>
      <c r="AL92" s="10" t="s">
        <v>238</v>
      </c>
      <c r="AM92" s="4"/>
      <c r="AN92" s="4"/>
      <c r="AO92" s="4" t="s">
        <v>232</v>
      </c>
      <c r="AP92" s="4" t="s">
        <v>233</v>
      </c>
      <c r="AQ92" s="8" t="s">
        <v>234</v>
      </c>
      <c r="AR92" s="4" t="s">
        <v>235</v>
      </c>
      <c r="AS92" s="4" t="s">
        <v>236</v>
      </c>
      <c r="AT92" s="10" t="s">
        <v>237</v>
      </c>
      <c r="AU92" s="10"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263</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264</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265</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263</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264</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4"/>
      <c r="AE99" s="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4"/>
      <c r="AN99" s="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265</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4"/>
      <c r="AE100" s="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4"/>
      <c r="AN100" s="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266</v>
      </c>
      <c r="V101" s="18" t="s">
        <v>105</v>
      </c>
      <c r="W101" s="4">
        <f t="shared" ref="W101:AC101" si="264">W34-W35</f>
        <v>0.011840997136601</v>
      </c>
      <c r="X101" s="4">
        <f t="shared" si="264"/>
        <v>0.011377245508982</v>
      </c>
      <c r="Y101" s="4">
        <f t="shared" si="264"/>
        <v>0.0117668161434977</v>
      </c>
      <c r="Z101" s="4">
        <f t="shared" si="264"/>
        <v>0.0120924943138741</v>
      </c>
      <c r="AA101" s="4">
        <f t="shared" si="264"/>
        <v>0.0122878985642364</v>
      </c>
      <c r="AB101" s="4">
        <f t="shared" si="264"/>
        <v>0.00987208427389014</v>
      </c>
      <c r="AC101" s="4">
        <f t="shared" si="264"/>
        <v>0.0116024053767244</v>
      </c>
      <c r="AD101" s="4"/>
      <c r="AE101" s="4"/>
      <c r="AF101" s="4">
        <f t="shared" ref="AF101:AL101" si="265">AF34-AF35</f>
        <v>0.011840997136601</v>
      </c>
      <c r="AG101" s="4">
        <f t="shared" si="265"/>
        <v>0.011377245508982</v>
      </c>
      <c r="AH101" s="4">
        <f t="shared" si="265"/>
        <v>0.0117668161434977</v>
      </c>
      <c r="AI101" s="4">
        <f t="shared" si="265"/>
        <v>0.0120924943138741</v>
      </c>
      <c r="AJ101" s="4">
        <f t="shared" si="265"/>
        <v>0.0122878985642364</v>
      </c>
      <c r="AK101" s="4">
        <f t="shared" si="265"/>
        <v>0.0113528969149737</v>
      </c>
      <c r="AL101" s="4">
        <f t="shared" si="265"/>
        <v>0.0133427661832331</v>
      </c>
      <c r="AM101" s="4"/>
      <c r="AN101" s="4"/>
      <c r="AO101" s="4">
        <f t="shared" ref="AO101:AU101" si="266">AO34-AO35</f>
        <v>0.011840997136601</v>
      </c>
      <c r="AP101" s="4">
        <f t="shared" si="266"/>
        <v>0.011377245508982</v>
      </c>
      <c r="AQ101" s="4">
        <f t="shared" si="266"/>
        <v>0.0117668161434977</v>
      </c>
      <c r="AR101" s="4">
        <f t="shared" si="266"/>
        <v>0.0120924943138741</v>
      </c>
      <c r="AS101" s="4">
        <f t="shared" si="266"/>
        <v>0.0122878985642364</v>
      </c>
      <c r="AT101" s="4">
        <f t="shared" si="266"/>
        <v>0.00839127163280662</v>
      </c>
      <c r="AU101" s="4">
        <f t="shared" si="266"/>
        <v>0.00986204457021578</v>
      </c>
    </row>
    <row r="102" ht="15.5" spans="21:47">
      <c r="U102" s="3"/>
      <c r="V102" s="19" t="s">
        <v>263</v>
      </c>
      <c r="W102" s="4">
        <f t="shared" ref="W102:AC102" si="267">W36</f>
        <v>0.0404413003200269</v>
      </c>
      <c r="X102" s="4">
        <f t="shared" si="267"/>
        <v>0.0389734816082122</v>
      </c>
      <c r="Y102" s="4">
        <f t="shared" si="267"/>
        <v>0.0403408071748879</v>
      </c>
      <c r="Z102" s="4">
        <f t="shared" si="267"/>
        <v>0.0420204700530705</v>
      </c>
      <c r="AA102" s="4">
        <f t="shared" si="267"/>
        <v>0.0428118590341227</v>
      </c>
      <c r="AB102" s="4">
        <f t="shared" si="267"/>
        <v>0.0338449962377728</v>
      </c>
      <c r="AC102" s="4">
        <f t="shared" si="267"/>
        <v>0.0397771489211178</v>
      </c>
      <c r="AD102" s="4"/>
      <c r="AE102" s="4"/>
      <c r="AF102" s="4">
        <f t="shared" ref="AF102:AL102" si="268">AF36</f>
        <v>0.0404413003200269</v>
      </c>
      <c r="AG102" s="4">
        <f t="shared" si="268"/>
        <v>0.0389734816082122</v>
      </c>
      <c r="AH102" s="4">
        <f t="shared" si="268"/>
        <v>0.0403408071748879</v>
      </c>
      <c r="AI102" s="4">
        <f t="shared" si="268"/>
        <v>0.0420204700530705</v>
      </c>
      <c r="AJ102" s="4">
        <f t="shared" si="268"/>
        <v>0.0428118590341227</v>
      </c>
      <c r="AK102" s="4">
        <f t="shared" si="268"/>
        <v>0.0389217456734387</v>
      </c>
      <c r="AL102" s="4">
        <f t="shared" si="268"/>
        <v>0.0457437212592855</v>
      </c>
      <c r="AM102" s="4"/>
      <c r="AN102" s="4"/>
      <c r="AO102" s="4">
        <f t="shared" ref="AO102:AU102" si="269">AO36</f>
        <v>0.0404413003200269</v>
      </c>
      <c r="AP102" s="4">
        <f t="shared" si="269"/>
        <v>0.0389734816082122</v>
      </c>
      <c r="AQ102" s="4">
        <f t="shared" si="269"/>
        <v>0.0403408071748879</v>
      </c>
      <c r="AR102" s="4">
        <f t="shared" si="269"/>
        <v>0.0420204700530705</v>
      </c>
      <c r="AS102" s="4">
        <f t="shared" si="269"/>
        <v>0.0428118590341227</v>
      </c>
      <c r="AT102" s="4">
        <f t="shared" si="269"/>
        <v>0.0287682468021069</v>
      </c>
      <c r="AU102" s="4">
        <f t="shared" si="269"/>
        <v>0.0338105765829501</v>
      </c>
    </row>
    <row r="103" ht="15.5" spans="21:47">
      <c r="U103" s="3"/>
      <c r="V103" s="18" t="s">
        <v>264</v>
      </c>
      <c r="W103" s="4">
        <f t="shared" ref="W103:AC103" si="270">W37</f>
        <v>0.0870304867778339</v>
      </c>
      <c r="X103" s="4">
        <f t="shared" si="270"/>
        <v>0.0843627031650984</v>
      </c>
      <c r="Y103" s="4">
        <f t="shared" si="270"/>
        <v>0.0874439461883408</v>
      </c>
      <c r="Z103" s="4">
        <f t="shared" si="270"/>
        <v>0.0881918119787718</v>
      </c>
      <c r="AA103" s="4">
        <f t="shared" si="270"/>
        <v>0.0922245012120082</v>
      </c>
      <c r="AB103" s="4">
        <f t="shared" si="270"/>
        <v>0.0733634311512415</v>
      </c>
      <c r="AC103" s="4">
        <f t="shared" si="270"/>
        <v>0.0862221436151397</v>
      </c>
      <c r="AD103" s="4"/>
      <c r="AE103" s="4"/>
      <c r="AF103" s="4">
        <f t="shared" ref="AF103:AL103" si="271">AF37</f>
        <v>0.0870304867778339</v>
      </c>
      <c r="AG103" s="4">
        <f t="shared" si="271"/>
        <v>0.0843627031650984</v>
      </c>
      <c r="AH103" s="4">
        <f t="shared" si="271"/>
        <v>0.0874439461883408</v>
      </c>
      <c r="AI103" s="4">
        <f t="shared" si="271"/>
        <v>0.0881918119787718</v>
      </c>
      <c r="AJ103" s="4">
        <f t="shared" si="271"/>
        <v>0.0922245012120082</v>
      </c>
      <c r="AK103" s="4">
        <f t="shared" si="271"/>
        <v>0.0843679458239278</v>
      </c>
      <c r="AL103" s="4">
        <f t="shared" si="271"/>
        <v>0.0991554651574107</v>
      </c>
      <c r="AM103" s="4"/>
      <c r="AN103" s="4"/>
      <c r="AO103" s="4">
        <f t="shared" ref="AO103:AU103" si="272">AO37</f>
        <v>0.0870304867778339</v>
      </c>
      <c r="AP103" s="4">
        <f t="shared" si="272"/>
        <v>0.0843627031650984</v>
      </c>
      <c r="AQ103" s="4">
        <f t="shared" si="272"/>
        <v>0.0874439461883408</v>
      </c>
      <c r="AR103" s="4">
        <f t="shared" si="272"/>
        <v>0.0881918119787718</v>
      </c>
      <c r="AS103" s="4">
        <f t="shared" si="272"/>
        <v>0.0922245012120082</v>
      </c>
      <c r="AT103" s="4">
        <f t="shared" si="272"/>
        <v>0.0623589164785553</v>
      </c>
      <c r="AU103" s="4">
        <f t="shared" si="272"/>
        <v>0.0732888220728688</v>
      </c>
    </row>
    <row r="104" ht="15.5" spans="21:47">
      <c r="U104" s="3"/>
      <c r="V104" s="18" t="s">
        <v>265</v>
      </c>
      <c r="W104" s="4">
        <f t="shared" ref="W104:AC104" si="273">W38</f>
        <v>0.0133569142664645</v>
      </c>
      <c r="X104" s="4">
        <f t="shared" si="273"/>
        <v>0.0131907613344739</v>
      </c>
      <c r="Y104" s="4">
        <f t="shared" si="273"/>
        <v>0.0137399103139013</v>
      </c>
      <c r="Z104" s="4">
        <f t="shared" si="273"/>
        <v>0.0141015921152388</v>
      </c>
      <c r="AA104" s="4">
        <f t="shared" si="273"/>
        <v>0.0143016968114861</v>
      </c>
      <c r="AB104" s="4">
        <f t="shared" si="273"/>
        <v>0.0115274642588412</v>
      </c>
      <c r="AC104" s="4">
        <f t="shared" si="273"/>
        <v>0.0135479306685532</v>
      </c>
      <c r="AD104" s="4"/>
      <c r="AE104" s="4"/>
      <c r="AF104" s="4">
        <f t="shared" ref="AF104:AL104" si="274">AF38</f>
        <v>0.0133569142664645</v>
      </c>
      <c r="AG104" s="4">
        <f t="shared" si="274"/>
        <v>0.0131907613344739</v>
      </c>
      <c r="AH104" s="4">
        <f t="shared" si="274"/>
        <v>0.0137399103139013</v>
      </c>
      <c r="AI104" s="4">
        <f t="shared" si="274"/>
        <v>0.0141015921152388</v>
      </c>
      <c r="AJ104" s="4">
        <f t="shared" si="274"/>
        <v>0.0143016968114861</v>
      </c>
      <c r="AK104" s="4">
        <f t="shared" si="274"/>
        <v>0.0132565838976674</v>
      </c>
      <c r="AL104" s="4">
        <f t="shared" si="274"/>
        <v>0.0155801202688362</v>
      </c>
      <c r="AM104" s="4"/>
      <c r="AN104" s="4"/>
      <c r="AO104" s="4">
        <f t="shared" ref="AO104:AU104" si="275">AO38</f>
        <v>0.0133569142664645</v>
      </c>
      <c r="AP104" s="4">
        <f t="shared" si="275"/>
        <v>0.0131907613344739</v>
      </c>
      <c r="AQ104" s="4">
        <f t="shared" si="275"/>
        <v>0.0137399103139013</v>
      </c>
      <c r="AR104" s="4">
        <f t="shared" si="275"/>
        <v>0.0141015921152388</v>
      </c>
      <c r="AS104" s="4">
        <f t="shared" si="275"/>
        <v>0.0143016968114861</v>
      </c>
      <c r="AT104" s="4">
        <f t="shared" si="275"/>
        <v>0.00979834462001505</v>
      </c>
      <c r="AU104" s="4">
        <f t="shared" si="275"/>
        <v>0.0115157410682703</v>
      </c>
    </row>
    <row r="105" ht="15.5" spans="21:47">
      <c r="U105" s="3" t="s">
        <v>266</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4"/>
      <c r="AE105" s="4"/>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4"/>
      <c r="AN105" s="4"/>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263</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4"/>
      <c r="AE106" s="4"/>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4"/>
      <c r="AN106" s="4"/>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264</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4"/>
      <c r="AE107" s="4"/>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4"/>
      <c r="AN107" s="4"/>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265</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4"/>
      <c r="AE108" s="4"/>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4"/>
      <c r="AN108" s="4"/>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4"/>
      <c r="V112" s="4"/>
      <c r="W112" s="4" t="s">
        <v>232</v>
      </c>
      <c r="X112" s="4" t="s">
        <v>233</v>
      </c>
      <c r="Y112" s="8" t="s">
        <v>234</v>
      </c>
      <c r="Z112" s="4" t="s">
        <v>235</v>
      </c>
      <c r="AA112" s="4" t="s">
        <v>236</v>
      </c>
      <c r="AB112" s="10" t="s">
        <v>237</v>
      </c>
      <c r="AC112" s="10" t="s">
        <v>238</v>
      </c>
      <c r="AD112" s="4"/>
      <c r="AE112" s="4"/>
      <c r="AF112" s="4" t="s">
        <v>232</v>
      </c>
      <c r="AG112" s="4" t="s">
        <v>233</v>
      </c>
      <c r="AH112" s="8" t="s">
        <v>234</v>
      </c>
      <c r="AI112" s="4" t="s">
        <v>235</v>
      </c>
      <c r="AJ112" s="4" t="s">
        <v>236</v>
      </c>
      <c r="AK112" s="10" t="s">
        <v>237</v>
      </c>
      <c r="AL112" s="10" t="s">
        <v>238</v>
      </c>
      <c r="AM112" s="4"/>
      <c r="AN112" s="4"/>
      <c r="AO112" s="4" t="s">
        <v>232</v>
      </c>
      <c r="AP112" s="4" t="s">
        <v>233</v>
      </c>
      <c r="AQ112" s="8" t="s">
        <v>234</v>
      </c>
      <c r="AR112" s="4" t="s">
        <v>235</v>
      </c>
      <c r="AS112" s="4" t="s">
        <v>236</v>
      </c>
      <c r="AT112" s="10" t="s">
        <v>237</v>
      </c>
      <c r="AU112" s="10"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263</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264</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265</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263</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264</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4"/>
      <c r="AE119" s="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4"/>
      <c r="AN119" s="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265</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4"/>
      <c r="AE120" s="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4"/>
      <c r="AN120" s="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266</v>
      </c>
      <c r="V121" s="18" t="s">
        <v>105</v>
      </c>
      <c r="W121" s="4">
        <f t="shared" ref="W121:AC121" si="312">W54-W55</f>
        <v>0.00810173488293751</v>
      </c>
      <c r="X121" s="4">
        <f t="shared" si="312"/>
        <v>0.00786997433704022</v>
      </c>
      <c r="Y121" s="4">
        <f t="shared" si="312"/>
        <v>0.00817937219730942</v>
      </c>
      <c r="Z121" s="4">
        <f t="shared" si="312"/>
        <v>0.00816906747536013</v>
      </c>
      <c r="AA121" s="4">
        <f t="shared" si="312"/>
        <v>0.00826030206973706</v>
      </c>
      <c r="AB121" s="4">
        <f t="shared" si="312"/>
        <v>0.00686230248306997</v>
      </c>
      <c r="AC121" s="4">
        <f t="shared" si="312"/>
        <v>0.00806508666430845</v>
      </c>
      <c r="AD121" s="4"/>
      <c r="AE121" s="4"/>
      <c r="AF121" s="4">
        <f t="shared" ref="AF121:AL121" si="313">AF54-AF55</f>
        <v>0.00810173488293751</v>
      </c>
      <c r="AG121" s="4">
        <f t="shared" si="313"/>
        <v>0.00786997433704022</v>
      </c>
      <c r="AH121" s="4">
        <f t="shared" si="313"/>
        <v>0.00817937219730942</v>
      </c>
      <c r="AI121" s="4">
        <f t="shared" si="313"/>
        <v>0.00816906747536013</v>
      </c>
      <c r="AJ121" s="4">
        <f t="shared" si="313"/>
        <v>0.00826030206973706</v>
      </c>
      <c r="AK121" s="4">
        <f t="shared" si="313"/>
        <v>0.00789164785553047</v>
      </c>
      <c r="AL121" s="4">
        <f t="shared" si="313"/>
        <v>0.00927484966395473</v>
      </c>
      <c r="AM121" s="4"/>
      <c r="AN121" s="4"/>
      <c r="AO121" s="4">
        <f t="shared" ref="AO121:AU121" si="314">AO54-AO55</f>
        <v>0.00810173488293751</v>
      </c>
      <c r="AP121" s="4">
        <f t="shared" si="314"/>
        <v>0.00786997433704022</v>
      </c>
      <c r="AQ121" s="4">
        <f t="shared" si="314"/>
        <v>0.00817937219730942</v>
      </c>
      <c r="AR121" s="4">
        <f t="shared" si="314"/>
        <v>0.00816906747536013</v>
      </c>
      <c r="AS121" s="4">
        <f t="shared" si="314"/>
        <v>0.00826030206973706</v>
      </c>
      <c r="AT121" s="4">
        <f t="shared" si="314"/>
        <v>0.00583295711060948</v>
      </c>
      <c r="AU121" s="4">
        <f t="shared" si="314"/>
        <v>0.00685532366466218</v>
      </c>
    </row>
    <row r="122" ht="15.5" spans="21:47">
      <c r="U122" s="3"/>
      <c r="V122" s="19" t="s">
        <v>263</v>
      </c>
      <c r="W122" s="4">
        <f t="shared" ref="W122:AC122" si="315">W56</f>
        <v>0.0319690079164561</v>
      </c>
      <c r="X122" s="4">
        <f t="shared" si="315"/>
        <v>0.0310692899914457</v>
      </c>
      <c r="Y122" s="4">
        <f t="shared" si="315"/>
        <v>0.0322331838565022</v>
      </c>
      <c r="Z122" s="4">
        <f t="shared" si="315"/>
        <v>0.0321645185746778</v>
      </c>
      <c r="AA122" s="4">
        <f t="shared" si="315"/>
        <v>0.0325750512772702</v>
      </c>
      <c r="AB122" s="4">
        <f t="shared" si="315"/>
        <v>0.0270428893905192</v>
      </c>
      <c r="AC122" s="4">
        <f t="shared" si="315"/>
        <v>0.0317828086310577</v>
      </c>
      <c r="AD122" s="4"/>
      <c r="AE122" s="4"/>
      <c r="AF122" s="4">
        <f t="shared" ref="AF122:AL122" si="316">AF56</f>
        <v>0.0319690079164561</v>
      </c>
      <c r="AG122" s="4">
        <f t="shared" si="316"/>
        <v>0.0310692899914457</v>
      </c>
      <c r="AH122" s="4">
        <f t="shared" si="316"/>
        <v>0.0322331838565022</v>
      </c>
      <c r="AI122" s="4">
        <f t="shared" si="316"/>
        <v>0.0321645185746778</v>
      </c>
      <c r="AJ122" s="4">
        <f t="shared" si="316"/>
        <v>0.0325750512772702</v>
      </c>
      <c r="AK122" s="4">
        <f t="shared" si="316"/>
        <v>0.0310993227990971</v>
      </c>
      <c r="AL122" s="4">
        <f t="shared" si="316"/>
        <v>0.0365502299257163</v>
      </c>
      <c r="AM122" s="4"/>
      <c r="AN122" s="4"/>
      <c r="AO122" s="4">
        <f t="shared" ref="AO122:AU122" si="317">AO56</f>
        <v>0.0319690079164561</v>
      </c>
      <c r="AP122" s="4">
        <f t="shared" si="317"/>
        <v>0.0310692899914457</v>
      </c>
      <c r="AQ122" s="4">
        <f t="shared" si="317"/>
        <v>0.0322331838565022</v>
      </c>
      <c r="AR122" s="4">
        <f t="shared" si="317"/>
        <v>0.0321645185746778</v>
      </c>
      <c r="AS122" s="4">
        <f t="shared" si="317"/>
        <v>0.0325750512772702</v>
      </c>
      <c r="AT122" s="4">
        <f t="shared" si="317"/>
        <v>0.0229864559819413</v>
      </c>
      <c r="AU122" s="4">
        <f t="shared" si="317"/>
        <v>0.027015387336399</v>
      </c>
    </row>
    <row r="123" ht="15.5" spans="21:47">
      <c r="U123" s="3"/>
      <c r="V123" s="18" t="s">
        <v>264</v>
      </c>
      <c r="W123" s="4">
        <f t="shared" ref="W123:AC123" si="318">W57</f>
        <v>0.0557183762843187</v>
      </c>
      <c r="X123" s="4">
        <f t="shared" si="318"/>
        <v>0.055158254918734</v>
      </c>
      <c r="Y123" s="4">
        <f t="shared" si="318"/>
        <v>0.0574887892376682</v>
      </c>
      <c r="Z123" s="4">
        <f t="shared" si="318"/>
        <v>0.0587755875663381</v>
      </c>
      <c r="AA123" s="4">
        <f t="shared" si="318"/>
        <v>0.0587544284915159</v>
      </c>
      <c r="AB123" s="4">
        <f t="shared" si="318"/>
        <v>0.0482317531978932</v>
      </c>
      <c r="AC123" s="4">
        <f t="shared" si="318"/>
        <v>0.0566855323664662</v>
      </c>
      <c r="AD123" s="4"/>
      <c r="AE123" s="4"/>
      <c r="AF123" s="4">
        <f t="shared" ref="AF123:AL123" si="319">AF57</f>
        <v>0.0557183762843187</v>
      </c>
      <c r="AG123" s="4">
        <f t="shared" si="319"/>
        <v>0.055158254918734</v>
      </c>
      <c r="AH123" s="4">
        <f t="shared" si="319"/>
        <v>0.0574887892376682</v>
      </c>
      <c r="AI123" s="4">
        <f t="shared" si="319"/>
        <v>0.0587755875663381</v>
      </c>
      <c r="AJ123" s="4">
        <f t="shared" si="319"/>
        <v>0.0587544284915159</v>
      </c>
      <c r="AK123" s="4">
        <f t="shared" si="319"/>
        <v>0.0554665161775771</v>
      </c>
      <c r="AL123" s="4">
        <f t="shared" si="319"/>
        <v>0.0651883622214361</v>
      </c>
      <c r="AM123" s="4"/>
      <c r="AN123" s="4"/>
      <c r="AO123" s="4">
        <f t="shared" ref="AO123:AU123" si="320">AO57</f>
        <v>0.0557183762843187</v>
      </c>
      <c r="AP123" s="4">
        <f t="shared" si="320"/>
        <v>0.055158254918734</v>
      </c>
      <c r="AQ123" s="4">
        <f t="shared" si="320"/>
        <v>0.0574887892376682</v>
      </c>
      <c r="AR123" s="4">
        <f t="shared" si="320"/>
        <v>0.0587755875663381</v>
      </c>
      <c r="AS123" s="4">
        <f t="shared" si="320"/>
        <v>0.0587544284915159</v>
      </c>
      <c r="AT123" s="4">
        <f t="shared" si="320"/>
        <v>0.0409969902182092</v>
      </c>
      <c r="AU123" s="4">
        <f t="shared" si="320"/>
        <v>0.0481827025114963</v>
      </c>
    </row>
    <row r="124" ht="15.5" spans="21:47">
      <c r="U124" s="3"/>
      <c r="V124" s="18" t="s">
        <v>265</v>
      </c>
      <c r="W124" s="4">
        <f t="shared" ref="W124:AC124" si="321">W58</f>
        <v>0.0130537308404918</v>
      </c>
      <c r="X124" s="4">
        <f t="shared" si="321"/>
        <v>0.0129170230966638</v>
      </c>
      <c r="Y124" s="4">
        <f t="shared" si="321"/>
        <v>0.0134529147982063</v>
      </c>
      <c r="Z124" s="4">
        <f t="shared" si="321"/>
        <v>0.0136846095526914</v>
      </c>
      <c r="AA124" s="4">
        <f t="shared" si="321"/>
        <v>0.0137236621294052</v>
      </c>
      <c r="AB124" s="4">
        <f t="shared" si="321"/>
        <v>0.0112866817155756</v>
      </c>
      <c r="AC124" s="4">
        <f t="shared" si="321"/>
        <v>0.01326494517156</v>
      </c>
      <c r="AD124" s="4"/>
      <c r="AE124" s="4"/>
      <c r="AF124" s="4">
        <f t="shared" ref="AF124:AL124" si="322">AF58</f>
        <v>0.0130537308404918</v>
      </c>
      <c r="AG124" s="4">
        <f t="shared" si="322"/>
        <v>0.0129170230966638</v>
      </c>
      <c r="AH124" s="4">
        <f t="shared" si="322"/>
        <v>0.0134529147982063</v>
      </c>
      <c r="AI124" s="4">
        <f t="shared" si="322"/>
        <v>0.0136846095526914</v>
      </c>
      <c r="AJ124" s="4">
        <f t="shared" si="322"/>
        <v>0.0137236621294052</v>
      </c>
      <c r="AK124" s="4">
        <f t="shared" si="322"/>
        <v>0.012979683972912</v>
      </c>
      <c r="AL124" s="4">
        <f t="shared" si="322"/>
        <v>0.0152546869472939</v>
      </c>
      <c r="AM124" s="4"/>
      <c r="AN124" s="4"/>
      <c r="AO124" s="4">
        <f t="shared" ref="AO124:AU124" si="323">AO58</f>
        <v>0.0130537308404918</v>
      </c>
      <c r="AP124" s="4">
        <f t="shared" si="323"/>
        <v>0.0129170230966638</v>
      </c>
      <c r="AQ124" s="4">
        <f t="shared" si="323"/>
        <v>0.0134529147982063</v>
      </c>
      <c r="AR124" s="4">
        <f t="shared" si="323"/>
        <v>0.0136846095526914</v>
      </c>
      <c r="AS124" s="4">
        <f t="shared" si="323"/>
        <v>0.0137236621294052</v>
      </c>
      <c r="AT124" s="4">
        <f t="shared" si="323"/>
        <v>0.00959367945823928</v>
      </c>
      <c r="AU124" s="4">
        <f t="shared" si="323"/>
        <v>0.011275203395826</v>
      </c>
    </row>
    <row r="125" ht="15.5" spans="21:47">
      <c r="U125" s="3" t="s">
        <v>266</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4"/>
      <c r="AE125" s="4"/>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4"/>
      <c r="AN125" s="4"/>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263</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4"/>
      <c r="AE126" s="4"/>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4"/>
      <c r="AN126" s="4"/>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264</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4"/>
      <c r="AE127" s="4"/>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4"/>
      <c r="AN127" s="4"/>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265</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4"/>
      <c r="AE128" s="4"/>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4"/>
      <c r="AN128" s="4"/>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53">
      <c r="U160" s="21"/>
      <c r="V160" s="22" t="s">
        <v>215</v>
      </c>
      <c r="W160" s="21"/>
      <c r="X160" s="23"/>
      <c r="Z160" s="21"/>
      <c r="AA160" s="22" t="s">
        <v>215</v>
      </c>
      <c r="AB160" s="21"/>
      <c r="AC160" s="23"/>
      <c r="AE160" s="21"/>
      <c r="AF160" s="22" t="s">
        <v>215</v>
      </c>
      <c r="AG160" s="21"/>
      <c r="AH160" s="23"/>
      <c r="AJ160" s="21"/>
      <c r="AK160" s="22" t="s">
        <v>215</v>
      </c>
      <c r="AL160" s="21"/>
      <c r="AM160" s="23"/>
      <c r="AO160" s="21"/>
      <c r="AP160" s="22" t="s">
        <v>215</v>
      </c>
      <c r="AQ160" s="21"/>
      <c r="AR160" s="23"/>
      <c r="AT160" s="21"/>
      <c r="AU160" s="22" t="s">
        <v>215</v>
      </c>
      <c r="AV160" s="21"/>
      <c r="AW160" s="23"/>
      <c r="AY160" s="21"/>
      <c r="AZ160" s="22" t="s">
        <v>215</v>
      </c>
      <c r="BA160" s="21"/>
    </row>
    <row r="161" ht="15.5" spans="21:54">
      <c r="U161" s="22" t="s">
        <v>64</v>
      </c>
      <c r="V161" s="22" t="s">
        <v>95</v>
      </c>
      <c r="W161" s="22" t="s">
        <v>11</v>
      </c>
      <c r="X161" s="23" t="s">
        <v>41</v>
      </c>
      <c r="Z161" s="22" t="s">
        <v>64</v>
      </c>
      <c r="AA161" s="22" t="s">
        <v>95</v>
      </c>
      <c r="AB161" s="22" t="s">
        <v>11</v>
      </c>
      <c r="AC161" s="23" t="s">
        <v>41</v>
      </c>
      <c r="AE161" s="22" t="s">
        <v>64</v>
      </c>
      <c r="AF161" s="22" t="s">
        <v>95</v>
      </c>
      <c r="AG161" s="22" t="s">
        <v>11</v>
      </c>
      <c r="AH161" s="23" t="s">
        <v>41</v>
      </c>
      <c r="AJ161" s="22" t="s">
        <v>64</v>
      </c>
      <c r="AK161" s="22" t="s">
        <v>95</v>
      </c>
      <c r="AL161" s="22" t="s">
        <v>11</v>
      </c>
      <c r="AM161" s="23" t="s">
        <v>41</v>
      </c>
      <c r="AO161" s="22" t="s">
        <v>64</v>
      </c>
      <c r="AP161" s="22" t="s">
        <v>95</v>
      </c>
      <c r="AQ161" s="22" t="s">
        <v>11</v>
      </c>
      <c r="AR161" s="23" t="s">
        <v>41</v>
      </c>
      <c r="AT161" s="22" t="s">
        <v>64</v>
      </c>
      <c r="AU161" s="22" t="s">
        <v>95</v>
      </c>
      <c r="AV161" s="22" t="s">
        <v>11</v>
      </c>
      <c r="AW161" s="23" t="s">
        <v>41</v>
      </c>
      <c r="AY161" s="22" t="s">
        <v>64</v>
      </c>
      <c r="AZ161" s="22" t="s">
        <v>95</v>
      </c>
      <c r="BA161" s="22" t="s">
        <v>11</v>
      </c>
      <c r="BB161" s="23" t="s">
        <v>41</v>
      </c>
    </row>
    <row r="162" ht="15.5" spans="21:54">
      <c r="U162" s="23" t="s">
        <v>189</v>
      </c>
      <c r="V162" s="24" t="s">
        <v>217</v>
      </c>
      <c r="W162" s="23">
        <f t="shared" ref="W162:W165" si="336">W85</f>
        <v>0.010830385716692</v>
      </c>
      <c r="X162" s="23">
        <v>2020</v>
      </c>
      <c r="Z162" s="23" t="s">
        <v>190</v>
      </c>
      <c r="AA162" s="24" t="s">
        <v>217</v>
      </c>
      <c r="AB162" s="23">
        <f t="shared" ref="AB162:AB165" si="337">X85</f>
        <v>0.0104020530367836</v>
      </c>
      <c r="AC162" s="23">
        <v>2020</v>
      </c>
      <c r="AE162" s="23" t="s">
        <v>191</v>
      </c>
      <c r="AF162" s="24" t="s">
        <v>217</v>
      </c>
      <c r="AG162" s="23">
        <f t="shared" ref="AG162:AG165" si="338">Y85</f>
        <v>0.0107085201793722</v>
      </c>
      <c r="AH162" s="23">
        <v>2020</v>
      </c>
      <c r="AJ162" s="23" t="s">
        <v>192</v>
      </c>
      <c r="AK162" s="24" t="s">
        <v>217</v>
      </c>
      <c r="AL162" s="23">
        <f t="shared" ref="AL162:AL165" si="339">Z85</f>
        <v>0.0117702805155421</v>
      </c>
      <c r="AM162" s="23">
        <v>2020</v>
      </c>
      <c r="AO162" s="23" t="s">
        <v>188</v>
      </c>
      <c r="AP162" s="24" t="s">
        <v>217</v>
      </c>
      <c r="AQ162" s="23">
        <f t="shared" ref="AQ162:AQ165" si="340">AA85</f>
        <v>0.011933619242961</v>
      </c>
      <c r="AR162" s="23">
        <v>2020</v>
      </c>
      <c r="AT162" s="23" t="s">
        <v>187</v>
      </c>
      <c r="AU162" s="24" t="s">
        <v>217</v>
      </c>
      <c r="AV162" s="23">
        <f t="shared" ref="AV162:AV165" si="341">AB85</f>
        <v>0.00898419864559818</v>
      </c>
      <c r="AW162" s="23">
        <v>2020</v>
      </c>
      <c r="AY162" s="23" t="s">
        <v>186</v>
      </c>
      <c r="AZ162" s="24" t="s">
        <v>217</v>
      </c>
      <c r="BA162" s="23">
        <f t="shared" ref="BA162:BA165" si="342">AC85</f>
        <v>0.0105588963565617</v>
      </c>
      <c r="BB162" s="23">
        <v>2020</v>
      </c>
    </row>
    <row r="163" ht="15.5" spans="21:54">
      <c r="U163" s="23" t="str">
        <f t="shared" ref="U163:U165" si="343">U162</f>
        <v>PyroRecy-NMC111</v>
      </c>
      <c r="V163" s="24" t="s">
        <v>224</v>
      </c>
      <c r="W163" s="23">
        <f t="shared" si="336"/>
        <v>0.0447027118073101</v>
      </c>
      <c r="X163" s="23">
        <v>2020</v>
      </c>
      <c r="Z163" s="23" t="str">
        <f t="shared" ref="Z163:Z165" si="344">Z162</f>
        <v>PyroRecy-NMC532</v>
      </c>
      <c r="AA163" s="24" t="s">
        <v>224</v>
      </c>
      <c r="AB163" s="23">
        <f t="shared" si="337"/>
        <v>0.0428058169375535</v>
      </c>
      <c r="AC163" s="23">
        <v>2020</v>
      </c>
      <c r="AE163" s="23" t="str">
        <f t="shared" ref="AE163:AE165" si="345">AE162</f>
        <v>PyroRecy-NMC622</v>
      </c>
      <c r="AF163" s="24" t="s">
        <v>224</v>
      </c>
      <c r="AG163" s="23">
        <f t="shared" si="338"/>
        <v>0.0441255605381166</v>
      </c>
      <c r="AH163" s="23">
        <v>2020</v>
      </c>
      <c r="AJ163" s="23" t="str">
        <f t="shared" ref="AJ163:AJ165" si="346">AJ162</f>
        <v>PyroRecy-NMC811</v>
      </c>
      <c r="AK163" s="24" t="s">
        <v>224</v>
      </c>
      <c r="AL163" s="23">
        <f t="shared" si="339"/>
        <v>0.0456406368460955</v>
      </c>
      <c r="AM163" s="23">
        <v>2020</v>
      </c>
      <c r="AO163" s="23" t="str">
        <f t="shared" ref="AO163:AO165" si="347">AO162</f>
        <v>PyroRecy-NCA</v>
      </c>
      <c r="AP163" s="24" t="s">
        <v>224</v>
      </c>
      <c r="AQ163" s="23">
        <f t="shared" si="340"/>
        <v>0.0467275778482193</v>
      </c>
      <c r="AR163" s="23">
        <v>2020</v>
      </c>
      <c r="AT163" s="23" t="str">
        <f t="shared" ref="AT163:AT165" si="348">AT162</f>
        <v>PyroRecy-LMO</v>
      </c>
      <c r="AU163" s="24" t="s">
        <v>224</v>
      </c>
      <c r="AV163" s="23">
        <f t="shared" si="341"/>
        <v>0.037020316027088</v>
      </c>
      <c r="AW163" s="23">
        <v>2020</v>
      </c>
      <c r="AY163" s="23" t="str">
        <f t="shared" ref="AY163:AY165" si="349">AY162</f>
        <v>PyroRecy-LFP</v>
      </c>
      <c r="AZ163" s="24" t="s">
        <v>224</v>
      </c>
      <c r="BA163" s="23">
        <f t="shared" si="342"/>
        <v>0.0435090201627167</v>
      </c>
      <c r="BB163" s="23">
        <v>2020</v>
      </c>
    </row>
    <row r="164" ht="15.5" spans="21:54">
      <c r="U164" s="23" t="str">
        <f t="shared" si="343"/>
        <v>PyroRecy-NMC111</v>
      </c>
      <c r="V164" s="24" t="s">
        <v>225</v>
      </c>
      <c r="W164" s="23">
        <f t="shared" si="336"/>
        <v>0.0724945258548088</v>
      </c>
      <c r="X164" s="23">
        <v>2020</v>
      </c>
      <c r="Z164" s="23" t="str">
        <f t="shared" si="344"/>
        <v>PyroRecy-NMC532</v>
      </c>
      <c r="AA164" s="24" t="s">
        <v>225</v>
      </c>
      <c r="AB164" s="23">
        <f t="shared" si="337"/>
        <v>0.0706073567151412</v>
      </c>
      <c r="AC164" s="23">
        <v>2020</v>
      </c>
      <c r="AE164" s="23" t="str">
        <f t="shared" si="345"/>
        <v>PyroRecy-NMC622</v>
      </c>
      <c r="AF164" s="24" t="s">
        <v>225</v>
      </c>
      <c r="AG164" s="23">
        <f t="shared" si="338"/>
        <v>0.0732017937219731</v>
      </c>
      <c r="AH164" s="23">
        <v>2020</v>
      </c>
      <c r="AJ164" s="23" t="str">
        <f t="shared" si="346"/>
        <v>PyroRecy-NMC811</v>
      </c>
      <c r="AK164" s="24" t="s">
        <v>225</v>
      </c>
      <c r="AL164" s="23">
        <f t="shared" si="339"/>
        <v>0.076516300227445</v>
      </c>
      <c r="AM164" s="23">
        <v>2020</v>
      </c>
      <c r="AO164" s="23" t="str">
        <f t="shared" si="347"/>
        <v>PyroRecy-NCA</v>
      </c>
      <c r="AP164" s="24" t="s">
        <v>225</v>
      </c>
      <c r="AQ164" s="23">
        <f t="shared" si="340"/>
        <v>0.0803841133693828</v>
      </c>
      <c r="AR164" s="23">
        <v>2020</v>
      </c>
      <c r="AT164" s="23" t="str">
        <f t="shared" si="348"/>
        <v>PyroRecy-LMO</v>
      </c>
      <c r="AU164" s="24" t="s">
        <v>225</v>
      </c>
      <c r="AV164" s="23">
        <f t="shared" si="341"/>
        <v>0.0614145974416855</v>
      </c>
      <c r="AW164" s="23">
        <v>2020</v>
      </c>
      <c r="AY164" s="23" t="str">
        <f t="shared" si="349"/>
        <v>PyroRecy-LFP</v>
      </c>
      <c r="AZ164" s="24" t="s">
        <v>225</v>
      </c>
      <c r="BA164" s="23">
        <f t="shared" si="342"/>
        <v>0.0721789883268483</v>
      </c>
      <c r="BB164" s="23">
        <v>2020</v>
      </c>
    </row>
    <row r="165" ht="15.5" spans="21:54">
      <c r="U165" s="23" t="str">
        <f t="shared" si="343"/>
        <v>PyroRecy-NMC111</v>
      </c>
      <c r="V165" s="24" t="s">
        <v>226</v>
      </c>
      <c r="W165" s="23">
        <f t="shared" si="336"/>
        <v>0.0131547919824827</v>
      </c>
      <c r="X165" s="23">
        <v>2020</v>
      </c>
      <c r="Z165" s="23" t="str">
        <f t="shared" si="344"/>
        <v>PyroRecy-NMC532</v>
      </c>
      <c r="AA165" s="24" t="s">
        <v>226</v>
      </c>
      <c r="AB165" s="23">
        <f t="shared" si="337"/>
        <v>0.0128656971770744</v>
      </c>
      <c r="AC165" s="23">
        <v>2020</v>
      </c>
      <c r="AE165" s="23" t="str">
        <f t="shared" si="345"/>
        <v>PyroRecy-NMC622</v>
      </c>
      <c r="AF165" s="24" t="s">
        <v>226</v>
      </c>
      <c r="AG165" s="23">
        <f t="shared" si="338"/>
        <v>0.0133273542600897</v>
      </c>
      <c r="AH165" s="23">
        <v>2020</v>
      </c>
      <c r="AJ165" s="23" t="str">
        <f t="shared" si="346"/>
        <v>PyroRecy-NMC811</v>
      </c>
      <c r="AK165" s="24" t="s">
        <v>226</v>
      </c>
      <c r="AL165" s="23">
        <f t="shared" si="339"/>
        <v>0.0145564821834723</v>
      </c>
      <c r="AM165" s="23">
        <v>2020</v>
      </c>
      <c r="AO165" s="23" t="str">
        <f t="shared" si="347"/>
        <v>PyroRecy-NCA</v>
      </c>
      <c r="AP165" s="24" t="s">
        <v>226</v>
      </c>
      <c r="AQ165" s="23">
        <f t="shared" si="340"/>
        <v>0.0148610852134999</v>
      </c>
      <c r="AR165" s="23">
        <v>2020</v>
      </c>
      <c r="AT165" s="23" t="str">
        <f t="shared" si="348"/>
        <v>PyroRecy-LMO</v>
      </c>
      <c r="AU165" s="24" t="s">
        <v>226</v>
      </c>
      <c r="AV165" s="23">
        <f t="shared" si="341"/>
        <v>0.0111813393528969</v>
      </c>
      <c r="AW165" s="23">
        <v>2020</v>
      </c>
      <c r="AY165" s="23" t="str">
        <f t="shared" si="349"/>
        <v>PyroRecy-LFP</v>
      </c>
      <c r="AZ165" s="24" t="s">
        <v>226</v>
      </c>
      <c r="BA165" s="23">
        <f t="shared" si="342"/>
        <v>0.0131411390166254</v>
      </c>
      <c r="BB165" s="23">
        <v>2020</v>
      </c>
    </row>
    <row r="166" ht="15.5" spans="21:54">
      <c r="U166" s="25"/>
      <c r="V166" s="25"/>
      <c r="W166" s="25"/>
      <c r="X166" s="25"/>
      <c r="Z166" s="25"/>
      <c r="AA166" s="25"/>
      <c r="AB166" s="25"/>
      <c r="AC166" s="25"/>
      <c r="AE166" s="25"/>
      <c r="AF166" s="25"/>
      <c r="AG166" s="25"/>
      <c r="AH166" s="25"/>
      <c r="AJ166" s="25"/>
      <c r="AK166" s="25"/>
      <c r="AL166" s="25"/>
      <c r="AM166" s="25"/>
      <c r="AO166" s="25"/>
      <c r="AP166" s="25"/>
      <c r="AQ166" s="25"/>
      <c r="AR166" s="25"/>
      <c r="AT166" s="25"/>
      <c r="AU166" s="25"/>
      <c r="AV166" s="25"/>
      <c r="AW166" s="25"/>
      <c r="AY166" s="25"/>
      <c r="AZ166" s="25"/>
      <c r="BA166" s="25"/>
    </row>
    <row r="167" ht="15.5" spans="21:54">
      <c r="U167" s="4"/>
      <c r="V167" s="4"/>
      <c r="W167" s="4"/>
      <c r="X167" s="4"/>
      <c r="Z167" s="4"/>
      <c r="AA167" s="4"/>
      <c r="AB167" s="4"/>
      <c r="AC167" s="4"/>
      <c r="AE167" s="4"/>
      <c r="AF167" s="4"/>
      <c r="AG167" s="4"/>
      <c r="AH167" s="4"/>
      <c r="AJ167" s="4"/>
      <c r="AK167" s="4"/>
      <c r="AL167" s="4"/>
      <c r="AM167" s="4"/>
      <c r="AO167" s="4"/>
      <c r="AP167" s="4"/>
      <c r="AQ167" s="4"/>
      <c r="AR167" s="4"/>
      <c r="AT167" s="4"/>
      <c r="AU167" s="4"/>
      <c r="AV167" s="4"/>
      <c r="AW167" s="4"/>
      <c r="AY167" s="4"/>
      <c r="AZ167" s="4"/>
      <c r="BA167" s="4"/>
    </row>
    <row r="168" ht="15.5" spans="21:54">
      <c r="U168" s="4"/>
      <c r="V168" s="4"/>
      <c r="W168" s="4"/>
      <c r="X168" s="4"/>
      <c r="Z168" s="4"/>
      <c r="AA168" s="4"/>
      <c r="AB168" s="4"/>
      <c r="AC168" s="4"/>
      <c r="AE168" s="4"/>
      <c r="AF168" s="4"/>
      <c r="AG168" s="4"/>
      <c r="AH168" s="4"/>
      <c r="AJ168" s="4"/>
      <c r="AK168" s="4"/>
      <c r="AL168" s="4"/>
      <c r="AM168" s="4"/>
      <c r="AO168" s="4"/>
      <c r="AP168" s="4"/>
      <c r="AQ168" s="4"/>
      <c r="AR168" s="4"/>
      <c r="AT168" s="4"/>
      <c r="AU168" s="4"/>
      <c r="AV168" s="4"/>
      <c r="AW168" s="4"/>
      <c r="AY168" s="4"/>
      <c r="AZ168" s="4"/>
      <c r="BA168" s="4"/>
    </row>
    <row r="169" ht="15.5" spans="21:54">
      <c r="U169" s="4"/>
      <c r="V169" s="4"/>
      <c r="W169" s="4"/>
      <c r="X169" s="4"/>
      <c r="Z169" s="4"/>
      <c r="AA169" s="4"/>
      <c r="AB169" s="4"/>
      <c r="AC169" s="4"/>
      <c r="AE169" s="4"/>
      <c r="AF169" s="4"/>
      <c r="AG169" s="4"/>
      <c r="AH169" s="4"/>
      <c r="AJ169" s="4"/>
      <c r="AK169" s="4"/>
      <c r="AL169" s="4"/>
      <c r="AM169" s="4"/>
      <c r="AO169" s="4"/>
      <c r="AP169" s="4"/>
      <c r="AQ169" s="4"/>
      <c r="AR169" s="4"/>
      <c r="AT169" s="4"/>
      <c r="AU169" s="4"/>
      <c r="AV169" s="4"/>
      <c r="AW169" s="4"/>
      <c r="AY169" s="4"/>
      <c r="AZ169" s="4"/>
      <c r="BA169" s="4"/>
    </row>
    <row r="170" ht="15.5" spans="21:54">
      <c r="U170" s="4"/>
      <c r="V170" s="4"/>
      <c r="W170" s="4"/>
      <c r="X170" s="4"/>
      <c r="Z170" s="4"/>
      <c r="AA170" s="4"/>
      <c r="AB170" s="4"/>
      <c r="AC170" s="4"/>
      <c r="AE170" s="4"/>
      <c r="AF170" s="4"/>
      <c r="AG170" s="4"/>
      <c r="AH170" s="4"/>
      <c r="AJ170" s="4"/>
      <c r="AK170" s="4"/>
      <c r="AL170" s="4"/>
      <c r="AM170" s="4"/>
      <c r="AO170" s="4"/>
      <c r="AP170" s="4"/>
      <c r="AQ170" s="4"/>
      <c r="AR170" s="4"/>
      <c r="AT170" s="4"/>
      <c r="AU170" s="4"/>
      <c r="AV170" s="4"/>
      <c r="AW170" s="4"/>
      <c r="AY170" s="4"/>
      <c r="AZ170" s="4"/>
      <c r="BA170" s="4"/>
    </row>
    <row r="171" ht="15.5" spans="21:54">
      <c r="U171" s="4"/>
      <c r="V171" s="4"/>
      <c r="W171" s="4"/>
      <c r="X171" s="4"/>
      <c r="Z171" s="4"/>
      <c r="AA171" s="4"/>
      <c r="AB171" s="4"/>
      <c r="AC171" s="4"/>
      <c r="AE171" s="4"/>
      <c r="AF171" s="4"/>
      <c r="AG171" s="4"/>
      <c r="AH171" s="4"/>
      <c r="AJ171" s="4"/>
      <c r="AK171" s="4"/>
      <c r="AL171" s="4"/>
      <c r="AM171" s="4"/>
      <c r="AO171" s="4"/>
      <c r="AP171" s="4"/>
      <c r="AQ171" s="4"/>
      <c r="AR171" s="4"/>
      <c r="AT171" s="4"/>
      <c r="AU171" s="4"/>
      <c r="AV171" s="4"/>
      <c r="AW171" s="4"/>
      <c r="AY171" s="4"/>
      <c r="AZ171" s="4"/>
      <c r="BA171" s="4"/>
    </row>
    <row r="172" ht="15.5" spans="21:54">
      <c r="U172" s="21"/>
      <c r="V172" s="22" t="s">
        <v>215</v>
      </c>
      <c r="W172" s="21"/>
      <c r="X172" s="23"/>
      <c r="Z172" s="21"/>
      <c r="AA172" s="22" t="s">
        <v>215</v>
      </c>
      <c r="AB172" s="21"/>
      <c r="AC172" s="23"/>
      <c r="AE172" s="21"/>
      <c r="AF172" s="22" t="s">
        <v>215</v>
      </c>
      <c r="AG172" s="21"/>
      <c r="AH172" s="23"/>
      <c r="AJ172" s="21"/>
      <c r="AK172" s="22" t="s">
        <v>215</v>
      </c>
      <c r="AL172" s="21"/>
      <c r="AM172" s="23"/>
      <c r="AO172" s="21"/>
      <c r="AP172" s="22" t="s">
        <v>215</v>
      </c>
      <c r="AQ172" s="21"/>
      <c r="AR172" s="23"/>
      <c r="AT172" s="21"/>
      <c r="AU172" s="22" t="s">
        <v>215</v>
      </c>
      <c r="AV172" s="21"/>
      <c r="AW172" s="23"/>
      <c r="AY172" s="21"/>
      <c r="AZ172" s="22" t="s">
        <v>215</v>
      </c>
      <c r="BA172" s="21"/>
    </row>
    <row r="173" ht="15.5" spans="21:54">
      <c r="U173" s="22" t="s">
        <v>64</v>
      </c>
      <c r="V173" s="22" t="s">
        <v>95</v>
      </c>
      <c r="W173" s="22" t="s">
        <v>11</v>
      </c>
      <c r="X173" s="23" t="s">
        <v>41</v>
      </c>
      <c r="Z173" s="22" t="s">
        <v>64</v>
      </c>
      <c r="AA173" s="22" t="s">
        <v>95</v>
      </c>
      <c r="AB173" s="22" t="s">
        <v>11</v>
      </c>
      <c r="AC173" s="23" t="s">
        <v>41</v>
      </c>
      <c r="AE173" s="22" t="s">
        <v>64</v>
      </c>
      <c r="AF173" s="22" t="s">
        <v>95</v>
      </c>
      <c r="AG173" s="22" t="s">
        <v>11</v>
      </c>
      <c r="AH173" s="23" t="s">
        <v>41</v>
      </c>
      <c r="AJ173" s="22" t="s">
        <v>64</v>
      </c>
      <c r="AK173" s="22" t="s">
        <v>95</v>
      </c>
      <c r="AL173" s="22" t="s">
        <v>11</v>
      </c>
      <c r="AM173" s="23" t="s">
        <v>41</v>
      </c>
      <c r="AO173" s="22" t="s">
        <v>64</v>
      </c>
      <c r="AP173" s="22" t="s">
        <v>95</v>
      </c>
      <c r="AQ173" s="22" t="s">
        <v>11</v>
      </c>
      <c r="AR173" s="23" t="s">
        <v>41</v>
      </c>
      <c r="AT173" s="22" t="s">
        <v>64</v>
      </c>
      <c r="AU173" s="22" t="s">
        <v>95</v>
      </c>
      <c r="AV173" s="22" t="s">
        <v>11</v>
      </c>
      <c r="AW173" s="23" t="s">
        <v>41</v>
      </c>
      <c r="AY173" s="22" t="s">
        <v>64</v>
      </c>
      <c r="AZ173" s="22" t="s">
        <v>95</v>
      </c>
      <c r="BA173" s="22" t="s">
        <v>11</v>
      </c>
      <c r="BB173" s="23" t="s">
        <v>41</v>
      </c>
    </row>
    <row r="174" ht="15.5" spans="21:54">
      <c r="U174" s="23" t="s">
        <v>196</v>
      </c>
      <c r="V174" s="24" t="s">
        <v>217</v>
      </c>
      <c r="W174" s="23">
        <f t="shared" ref="W174:W177" si="350">W105</f>
        <v>0.011840997136601</v>
      </c>
      <c r="X174" s="23">
        <v>2020</v>
      </c>
      <c r="Z174" s="23" t="s">
        <v>197</v>
      </c>
      <c r="AA174" s="24" t="s">
        <v>217</v>
      </c>
      <c r="AB174" s="23">
        <f t="shared" ref="AB174:AB177" si="351">X105</f>
        <v>0.011377245508982</v>
      </c>
      <c r="AC174" s="23">
        <v>2020</v>
      </c>
      <c r="AE174" s="23" t="s">
        <v>198</v>
      </c>
      <c r="AF174" s="24" t="s">
        <v>217</v>
      </c>
      <c r="AG174" s="23">
        <f t="shared" ref="AG174:AG177" si="352">Y105</f>
        <v>0.0117668161434977</v>
      </c>
      <c r="AH174" s="23">
        <v>2020</v>
      </c>
      <c r="AJ174" s="23" t="s">
        <v>199</v>
      </c>
      <c r="AK174" s="24" t="s">
        <v>217</v>
      </c>
      <c r="AL174" s="23">
        <f t="shared" ref="AL174:AL177" si="353">Z105</f>
        <v>0.0120924943138741</v>
      </c>
      <c r="AM174" s="23">
        <v>2020</v>
      </c>
      <c r="AO174" s="23" t="s">
        <v>195</v>
      </c>
      <c r="AP174" s="24" t="s">
        <v>217</v>
      </c>
      <c r="AQ174" s="23">
        <f t="shared" ref="AQ174:AQ177" si="354">AA105</f>
        <v>0.0122878985642364</v>
      </c>
      <c r="AR174" s="23">
        <v>2020</v>
      </c>
      <c r="AT174" s="23" t="s">
        <v>194</v>
      </c>
      <c r="AU174" s="24" t="s">
        <v>217</v>
      </c>
      <c r="AV174" s="23">
        <f t="shared" ref="AV174:AV177" si="355">AB105</f>
        <v>0.00987208427389014</v>
      </c>
      <c r="AW174" s="23">
        <v>2020</v>
      </c>
      <c r="AY174" s="23" t="s">
        <v>193</v>
      </c>
      <c r="AZ174" s="24" t="s">
        <v>217</v>
      </c>
      <c r="BA174" s="23">
        <f t="shared" ref="BA174:BA177" si="356">AC105</f>
        <v>0.0116024053767244</v>
      </c>
      <c r="BB174" s="23">
        <v>2020</v>
      </c>
    </row>
    <row r="175" ht="15.5" spans="21:54">
      <c r="U175" s="23" t="str">
        <f t="shared" ref="U175:U177" si="357">U174</f>
        <v>HydRecy-NMC111</v>
      </c>
      <c r="V175" s="24" t="s">
        <v>224</v>
      </c>
      <c r="W175" s="23">
        <f t="shared" si="350"/>
        <v>0.0404413003200269</v>
      </c>
      <c r="X175" s="23">
        <v>2020</v>
      </c>
      <c r="Z175" s="23" t="str">
        <f t="shared" ref="Z175:Z177" si="358">Z174</f>
        <v>HydRecy-NMC532</v>
      </c>
      <c r="AA175" s="24" t="s">
        <v>224</v>
      </c>
      <c r="AB175" s="23">
        <f t="shared" si="351"/>
        <v>0.0389734816082122</v>
      </c>
      <c r="AC175" s="23">
        <v>2020</v>
      </c>
      <c r="AE175" s="23" t="str">
        <f t="shared" ref="AE175:AE177" si="359">AE174</f>
        <v>HydRecy-NMC622</v>
      </c>
      <c r="AF175" s="24" t="s">
        <v>224</v>
      </c>
      <c r="AG175" s="23">
        <f t="shared" si="352"/>
        <v>0.0403408071748879</v>
      </c>
      <c r="AH175" s="23">
        <v>2020</v>
      </c>
      <c r="AJ175" s="23" t="str">
        <f t="shared" ref="AJ175:AJ177" si="360">AJ174</f>
        <v>HydRecy-NMC811</v>
      </c>
      <c r="AK175" s="24" t="s">
        <v>224</v>
      </c>
      <c r="AL175" s="23">
        <f t="shared" si="353"/>
        <v>0.0420204700530705</v>
      </c>
      <c r="AM175" s="23">
        <v>2020</v>
      </c>
      <c r="AO175" s="23" t="str">
        <f t="shared" ref="AO175:AO177" si="361">AO174</f>
        <v>HydRecy-NCA</v>
      </c>
      <c r="AP175" s="24" t="s">
        <v>224</v>
      </c>
      <c r="AQ175" s="23">
        <f t="shared" si="354"/>
        <v>0.0428118590341227</v>
      </c>
      <c r="AR175" s="23">
        <v>2020</v>
      </c>
      <c r="AT175" s="23" t="str">
        <f t="shared" ref="AT175:AT177" si="362">AT174</f>
        <v>HydRecy-LMO</v>
      </c>
      <c r="AU175" s="24" t="s">
        <v>224</v>
      </c>
      <c r="AV175" s="23">
        <f t="shared" si="355"/>
        <v>0.0338449962377728</v>
      </c>
      <c r="AW175" s="23">
        <v>2020</v>
      </c>
      <c r="AY175" s="23" t="str">
        <f t="shared" ref="AY175:AY177" si="363">AY174</f>
        <v>HydRecy-LFP</v>
      </c>
      <c r="AZ175" s="24" t="s">
        <v>224</v>
      </c>
      <c r="BA175" s="23">
        <f t="shared" si="356"/>
        <v>0.0397771489211178</v>
      </c>
      <c r="BB175" s="23">
        <v>2020</v>
      </c>
    </row>
    <row r="176" ht="15.5" spans="21:54">
      <c r="U176" s="23" t="str">
        <f t="shared" si="357"/>
        <v>HydRecy-NMC111</v>
      </c>
      <c r="V176" s="24" t="s">
        <v>225</v>
      </c>
      <c r="W176" s="23">
        <f t="shared" si="350"/>
        <v>0.0870304867778339</v>
      </c>
      <c r="X176" s="23">
        <v>2020</v>
      </c>
      <c r="Z176" s="23" t="str">
        <f t="shared" si="358"/>
        <v>HydRecy-NMC532</v>
      </c>
      <c r="AA176" s="24" t="s">
        <v>225</v>
      </c>
      <c r="AB176" s="23">
        <f t="shared" si="351"/>
        <v>0.0843627031650984</v>
      </c>
      <c r="AC176" s="23">
        <v>2020</v>
      </c>
      <c r="AE176" s="23" t="str">
        <f t="shared" si="359"/>
        <v>HydRecy-NMC622</v>
      </c>
      <c r="AF176" s="24" t="s">
        <v>225</v>
      </c>
      <c r="AG176" s="23">
        <f t="shared" si="352"/>
        <v>0.0874439461883408</v>
      </c>
      <c r="AH176" s="23">
        <v>2020</v>
      </c>
      <c r="AJ176" s="23" t="str">
        <f t="shared" si="360"/>
        <v>HydRecy-NMC811</v>
      </c>
      <c r="AK176" s="24" t="s">
        <v>225</v>
      </c>
      <c r="AL176" s="23">
        <f t="shared" si="353"/>
        <v>0.0881918119787718</v>
      </c>
      <c r="AM176" s="23">
        <v>2020</v>
      </c>
      <c r="AO176" s="23" t="str">
        <f t="shared" si="361"/>
        <v>HydRecy-NCA</v>
      </c>
      <c r="AP176" s="24" t="s">
        <v>225</v>
      </c>
      <c r="AQ176" s="23">
        <f t="shared" si="354"/>
        <v>0.0922245012120082</v>
      </c>
      <c r="AR176" s="23">
        <v>2020</v>
      </c>
      <c r="AT176" s="23" t="str">
        <f t="shared" si="362"/>
        <v>HydRecy-LMO</v>
      </c>
      <c r="AU176" s="24" t="s">
        <v>225</v>
      </c>
      <c r="AV176" s="23">
        <f t="shared" si="355"/>
        <v>0.0733634311512415</v>
      </c>
      <c r="AW176" s="23">
        <v>2020</v>
      </c>
      <c r="AY176" s="23" t="str">
        <f t="shared" si="363"/>
        <v>HydRecy-LFP</v>
      </c>
      <c r="AZ176" s="24" t="s">
        <v>225</v>
      </c>
      <c r="BA176" s="23">
        <f t="shared" si="356"/>
        <v>0.0862221436151397</v>
      </c>
      <c r="BB176" s="23">
        <v>2020</v>
      </c>
    </row>
    <row r="177" ht="15.5" spans="21:54">
      <c r="U177" s="23" t="str">
        <f t="shared" si="357"/>
        <v>HydRecy-NMC111</v>
      </c>
      <c r="V177" s="24" t="s">
        <v>226</v>
      </c>
      <c r="W177" s="23">
        <f t="shared" si="350"/>
        <v>0.0133569142664645</v>
      </c>
      <c r="X177" s="23">
        <v>2020</v>
      </c>
      <c r="Z177" s="23" t="str">
        <f t="shared" si="358"/>
        <v>HydRecy-NMC532</v>
      </c>
      <c r="AA177" s="24" t="s">
        <v>226</v>
      </c>
      <c r="AB177" s="23">
        <f t="shared" si="351"/>
        <v>0.0131907613344739</v>
      </c>
      <c r="AC177" s="23">
        <v>2020</v>
      </c>
      <c r="AE177" s="23" t="str">
        <f t="shared" si="359"/>
        <v>HydRecy-NMC622</v>
      </c>
      <c r="AF177" s="24" t="s">
        <v>226</v>
      </c>
      <c r="AG177" s="23">
        <f t="shared" si="352"/>
        <v>0.0137399103139013</v>
      </c>
      <c r="AH177" s="23">
        <v>2020</v>
      </c>
      <c r="AJ177" s="23" t="str">
        <f t="shared" si="360"/>
        <v>HydRecy-NMC811</v>
      </c>
      <c r="AK177" s="24" t="s">
        <v>226</v>
      </c>
      <c r="AL177" s="23">
        <f t="shared" si="353"/>
        <v>0.0141015921152388</v>
      </c>
      <c r="AM177" s="23">
        <v>2020</v>
      </c>
      <c r="AO177" s="23" t="str">
        <f t="shared" si="361"/>
        <v>HydRecy-NCA</v>
      </c>
      <c r="AP177" s="24" t="s">
        <v>226</v>
      </c>
      <c r="AQ177" s="23">
        <f t="shared" si="354"/>
        <v>0.0143016968114861</v>
      </c>
      <c r="AR177" s="23">
        <v>2020</v>
      </c>
      <c r="AT177" s="23" t="str">
        <f t="shared" si="362"/>
        <v>HydRecy-LMO</v>
      </c>
      <c r="AU177" s="24" t="s">
        <v>226</v>
      </c>
      <c r="AV177" s="23">
        <f t="shared" si="355"/>
        <v>0.0115274642588412</v>
      </c>
      <c r="AW177" s="23">
        <v>2020</v>
      </c>
      <c r="AY177" s="23" t="str">
        <f t="shared" si="363"/>
        <v>HydRecy-LFP</v>
      </c>
      <c r="AZ177" s="24" t="s">
        <v>226</v>
      </c>
      <c r="BA177" s="23">
        <f t="shared" si="356"/>
        <v>0.0135479306685532</v>
      </c>
      <c r="BB177" s="23">
        <v>2020</v>
      </c>
    </row>
    <row r="178" ht="15.5" spans="21:54">
      <c r="U178" s="25"/>
      <c r="V178" s="25"/>
      <c r="W178" s="25"/>
      <c r="X178" s="25"/>
      <c r="Z178" s="25"/>
      <c r="AA178" s="25"/>
      <c r="AB178" s="25"/>
      <c r="AC178" s="25"/>
      <c r="AE178" s="25"/>
      <c r="AF178" s="25"/>
      <c r="AG178" s="25"/>
      <c r="AH178" s="25"/>
      <c r="AJ178" s="25"/>
      <c r="AK178" s="25"/>
      <c r="AL178" s="25"/>
      <c r="AM178" s="25"/>
      <c r="AO178" s="25"/>
      <c r="AP178" s="25"/>
      <c r="AQ178" s="25"/>
      <c r="AR178" s="25"/>
      <c r="AT178" s="25"/>
      <c r="AU178" s="25"/>
      <c r="AV178" s="25"/>
      <c r="AW178" s="25"/>
      <c r="AY178" s="25"/>
      <c r="AZ178" s="25"/>
      <c r="BA178" s="25"/>
    </row>
    <row r="183" ht="15.5" spans="21:54">
      <c r="U183" s="21"/>
      <c r="V183" s="22" t="s">
        <v>215</v>
      </c>
      <c r="W183" s="21"/>
      <c r="X183" s="23"/>
      <c r="Z183" s="21"/>
      <c r="AA183" s="22" t="s">
        <v>215</v>
      </c>
      <c r="AB183" s="21"/>
      <c r="AC183" s="23"/>
      <c r="AE183" s="21"/>
      <c r="AF183" s="22" t="s">
        <v>215</v>
      </c>
      <c r="AG183" s="21"/>
      <c r="AH183" s="23"/>
      <c r="AJ183" s="21"/>
      <c r="AK183" s="22" t="s">
        <v>215</v>
      </c>
      <c r="AL183" s="21"/>
      <c r="AM183" s="23"/>
      <c r="AO183" s="21"/>
      <c r="AP183" s="22" t="s">
        <v>215</v>
      </c>
      <c r="AQ183" s="21"/>
      <c r="AR183" s="23"/>
      <c r="AT183" s="21"/>
      <c r="AU183" s="22" t="s">
        <v>215</v>
      </c>
      <c r="AV183" s="21"/>
      <c r="AW183" s="23"/>
      <c r="AY183" s="21"/>
      <c r="AZ183" s="22" t="s">
        <v>215</v>
      </c>
      <c r="BA183" s="21"/>
    </row>
    <row r="184" ht="15.5" spans="21:54">
      <c r="U184" s="22" t="s">
        <v>64</v>
      </c>
      <c r="V184" s="22" t="s">
        <v>95</v>
      </c>
      <c r="W184" s="22" t="s">
        <v>11</v>
      </c>
      <c r="X184" s="23" t="s">
        <v>41</v>
      </c>
      <c r="Z184" s="22" t="s">
        <v>64</v>
      </c>
      <c r="AA184" s="22" t="s">
        <v>95</v>
      </c>
      <c r="AB184" s="22" t="s">
        <v>11</v>
      </c>
      <c r="AC184" s="23" t="s">
        <v>41</v>
      </c>
      <c r="AE184" s="22" t="s">
        <v>64</v>
      </c>
      <c r="AF184" s="22" t="s">
        <v>95</v>
      </c>
      <c r="AG184" s="22" t="s">
        <v>11</v>
      </c>
      <c r="AH184" s="23" t="s">
        <v>41</v>
      </c>
      <c r="AJ184" s="22" t="s">
        <v>64</v>
      </c>
      <c r="AK184" s="22" t="s">
        <v>95</v>
      </c>
      <c r="AL184" s="22" t="s">
        <v>11</v>
      </c>
      <c r="AM184" s="23" t="s">
        <v>41</v>
      </c>
      <c r="AO184" s="22" t="s">
        <v>64</v>
      </c>
      <c r="AP184" s="22" t="s">
        <v>95</v>
      </c>
      <c r="AQ184" s="22" t="s">
        <v>11</v>
      </c>
      <c r="AR184" s="23" t="s">
        <v>41</v>
      </c>
      <c r="AT184" s="22" t="s">
        <v>64</v>
      </c>
      <c r="AU184" s="22" t="s">
        <v>95</v>
      </c>
      <c r="AV184" s="22" t="s">
        <v>11</v>
      </c>
      <c r="AW184" s="23" t="s">
        <v>41</v>
      </c>
      <c r="AY184" s="22" t="s">
        <v>64</v>
      </c>
      <c r="AZ184" s="22" t="s">
        <v>95</v>
      </c>
      <c r="BA184" s="22" t="s">
        <v>11</v>
      </c>
      <c r="BB184" s="23" t="s">
        <v>41</v>
      </c>
    </row>
    <row r="185" ht="15.5" spans="21:54">
      <c r="U185" s="23" t="s">
        <v>203</v>
      </c>
      <c r="V185" s="24" t="s">
        <v>217</v>
      </c>
      <c r="W185" s="23">
        <f t="shared" ref="W185:W188" si="364">W125</f>
        <v>0.00810173488293751</v>
      </c>
      <c r="X185" s="23">
        <v>2020</v>
      </c>
      <c r="Z185" s="23" t="s">
        <v>204</v>
      </c>
      <c r="AA185" s="24" t="s">
        <v>217</v>
      </c>
      <c r="AB185" s="23">
        <f t="shared" ref="AB185:AB188" si="365">X125</f>
        <v>0.00786997433704022</v>
      </c>
      <c r="AC185" s="23">
        <v>2020</v>
      </c>
      <c r="AE185" s="23" t="s">
        <v>205</v>
      </c>
      <c r="AF185" s="24" t="s">
        <v>217</v>
      </c>
      <c r="AG185" s="23">
        <f t="shared" ref="AG185:AG188" si="366">Y125</f>
        <v>0.00817937219730942</v>
      </c>
      <c r="AH185" s="23">
        <v>2020</v>
      </c>
      <c r="AJ185" s="23" t="s">
        <v>206</v>
      </c>
      <c r="AK185" s="24" t="s">
        <v>217</v>
      </c>
      <c r="AL185" s="23">
        <f t="shared" ref="AL185:AL188" si="367">Z125</f>
        <v>0.00816906747536013</v>
      </c>
      <c r="AM185" s="23">
        <v>2020</v>
      </c>
      <c r="AO185" s="23" t="s">
        <v>202</v>
      </c>
      <c r="AP185" s="24" t="s">
        <v>217</v>
      </c>
      <c r="AQ185" s="23">
        <f t="shared" ref="AQ185:AQ188" si="368">AA125</f>
        <v>0.00826030206973706</v>
      </c>
      <c r="AR185" s="23">
        <v>2020</v>
      </c>
      <c r="AT185" s="23" t="s">
        <v>201</v>
      </c>
      <c r="AU185" s="24" t="s">
        <v>217</v>
      </c>
      <c r="AV185" s="23">
        <f t="shared" ref="AV185:AV188" si="369">AB125</f>
        <v>0.00686230248306997</v>
      </c>
      <c r="AW185" s="23">
        <v>2020</v>
      </c>
      <c r="AY185" s="23" t="s">
        <v>200</v>
      </c>
      <c r="AZ185" s="24" t="s">
        <v>217</v>
      </c>
      <c r="BA185" s="23">
        <f t="shared" ref="BA185:BA188" si="370">AC125</f>
        <v>0.00806508666430845</v>
      </c>
      <c r="BB185" s="23">
        <v>2020</v>
      </c>
    </row>
    <row r="186" ht="15.5" spans="21:54">
      <c r="U186" s="23" t="str">
        <f t="shared" ref="U186:U188" si="371">U185</f>
        <v>DirRecy-NMC111</v>
      </c>
      <c r="V186" s="24" t="s">
        <v>224</v>
      </c>
      <c r="W186" s="23">
        <f t="shared" si="364"/>
        <v>0.0319690079164561</v>
      </c>
      <c r="X186" s="23">
        <v>2020</v>
      </c>
      <c r="Z186" s="23" t="str">
        <f t="shared" ref="Z186:Z188" si="372">Z185</f>
        <v>DirRecy-NMC532</v>
      </c>
      <c r="AA186" s="24" t="s">
        <v>224</v>
      </c>
      <c r="AB186" s="23">
        <f t="shared" si="365"/>
        <v>0.0310692899914457</v>
      </c>
      <c r="AC186" s="23">
        <v>2020</v>
      </c>
      <c r="AE186" s="23" t="str">
        <f t="shared" ref="AE186:AE188" si="373">AE185</f>
        <v>DirRecy-NMC622</v>
      </c>
      <c r="AF186" s="24" t="s">
        <v>224</v>
      </c>
      <c r="AG186" s="23">
        <f t="shared" si="366"/>
        <v>0.0322331838565022</v>
      </c>
      <c r="AH186" s="23">
        <v>2020</v>
      </c>
      <c r="AJ186" s="23" t="str">
        <f t="shared" ref="AJ186:AJ188" si="374">AJ185</f>
        <v>DirRecy-NMC811</v>
      </c>
      <c r="AK186" s="24" t="s">
        <v>224</v>
      </c>
      <c r="AL186" s="23">
        <f t="shared" si="367"/>
        <v>0.0321645185746778</v>
      </c>
      <c r="AM186" s="23">
        <v>2020</v>
      </c>
      <c r="AO186" s="23" t="str">
        <f t="shared" ref="AO186:AO188" si="375">AO185</f>
        <v>DirRecy-NCA</v>
      </c>
      <c r="AP186" s="24" t="s">
        <v>224</v>
      </c>
      <c r="AQ186" s="23">
        <f t="shared" si="368"/>
        <v>0.0325750512772702</v>
      </c>
      <c r="AR186" s="23">
        <v>2020</v>
      </c>
      <c r="AT186" s="23" t="str">
        <f t="shared" ref="AT186:AT188" si="376">AT185</f>
        <v>DirRecy-LMO</v>
      </c>
      <c r="AU186" s="24" t="s">
        <v>224</v>
      </c>
      <c r="AV186" s="23">
        <f t="shared" si="369"/>
        <v>0.0270428893905192</v>
      </c>
      <c r="AW186" s="23">
        <v>2020</v>
      </c>
      <c r="AY186" s="23" t="str">
        <f t="shared" ref="AY186:AY188" si="377">AY185</f>
        <v>DirRecy-LFP</v>
      </c>
      <c r="AZ186" s="24" t="s">
        <v>224</v>
      </c>
      <c r="BA186" s="23">
        <f t="shared" si="370"/>
        <v>0.0317828086310577</v>
      </c>
      <c r="BB186" s="23">
        <v>2020</v>
      </c>
    </row>
    <row r="187" ht="15.5" spans="21:54">
      <c r="U187" s="23" t="str">
        <f t="shared" si="371"/>
        <v>DirRecy-NMC111</v>
      </c>
      <c r="V187" s="24" t="s">
        <v>225</v>
      </c>
      <c r="W187" s="23">
        <f t="shared" si="364"/>
        <v>0.0557183762843187</v>
      </c>
      <c r="X187" s="23">
        <v>2020</v>
      </c>
      <c r="Z187" s="23" t="str">
        <f t="shared" si="372"/>
        <v>DirRecy-NMC532</v>
      </c>
      <c r="AA187" s="24" t="s">
        <v>225</v>
      </c>
      <c r="AB187" s="23">
        <f t="shared" si="365"/>
        <v>0.055158254918734</v>
      </c>
      <c r="AC187" s="23">
        <v>2020</v>
      </c>
      <c r="AE187" s="23" t="str">
        <f t="shared" si="373"/>
        <v>DirRecy-NMC622</v>
      </c>
      <c r="AF187" s="24" t="s">
        <v>225</v>
      </c>
      <c r="AG187" s="23">
        <f t="shared" si="366"/>
        <v>0.0574887892376682</v>
      </c>
      <c r="AH187" s="23">
        <v>2020</v>
      </c>
      <c r="AJ187" s="23" t="str">
        <f t="shared" si="374"/>
        <v>DirRecy-NMC811</v>
      </c>
      <c r="AK187" s="24" t="s">
        <v>225</v>
      </c>
      <c r="AL187" s="23">
        <f t="shared" si="367"/>
        <v>0.0587755875663381</v>
      </c>
      <c r="AM187" s="23">
        <v>2020</v>
      </c>
      <c r="AO187" s="23" t="str">
        <f t="shared" si="375"/>
        <v>DirRecy-NCA</v>
      </c>
      <c r="AP187" s="24" t="s">
        <v>225</v>
      </c>
      <c r="AQ187" s="23">
        <f t="shared" si="368"/>
        <v>0.0587544284915159</v>
      </c>
      <c r="AR187" s="23">
        <v>2020</v>
      </c>
      <c r="AT187" s="23" t="str">
        <f t="shared" si="376"/>
        <v>DirRecy-LMO</v>
      </c>
      <c r="AU187" s="24" t="s">
        <v>225</v>
      </c>
      <c r="AV187" s="23">
        <f t="shared" si="369"/>
        <v>0.0482317531978932</v>
      </c>
      <c r="AW187" s="23">
        <v>2020</v>
      </c>
      <c r="AY187" s="23" t="str">
        <f t="shared" si="377"/>
        <v>DirRecy-LFP</v>
      </c>
      <c r="AZ187" s="24" t="s">
        <v>225</v>
      </c>
      <c r="BA187" s="23">
        <f t="shared" si="370"/>
        <v>0.0566855323664662</v>
      </c>
      <c r="BB187" s="23">
        <v>2020</v>
      </c>
    </row>
    <row r="188" ht="15.5" spans="21:54">
      <c r="U188" s="23" t="str">
        <f t="shared" si="371"/>
        <v>DirRecy-NMC111</v>
      </c>
      <c r="V188" s="24" t="s">
        <v>226</v>
      </c>
      <c r="W188" s="23">
        <f t="shared" si="364"/>
        <v>0.0130537308404918</v>
      </c>
      <c r="X188" s="23">
        <v>2020</v>
      </c>
      <c r="Z188" s="23" t="str">
        <f t="shared" si="372"/>
        <v>DirRecy-NMC532</v>
      </c>
      <c r="AA188" s="24" t="s">
        <v>226</v>
      </c>
      <c r="AB188" s="23">
        <f t="shared" si="365"/>
        <v>0.0129170230966638</v>
      </c>
      <c r="AC188" s="23">
        <v>2020</v>
      </c>
      <c r="AE188" s="23" t="str">
        <f t="shared" si="373"/>
        <v>DirRecy-NMC622</v>
      </c>
      <c r="AF188" s="24" t="s">
        <v>226</v>
      </c>
      <c r="AG188" s="23">
        <f t="shared" si="366"/>
        <v>0.0134529147982063</v>
      </c>
      <c r="AH188" s="23">
        <v>2020</v>
      </c>
      <c r="AJ188" s="23" t="str">
        <f t="shared" si="374"/>
        <v>DirRecy-NMC811</v>
      </c>
      <c r="AK188" s="24" t="s">
        <v>226</v>
      </c>
      <c r="AL188" s="23">
        <f t="shared" si="367"/>
        <v>0.0136846095526914</v>
      </c>
      <c r="AM188" s="23">
        <v>2020</v>
      </c>
      <c r="AO188" s="23" t="str">
        <f t="shared" si="375"/>
        <v>DirRecy-NCA</v>
      </c>
      <c r="AP188" s="24" t="s">
        <v>226</v>
      </c>
      <c r="AQ188" s="23">
        <f t="shared" si="368"/>
        <v>0.0137236621294052</v>
      </c>
      <c r="AR188" s="23">
        <v>2020</v>
      </c>
      <c r="AT188" s="23" t="str">
        <f t="shared" si="376"/>
        <v>DirRecy-LMO</v>
      </c>
      <c r="AU188" s="24" t="s">
        <v>226</v>
      </c>
      <c r="AV188" s="23">
        <f t="shared" si="369"/>
        <v>0.0112866817155756</v>
      </c>
      <c r="AW188" s="23">
        <v>2020</v>
      </c>
      <c r="AY188" s="23" t="str">
        <f t="shared" si="377"/>
        <v>DirRecy-LFP</v>
      </c>
      <c r="AZ188" s="24" t="s">
        <v>226</v>
      </c>
      <c r="BA188" s="23">
        <f t="shared" si="370"/>
        <v>0.01326494517156</v>
      </c>
      <c r="BB188" s="23">
        <v>2020</v>
      </c>
    </row>
    <row r="198" spans="21:54">
      <c r="V198" s="1" t="s">
        <v>215</v>
      </c>
      <c r="AA198" s="1" t="s">
        <v>215</v>
      </c>
      <c r="AF198" s="1" t="s">
        <v>215</v>
      </c>
      <c r="AK198" s="1" t="s">
        <v>215</v>
      </c>
      <c r="AP198" s="1" t="s">
        <v>215</v>
      </c>
      <c r="AU198" s="1" t="s">
        <v>215</v>
      </c>
      <c r="AZ198" s="1" t="s">
        <v>215</v>
      </c>
    </row>
    <row r="199" ht="15.5" spans="21:54">
      <c r="U199" s="1" t="s">
        <v>64</v>
      </c>
      <c r="V199" s="1" t="s">
        <v>95</v>
      </c>
      <c r="W199" s="1" t="s">
        <v>11</v>
      </c>
      <c r="X199" s="23" t="s">
        <v>41</v>
      </c>
      <c r="Z199" s="1" t="s">
        <v>64</v>
      </c>
      <c r="AA199" s="1" t="s">
        <v>95</v>
      </c>
      <c r="AB199" s="1" t="s">
        <v>11</v>
      </c>
      <c r="AC199" s="23" t="s">
        <v>41</v>
      </c>
      <c r="AE199" s="1" t="s">
        <v>64</v>
      </c>
      <c r="AF199" s="1" t="s">
        <v>95</v>
      </c>
      <c r="AG199" s="1" t="s">
        <v>11</v>
      </c>
      <c r="AH199" s="23" t="s">
        <v>41</v>
      </c>
      <c r="AJ199" s="1" t="s">
        <v>64</v>
      </c>
      <c r="AK199" s="1" t="s">
        <v>95</v>
      </c>
      <c r="AL199" s="1" t="s">
        <v>11</v>
      </c>
      <c r="AM199" s="23" t="s">
        <v>41</v>
      </c>
      <c r="AO199" s="1" t="s">
        <v>64</v>
      </c>
      <c r="AP199" s="1" t="s">
        <v>95</v>
      </c>
      <c r="AQ199" s="1" t="s">
        <v>11</v>
      </c>
      <c r="AR199" s="23" t="s">
        <v>41</v>
      </c>
      <c r="AT199" s="1" t="s">
        <v>64</v>
      </c>
      <c r="AU199" s="1" t="s">
        <v>95</v>
      </c>
      <c r="AV199" s="1" t="s">
        <v>11</v>
      </c>
      <c r="AW199" s="23" t="s">
        <v>41</v>
      </c>
      <c r="AY199" s="1" t="s">
        <v>64</v>
      </c>
      <c r="AZ199" s="1" t="s">
        <v>95</v>
      </c>
      <c r="BA199" s="1" t="s">
        <v>11</v>
      </c>
      <c r="BB199" s="23" t="s">
        <v>41</v>
      </c>
    </row>
    <row r="200" ht="15.5" spans="21:54">
      <c r="U200" s="1" t="s">
        <v>189</v>
      </c>
      <c r="V200" s="1" t="s">
        <v>217</v>
      </c>
      <c r="W200" s="1">
        <f>SUM(W162:W165)</f>
        <v>0.141182415361294</v>
      </c>
      <c r="X200" s="23" t="s">
        <v>248</v>
      </c>
      <c r="Z200" s="1" t="s">
        <v>190</v>
      </c>
      <c r="AA200" s="1" t="s">
        <v>217</v>
      </c>
      <c r="AB200" s="1">
        <f>SUM(AB162:AB165)</f>
        <v>0.136680923866553</v>
      </c>
      <c r="AC200" s="23" t="s">
        <v>248</v>
      </c>
      <c r="AE200" s="1" t="s">
        <v>191</v>
      </c>
      <c r="AF200" s="1" t="s">
        <v>217</v>
      </c>
      <c r="AG200" s="1">
        <f>SUM(AG162:AG165)</f>
        <v>0.141363228699552</v>
      </c>
      <c r="AH200" s="23" t="s">
        <v>248</v>
      </c>
      <c r="AJ200" s="1" t="s">
        <v>192</v>
      </c>
      <c r="AK200" s="1" t="s">
        <v>217</v>
      </c>
      <c r="AL200" s="1">
        <f>SUM(AL162:AL165)</f>
        <v>0.148483699772555</v>
      </c>
      <c r="AM200" s="23" t="s">
        <v>248</v>
      </c>
      <c r="AO200" s="1" t="s">
        <v>188</v>
      </c>
      <c r="AP200" s="1" t="s">
        <v>217</v>
      </c>
      <c r="AQ200" s="1">
        <f>SUM(AQ162:AQ165)</f>
        <v>0.153906395674063</v>
      </c>
      <c r="AR200" s="23" t="s">
        <v>248</v>
      </c>
      <c r="AT200" s="1" t="s">
        <v>187</v>
      </c>
      <c r="AU200" s="1" t="s">
        <v>217</v>
      </c>
      <c r="AV200" s="1">
        <f>SUM(AV162:AV165)</f>
        <v>0.118600451467269</v>
      </c>
      <c r="AW200" s="23" t="s">
        <v>248</v>
      </c>
      <c r="AY200" s="1" t="s">
        <v>186</v>
      </c>
      <c r="AZ200" s="1" t="s">
        <v>217</v>
      </c>
      <c r="BA200" s="1">
        <f>SUM(BA162:BA165)</f>
        <v>0.139388043862752</v>
      </c>
      <c r="BB200" s="23" t="s">
        <v>248</v>
      </c>
    </row>
    <row r="201" ht="15.5" spans="21:54">
      <c r="U201" s="1" t="s">
        <v>189</v>
      </c>
      <c r="V201" s="1" t="s">
        <v>224</v>
      </c>
      <c r="W201" s="1">
        <v>0</v>
      </c>
      <c r="X201" s="23" t="s">
        <v>248</v>
      </c>
      <c r="Z201" s="1" t="s">
        <v>190</v>
      </c>
      <c r="AA201" s="1" t="s">
        <v>224</v>
      </c>
      <c r="AB201" s="1">
        <v>0</v>
      </c>
      <c r="AC201" s="23" t="s">
        <v>248</v>
      </c>
      <c r="AE201" s="1" t="s">
        <v>191</v>
      </c>
      <c r="AF201" s="1" t="s">
        <v>224</v>
      </c>
      <c r="AG201" s="1">
        <v>0</v>
      </c>
      <c r="AH201" s="23" t="s">
        <v>248</v>
      </c>
      <c r="AJ201" s="1" t="s">
        <v>192</v>
      </c>
      <c r="AK201" s="1" t="s">
        <v>224</v>
      </c>
      <c r="AL201" s="1">
        <v>0</v>
      </c>
      <c r="AM201" s="23" t="s">
        <v>248</v>
      </c>
      <c r="AO201" s="1" t="s">
        <v>188</v>
      </c>
      <c r="AP201" s="1" t="s">
        <v>224</v>
      </c>
      <c r="AQ201" s="1">
        <v>0</v>
      </c>
      <c r="AR201" s="23" t="s">
        <v>248</v>
      </c>
      <c r="AT201" s="1" t="s">
        <v>187</v>
      </c>
      <c r="AU201" s="1" t="s">
        <v>224</v>
      </c>
      <c r="AV201" s="1">
        <v>0</v>
      </c>
      <c r="AW201" s="23" t="s">
        <v>248</v>
      </c>
      <c r="AY201" s="1" t="s">
        <v>186</v>
      </c>
      <c r="AZ201" s="1" t="s">
        <v>224</v>
      </c>
      <c r="BA201" s="1">
        <v>0</v>
      </c>
      <c r="BB201" s="23" t="s">
        <v>248</v>
      </c>
    </row>
    <row r="202" ht="15.5" spans="21:54">
      <c r="U202" s="1" t="s">
        <v>189</v>
      </c>
      <c r="V202" s="1" t="s">
        <v>225</v>
      </c>
      <c r="W202" s="1">
        <v>0</v>
      </c>
      <c r="X202" s="23" t="s">
        <v>248</v>
      </c>
      <c r="Z202" s="1" t="s">
        <v>190</v>
      </c>
      <c r="AA202" s="1" t="s">
        <v>225</v>
      </c>
      <c r="AB202" s="1">
        <v>0</v>
      </c>
      <c r="AC202" s="23" t="s">
        <v>248</v>
      </c>
      <c r="AE202" s="1" t="s">
        <v>191</v>
      </c>
      <c r="AF202" s="1" t="s">
        <v>225</v>
      </c>
      <c r="AG202" s="1">
        <v>0</v>
      </c>
      <c r="AH202" s="23" t="s">
        <v>248</v>
      </c>
      <c r="AJ202" s="1" t="s">
        <v>192</v>
      </c>
      <c r="AK202" s="1" t="s">
        <v>225</v>
      </c>
      <c r="AL202" s="1">
        <v>0</v>
      </c>
      <c r="AM202" s="23" t="s">
        <v>248</v>
      </c>
      <c r="AO202" s="1" t="s">
        <v>188</v>
      </c>
      <c r="AP202" s="1" t="s">
        <v>225</v>
      </c>
      <c r="AQ202" s="1">
        <v>0</v>
      </c>
      <c r="AR202" s="23" t="s">
        <v>248</v>
      </c>
      <c r="AT202" s="1" t="s">
        <v>187</v>
      </c>
      <c r="AU202" s="1" t="s">
        <v>225</v>
      </c>
      <c r="AV202" s="1">
        <v>0</v>
      </c>
      <c r="AW202" s="23" t="s">
        <v>248</v>
      </c>
      <c r="AY202" s="1" t="s">
        <v>186</v>
      </c>
      <c r="AZ202" s="1" t="s">
        <v>225</v>
      </c>
      <c r="BA202" s="1">
        <v>0</v>
      </c>
      <c r="BB202" s="23" t="s">
        <v>248</v>
      </c>
    </row>
    <row r="203" ht="15.5" spans="21:54">
      <c r="U203" s="1" t="s">
        <v>189</v>
      </c>
      <c r="V203" s="1" t="s">
        <v>226</v>
      </c>
      <c r="W203" s="1">
        <v>0</v>
      </c>
      <c r="X203" s="23" t="s">
        <v>248</v>
      </c>
      <c r="Z203" s="1" t="s">
        <v>190</v>
      </c>
      <c r="AA203" s="1" t="s">
        <v>226</v>
      </c>
      <c r="AB203" s="1">
        <v>0</v>
      </c>
      <c r="AC203" s="23" t="s">
        <v>248</v>
      </c>
      <c r="AE203" s="1" t="s">
        <v>191</v>
      </c>
      <c r="AF203" s="1" t="s">
        <v>226</v>
      </c>
      <c r="AG203" s="1">
        <v>0</v>
      </c>
      <c r="AH203" s="23" t="s">
        <v>248</v>
      </c>
      <c r="AJ203" s="1" t="s">
        <v>192</v>
      </c>
      <c r="AK203" s="1" t="s">
        <v>226</v>
      </c>
      <c r="AL203" s="1">
        <v>0</v>
      </c>
      <c r="AM203" s="23" t="s">
        <v>248</v>
      </c>
      <c r="AO203" s="1" t="s">
        <v>188</v>
      </c>
      <c r="AP203" s="1" t="s">
        <v>226</v>
      </c>
      <c r="AQ203" s="1">
        <v>0</v>
      </c>
      <c r="AR203" s="23" t="s">
        <v>248</v>
      </c>
      <c r="AT203" s="1" t="s">
        <v>187</v>
      </c>
      <c r="AU203" s="1" t="s">
        <v>226</v>
      </c>
      <c r="AV203" s="1">
        <v>0</v>
      </c>
      <c r="AW203" s="23" t="s">
        <v>248</v>
      </c>
      <c r="AY203" s="1" t="s">
        <v>186</v>
      </c>
      <c r="AZ203" s="1" t="s">
        <v>226</v>
      </c>
      <c r="BA203" s="1">
        <v>0</v>
      </c>
      <c r="BB203" s="23" t="s">
        <v>248</v>
      </c>
    </row>
    <row r="210" spans="21:54">
      <c r="V210" s="1" t="s">
        <v>215</v>
      </c>
      <c r="AA210" s="1" t="s">
        <v>215</v>
      </c>
      <c r="AF210" s="1" t="s">
        <v>215</v>
      </c>
      <c r="AK210" s="1" t="s">
        <v>215</v>
      </c>
      <c r="AP210" s="1" t="s">
        <v>215</v>
      </c>
      <c r="AU210" s="1" t="s">
        <v>215</v>
      </c>
      <c r="AZ210" s="1" t="s">
        <v>215</v>
      </c>
    </row>
    <row r="211" ht="15.5" spans="21:54">
      <c r="U211" s="1" t="s">
        <v>64</v>
      </c>
      <c r="V211" s="1" t="s">
        <v>95</v>
      </c>
      <c r="W211" s="1" t="s">
        <v>11</v>
      </c>
      <c r="X211" s="23" t="s">
        <v>41</v>
      </c>
      <c r="Z211" s="1" t="s">
        <v>64</v>
      </c>
      <c r="AA211" s="1" t="s">
        <v>95</v>
      </c>
      <c r="AB211" s="1" t="s">
        <v>11</v>
      </c>
      <c r="AC211" s="23" t="s">
        <v>41</v>
      </c>
      <c r="AE211" s="1" t="s">
        <v>64</v>
      </c>
      <c r="AF211" s="1" t="s">
        <v>95</v>
      </c>
      <c r="AG211" s="1" t="s">
        <v>11</v>
      </c>
      <c r="AH211" s="23" t="s">
        <v>41</v>
      </c>
      <c r="AJ211" s="1" t="s">
        <v>64</v>
      </c>
      <c r="AK211" s="1" t="s">
        <v>95</v>
      </c>
      <c r="AL211" s="1" t="s">
        <v>11</v>
      </c>
      <c r="AM211" s="23" t="s">
        <v>41</v>
      </c>
      <c r="AO211" s="1" t="s">
        <v>64</v>
      </c>
      <c r="AP211" s="1" t="s">
        <v>95</v>
      </c>
      <c r="AQ211" s="1" t="s">
        <v>11</v>
      </c>
      <c r="AR211" s="23" t="s">
        <v>41</v>
      </c>
      <c r="AT211" s="1" t="s">
        <v>64</v>
      </c>
      <c r="AU211" s="1" t="s">
        <v>95</v>
      </c>
      <c r="AV211" s="1" t="s">
        <v>11</v>
      </c>
      <c r="AW211" s="23" t="s">
        <v>41</v>
      </c>
      <c r="AY211" s="1" t="s">
        <v>64</v>
      </c>
      <c r="AZ211" s="1" t="s">
        <v>95</v>
      </c>
      <c r="BA211" s="1" t="s">
        <v>11</v>
      </c>
      <c r="BB211" s="23" t="s">
        <v>41</v>
      </c>
    </row>
    <row r="212" ht="15.5" spans="21:54">
      <c r="U212" s="1" t="s">
        <v>196</v>
      </c>
      <c r="V212" s="1" t="s">
        <v>217</v>
      </c>
      <c r="W212" s="1">
        <f>SUM(W174:W177)</f>
        <v>0.152669698500926</v>
      </c>
      <c r="X212" s="23" t="s">
        <v>248</v>
      </c>
      <c r="Z212" s="1" t="s">
        <v>197</v>
      </c>
      <c r="AA212" s="1" t="s">
        <v>217</v>
      </c>
      <c r="AB212" s="1">
        <f>SUM(AB174:AB177)</f>
        <v>0.147904191616766</v>
      </c>
      <c r="AC212" s="23" t="s">
        <v>248</v>
      </c>
      <c r="AE212" s="1" t="s">
        <v>198</v>
      </c>
      <c r="AF212" s="1" t="s">
        <v>217</v>
      </c>
      <c r="AG212" s="1">
        <f>SUM(AG174:AG177)</f>
        <v>0.153291479820628</v>
      </c>
      <c r="AH212" s="23" t="s">
        <v>248</v>
      </c>
      <c r="AJ212" s="1" t="s">
        <v>199</v>
      </c>
      <c r="AK212" s="1" t="s">
        <v>217</v>
      </c>
      <c r="AL212" s="1">
        <f>SUM(AL174:AL177)</f>
        <v>0.156406368460955</v>
      </c>
      <c r="AM212" s="23" t="s">
        <v>248</v>
      </c>
      <c r="AO212" s="1" t="s">
        <v>195</v>
      </c>
      <c r="AP212" s="1" t="s">
        <v>217</v>
      </c>
      <c r="AQ212" s="1">
        <f>SUM(AQ174:AQ177)</f>
        <v>0.161625955621853</v>
      </c>
      <c r="AR212" s="23" t="s">
        <v>248</v>
      </c>
      <c r="AT212" s="1" t="s">
        <v>194</v>
      </c>
      <c r="AU212" s="1" t="s">
        <v>217</v>
      </c>
      <c r="AV212" s="1">
        <f>SUM(AV174:AV177)</f>
        <v>0.128607975921746</v>
      </c>
      <c r="AW212" s="23" t="s">
        <v>248</v>
      </c>
      <c r="AY212" s="1" t="s">
        <v>193</v>
      </c>
      <c r="AZ212" s="1" t="s">
        <v>217</v>
      </c>
      <c r="BA212" s="1">
        <f>SUM(BA174:BA177)</f>
        <v>0.151149628581535</v>
      </c>
      <c r="BB212" s="23" t="s">
        <v>248</v>
      </c>
    </row>
    <row r="213" ht="15.5" spans="21:54">
      <c r="U213" s="1" t="s">
        <v>196</v>
      </c>
      <c r="V213" s="1" t="s">
        <v>224</v>
      </c>
      <c r="W213" s="1">
        <v>0</v>
      </c>
      <c r="X213" s="23" t="s">
        <v>248</v>
      </c>
      <c r="Z213" s="1" t="s">
        <v>197</v>
      </c>
      <c r="AA213" s="1" t="s">
        <v>224</v>
      </c>
      <c r="AB213" s="1">
        <v>0</v>
      </c>
      <c r="AC213" s="23" t="s">
        <v>248</v>
      </c>
      <c r="AE213" s="1" t="s">
        <v>198</v>
      </c>
      <c r="AF213" s="1" t="s">
        <v>224</v>
      </c>
      <c r="AG213" s="1">
        <v>0</v>
      </c>
      <c r="AH213" s="23" t="s">
        <v>248</v>
      </c>
      <c r="AJ213" s="1" t="s">
        <v>199</v>
      </c>
      <c r="AK213" s="1" t="s">
        <v>224</v>
      </c>
      <c r="AL213" s="1">
        <v>0</v>
      </c>
      <c r="AM213" s="23" t="s">
        <v>248</v>
      </c>
      <c r="AO213" s="1" t="s">
        <v>195</v>
      </c>
      <c r="AP213" s="1" t="s">
        <v>224</v>
      </c>
      <c r="AQ213" s="1">
        <v>0</v>
      </c>
      <c r="AR213" s="23" t="s">
        <v>248</v>
      </c>
      <c r="AT213" s="1" t="s">
        <v>194</v>
      </c>
      <c r="AU213" s="1" t="s">
        <v>224</v>
      </c>
      <c r="AV213" s="1">
        <v>0</v>
      </c>
      <c r="AW213" s="23" t="s">
        <v>248</v>
      </c>
      <c r="AY213" s="1" t="s">
        <v>193</v>
      </c>
      <c r="AZ213" s="1" t="s">
        <v>224</v>
      </c>
      <c r="BA213" s="1">
        <v>0</v>
      </c>
      <c r="BB213" s="23" t="s">
        <v>248</v>
      </c>
    </row>
    <row r="214" ht="15.5" spans="21:54">
      <c r="U214" s="1" t="s">
        <v>196</v>
      </c>
      <c r="V214" s="1" t="s">
        <v>225</v>
      </c>
      <c r="W214" s="1">
        <v>0</v>
      </c>
      <c r="X214" s="23" t="s">
        <v>248</v>
      </c>
      <c r="Z214" s="1" t="s">
        <v>197</v>
      </c>
      <c r="AA214" s="1" t="s">
        <v>225</v>
      </c>
      <c r="AB214" s="1">
        <v>0</v>
      </c>
      <c r="AC214" s="23" t="s">
        <v>248</v>
      </c>
      <c r="AE214" s="1" t="s">
        <v>198</v>
      </c>
      <c r="AF214" s="1" t="s">
        <v>225</v>
      </c>
      <c r="AG214" s="1">
        <v>0</v>
      </c>
      <c r="AH214" s="23" t="s">
        <v>248</v>
      </c>
      <c r="AJ214" s="1" t="s">
        <v>199</v>
      </c>
      <c r="AK214" s="1" t="s">
        <v>225</v>
      </c>
      <c r="AL214" s="1">
        <v>0</v>
      </c>
      <c r="AM214" s="23" t="s">
        <v>248</v>
      </c>
      <c r="AO214" s="1" t="s">
        <v>195</v>
      </c>
      <c r="AP214" s="1" t="s">
        <v>225</v>
      </c>
      <c r="AQ214" s="1">
        <v>0</v>
      </c>
      <c r="AR214" s="23" t="s">
        <v>248</v>
      </c>
      <c r="AT214" s="1" t="s">
        <v>194</v>
      </c>
      <c r="AU214" s="1" t="s">
        <v>225</v>
      </c>
      <c r="AV214" s="1">
        <v>0</v>
      </c>
      <c r="AW214" s="23" t="s">
        <v>248</v>
      </c>
      <c r="AY214" s="1" t="s">
        <v>193</v>
      </c>
      <c r="AZ214" s="1" t="s">
        <v>225</v>
      </c>
      <c r="BA214" s="1">
        <v>0</v>
      </c>
      <c r="BB214" s="23" t="s">
        <v>248</v>
      </c>
    </row>
    <row r="215" ht="15.5" spans="21:54">
      <c r="U215" s="1" t="s">
        <v>196</v>
      </c>
      <c r="V215" s="1" t="s">
        <v>226</v>
      </c>
      <c r="W215" s="1">
        <v>0</v>
      </c>
      <c r="X215" s="23" t="s">
        <v>248</v>
      </c>
      <c r="Z215" s="1" t="s">
        <v>197</v>
      </c>
      <c r="AA215" s="1" t="s">
        <v>226</v>
      </c>
      <c r="AB215" s="1">
        <v>0</v>
      </c>
      <c r="AC215" s="23" t="s">
        <v>248</v>
      </c>
      <c r="AE215" s="1" t="s">
        <v>198</v>
      </c>
      <c r="AF215" s="1" t="s">
        <v>226</v>
      </c>
      <c r="AG215" s="1">
        <v>0</v>
      </c>
      <c r="AH215" s="23" t="s">
        <v>248</v>
      </c>
      <c r="AJ215" s="1" t="s">
        <v>199</v>
      </c>
      <c r="AK215" s="1" t="s">
        <v>226</v>
      </c>
      <c r="AL215" s="1">
        <v>0</v>
      </c>
      <c r="AM215" s="23" t="s">
        <v>248</v>
      </c>
      <c r="AO215" s="1" t="s">
        <v>195</v>
      </c>
      <c r="AP215" s="1" t="s">
        <v>226</v>
      </c>
      <c r="AQ215" s="1">
        <v>0</v>
      </c>
      <c r="AR215" s="23" t="s">
        <v>248</v>
      </c>
      <c r="AT215" s="1" t="s">
        <v>194</v>
      </c>
      <c r="AU215" s="1" t="s">
        <v>226</v>
      </c>
      <c r="AV215" s="1">
        <v>0</v>
      </c>
      <c r="AW215" s="23" t="s">
        <v>248</v>
      </c>
      <c r="AY215" s="1" t="s">
        <v>193</v>
      </c>
      <c r="AZ215" s="1" t="s">
        <v>226</v>
      </c>
      <c r="BA215" s="1">
        <v>0</v>
      </c>
      <c r="BB215" s="23" t="s">
        <v>248</v>
      </c>
    </row>
    <row r="221" spans="21:54">
      <c r="V221" s="1" t="s">
        <v>215</v>
      </c>
      <c r="AA221" s="1" t="s">
        <v>215</v>
      </c>
      <c r="AF221" s="1" t="s">
        <v>215</v>
      </c>
      <c r="AK221" s="1" t="s">
        <v>215</v>
      </c>
      <c r="AP221" s="1" t="s">
        <v>215</v>
      </c>
      <c r="AU221" s="1" t="s">
        <v>215</v>
      </c>
      <c r="AZ221" s="1" t="s">
        <v>215</v>
      </c>
    </row>
    <row r="222" ht="15.5" spans="21:54">
      <c r="U222" s="1" t="s">
        <v>64</v>
      </c>
      <c r="V222" s="1" t="s">
        <v>95</v>
      </c>
      <c r="W222" s="1" t="s">
        <v>11</v>
      </c>
      <c r="X222" s="23" t="s">
        <v>41</v>
      </c>
      <c r="Z222" s="1" t="s">
        <v>64</v>
      </c>
      <c r="AA222" s="1" t="s">
        <v>95</v>
      </c>
      <c r="AB222" s="1" t="s">
        <v>11</v>
      </c>
      <c r="AC222" s="23" t="s">
        <v>41</v>
      </c>
      <c r="AE222" s="1" t="s">
        <v>64</v>
      </c>
      <c r="AF222" s="1" t="s">
        <v>95</v>
      </c>
      <c r="AG222" s="1" t="s">
        <v>11</v>
      </c>
      <c r="AH222" s="23" t="s">
        <v>41</v>
      </c>
      <c r="AJ222" s="1" t="s">
        <v>64</v>
      </c>
      <c r="AK222" s="1" t="s">
        <v>95</v>
      </c>
      <c r="AL222" s="1" t="s">
        <v>11</v>
      </c>
      <c r="AM222" s="23" t="s">
        <v>41</v>
      </c>
      <c r="AO222" s="1" t="s">
        <v>64</v>
      </c>
      <c r="AP222" s="1" t="s">
        <v>95</v>
      </c>
      <c r="AQ222" s="1" t="s">
        <v>11</v>
      </c>
      <c r="AR222" s="23" t="s">
        <v>41</v>
      </c>
      <c r="AT222" s="1" t="s">
        <v>64</v>
      </c>
      <c r="AU222" s="1" t="s">
        <v>95</v>
      </c>
      <c r="AV222" s="1" t="s">
        <v>11</v>
      </c>
      <c r="AW222" s="23" t="s">
        <v>41</v>
      </c>
      <c r="AY222" s="1" t="s">
        <v>64</v>
      </c>
      <c r="AZ222" s="1" t="s">
        <v>95</v>
      </c>
      <c r="BA222" s="1" t="s">
        <v>11</v>
      </c>
      <c r="BB222" s="23" t="s">
        <v>41</v>
      </c>
    </row>
    <row r="223" ht="15.5" spans="21:54">
      <c r="U223" s="1" t="s">
        <v>203</v>
      </c>
      <c r="V223" s="1" t="s">
        <v>217</v>
      </c>
      <c r="W223" s="1">
        <f>SUM(W185:W188)</f>
        <v>0.108842849924204</v>
      </c>
      <c r="X223" s="23" t="s">
        <v>248</v>
      </c>
      <c r="Z223" s="1" t="s">
        <v>204</v>
      </c>
      <c r="AA223" s="1" t="s">
        <v>217</v>
      </c>
      <c r="AB223" s="1">
        <f>SUM(AB185:AB188)</f>
        <v>0.107014542343884</v>
      </c>
      <c r="AC223" s="23" t="s">
        <v>248</v>
      </c>
      <c r="AE223" s="1" t="s">
        <v>205</v>
      </c>
      <c r="AF223" s="1" t="s">
        <v>217</v>
      </c>
      <c r="AG223" s="1">
        <f>SUM(AG185:AG188)</f>
        <v>0.111354260089686</v>
      </c>
      <c r="AH223" s="23" t="s">
        <v>248</v>
      </c>
      <c r="AJ223" s="1" t="s">
        <v>206</v>
      </c>
      <c r="AK223" s="1" t="s">
        <v>217</v>
      </c>
      <c r="AL223" s="1">
        <f>SUM(AL185:AL188)</f>
        <v>0.112793783169067</v>
      </c>
      <c r="AM223" s="23" t="s">
        <v>248</v>
      </c>
      <c r="AO223" s="1" t="s">
        <v>202</v>
      </c>
      <c r="AP223" s="1" t="s">
        <v>217</v>
      </c>
      <c r="AQ223" s="1">
        <f>SUM(AQ185:AQ188)</f>
        <v>0.113313443967928</v>
      </c>
      <c r="AR223" s="23" t="s">
        <v>248</v>
      </c>
      <c r="AT223" s="1" t="s">
        <v>201</v>
      </c>
      <c r="AU223" s="1" t="s">
        <v>217</v>
      </c>
      <c r="AV223" s="1">
        <f>SUM(AV185:AV188)</f>
        <v>0.093423626787058</v>
      </c>
      <c r="AW223" s="23" t="s">
        <v>248</v>
      </c>
      <c r="AY223" s="1" t="s">
        <v>200</v>
      </c>
      <c r="AZ223" s="1" t="s">
        <v>217</v>
      </c>
      <c r="BA223" s="1">
        <f>SUM(BA185:BA188)</f>
        <v>0.109798372833392</v>
      </c>
      <c r="BB223" s="23" t="s">
        <v>248</v>
      </c>
    </row>
    <row r="224" ht="15.5" spans="21:54">
      <c r="U224" s="1" t="s">
        <v>203</v>
      </c>
      <c r="V224" s="1" t="s">
        <v>224</v>
      </c>
      <c r="W224" s="1">
        <v>0</v>
      </c>
      <c r="X224" s="23" t="s">
        <v>248</v>
      </c>
      <c r="Z224" s="1" t="s">
        <v>204</v>
      </c>
      <c r="AA224" s="1" t="s">
        <v>224</v>
      </c>
      <c r="AB224" s="1">
        <v>0</v>
      </c>
      <c r="AC224" s="23" t="s">
        <v>248</v>
      </c>
      <c r="AE224" s="1" t="s">
        <v>205</v>
      </c>
      <c r="AF224" s="1" t="s">
        <v>224</v>
      </c>
      <c r="AG224" s="1">
        <v>0</v>
      </c>
      <c r="AH224" s="23" t="s">
        <v>248</v>
      </c>
      <c r="AJ224" s="1" t="s">
        <v>206</v>
      </c>
      <c r="AK224" s="1" t="s">
        <v>224</v>
      </c>
      <c r="AL224" s="1">
        <v>0</v>
      </c>
      <c r="AM224" s="23" t="s">
        <v>248</v>
      </c>
      <c r="AO224" s="1" t="s">
        <v>202</v>
      </c>
      <c r="AP224" s="1" t="s">
        <v>224</v>
      </c>
      <c r="AQ224" s="1">
        <v>0</v>
      </c>
      <c r="AR224" s="23" t="s">
        <v>248</v>
      </c>
      <c r="AT224" s="1" t="s">
        <v>201</v>
      </c>
      <c r="AU224" s="1" t="s">
        <v>224</v>
      </c>
      <c r="AV224" s="1">
        <v>0</v>
      </c>
      <c r="AW224" s="23" t="s">
        <v>248</v>
      </c>
      <c r="AY224" s="1" t="s">
        <v>200</v>
      </c>
      <c r="AZ224" s="1" t="s">
        <v>224</v>
      </c>
      <c r="BA224" s="1">
        <v>0</v>
      </c>
      <c r="BB224" s="23" t="s">
        <v>248</v>
      </c>
    </row>
    <row r="225" ht="15.5" spans="21:54">
      <c r="U225" s="1" t="s">
        <v>203</v>
      </c>
      <c r="V225" s="1" t="s">
        <v>225</v>
      </c>
      <c r="W225" s="1">
        <v>0</v>
      </c>
      <c r="X225" s="23" t="s">
        <v>248</v>
      </c>
      <c r="Z225" s="1" t="s">
        <v>204</v>
      </c>
      <c r="AA225" s="1" t="s">
        <v>225</v>
      </c>
      <c r="AB225" s="1">
        <v>0</v>
      </c>
      <c r="AC225" s="23" t="s">
        <v>248</v>
      </c>
      <c r="AE225" s="1" t="s">
        <v>205</v>
      </c>
      <c r="AF225" s="1" t="s">
        <v>225</v>
      </c>
      <c r="AG225" s="1">
        <v>0</v>
      </c>
      <c r="AH225" s="23" t="s">
        <v>248</v>
      </c>
      <c r="AJ225" s="1" t="s">
        <v>206</v>
      </c>
      <c r="AK225" s="1" t="s">
        <v>225</v>
      </c>
      <c r="AL225" s="1">
        <v>0</v>
      </c>
      <c r="AM225" s="23" t="s">
        <v>248</v>
      </c>
      <c r="AO225" s="1" t="s">
        <v>202</v>
      </c>
      <c r="AP225" s="1" t="s">
        <v>225</v>
      </c>
      <c r="AQ225" s="1">
        <v>0</v>
      </c>
      <c r="AR225" s="23" t="s">
        <v>248</v>
      </c>
      <c r="AT225" s="1" t="s">
        <v>201</v>
      </c>
      <c r="AU225" s="1" t="s">
        <v>225</v>
      </c>
      <c r="AV225" s="1">
        <v>0</v>
      </c>
      <c r="AW225" s="23" t="s">
        <v>248</v>
      </c>
      <c r="AY225" s="1" t="s">
        <v>200</v>
      </c>
      <c r="AZ225" s="1" t="s">
        <v>225</v>
      </c>
      <c r="BA225" s="1">
        <v>0</v>
      </c>
      <c r="BB225" s="23" t="s">
        <v>248</v>
      </c>
    </row>
    <row r="226" ht="15.5" spans="21:54">
      <c r="U226" s="1" t="s">
        <v>203</v>
      </c>
      <c r="V226" s="1" t="s">
        <v>226</v>
      </c>
      <c r="W226" s="1">
        <v>0</v>
      </c>
      <c r="X226" s="23" t="s">
        <v>248</v>
      </c>
      <c r="Z226" s="1" t="s">
        <v>204</v>
      </c>
      <c r="AA226" s="1" t="s">
        <v>226</v>
      </c>
      <c r="AB226" s="1">
        <v>0</v>
      </c>
      <c r="AC226" s="23" t="s">
        <v>248</v>
      </c>
      <c r="AE226" s="1" t="s">
        <v>205</v>
      </c>
      <c r="AF226" s="1" t="s">
        <v>226</v>
      </c>
      <c r="AG226" s="1">
        <v>0</v>
      </c>
      <c r="AH226" s="23" t="s">
        <v>248</v>
      </c>
      <c r="AJ226" s="1" t="s">
        <v>206</v>
      </c>
      <c r="AK226" s="1" t="s">
        <v>226</v>
      </c>
      <c r="AL226" s="1">
        <v>0</v>
      </c>
      <c r="AM226" s="23" t="s">
        <v>248</v>
      </c>
      <c r="AO226" s="1" t="s">
        <v>202</v>
      </c>
      <c r="AP226" s="1" t="s">
        <v>226</v>
      </c>
      <c r="AQ226" s="1">
        <v>0</v>
      </c>
      <c r="AR226" s="23" t="s">
        <v>248</v>
      </c>
      <c r="AT226" s="1" t="s">
        <v>201</v>
      </c>
      <c r="AU226" s="1" t="s">
        <v>226</v>
      </c>
      <c r="AV226" s="1">
        <v>0</v>
      </c>
      <c r="AW226" s="23" t="s">
        <v>248</v>
      </c>
      <c r="AY226" s="1" t="s">
        <v>200</v>
      </c>
      <c r="AZ226" s="1" t="s">
        <v>226</v>
      </c>
      <c r="BA226" s="1">
        <v>0</v>
      </c>
      <c r="BB226" s="23" t="s">
        <v>248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J422"/>
  <sheetViews>
    <sheetView zoomScale="86" zoomScaleNormal="86" topLeftCell="BP1" workbookViewId="0">
      <selection activeCell="CF21" sqref="CF21"/>
    </sheetView>
  </sheetViews>
  <sheetFormatPr defaultColWidth="8.72727272727273" defaultRowHeight="12.5"/>
  <sheetData>
    <row r="1" spans="1:88">
      <c r="A1" t="s">
        <v>267</v>
      </c>
      <c r="AH1" t="s">
        <v>268</v>
      </c>
      <c r="BK1" t="s">
        <v>269</v>
      </c>
    </row>
    <row r="2" spans="1:88">
      <c r="A2" t="s">
        <v>1</v>
      </c>
      <c r="B2" t="s">
        <v>119</v>
      </c>
      <c r="C2" t="s">
        <v>4</v>
      </c>
      <c r="D2">
        <v>2019</v>
      </c>
      <c r="E2">
        <v>2020</v>
      </c>
      <c r="F2">
        <v>2025</v>
      </c>
      <c r="G2">
        <v>2030</v>
      </c>
      <c r="H2">
        <v>2035</v>
      </c>
      <c r="I2">
        <v>2040</v>
      </c>
      <c r="J2">
        <v>2045</v>
      </c>
      <c r="K2">
        <v>2050</v>
      </c>
      <c r="L2">
        <v>2055</v>
      </c>
      <c r="M2">
        <v>2060</v>
      </c>
      <c r="N2">
        <v>2065</v>
      </c>
      <c r="O2">
        <v>2070</v>
      </c>
      <c r="P2">
        <v>2075</v>
      </c>
      <c r="Q2">
        <v>2080</v>
      </c>
      <c r="R2">
        <v>2085</v>
      </c>
      <c r="S2">
        <v>2090</v>
      </c>
      <c r="T2">
        <v>2095</v>
      </c>
      <c r="U2">
        <v>2100</v>
      </c>
      <c r="V2">
        <v>0</v>
      </c>
      <c r="AG2" t="s">
        <v>270</v>
      </c>
      <c r="BJ2" t="s">
        <v>270</v>
      </c>
    </row>
    <row r="3" spans="1:88">
      <c r="A3" t="s">
        <v>3</v>
      </c>
      <c r="B3" t="s">
        <v>271</v>
      </c>
      <c r="C3" t="s">
        <v>271</v>
      </c>
      <c r="D3">
        <v>28.9046665548</v>
      </c>
      <c r="E3">
        <v>29.5822608017472</v>
      </c>
      <c r="F3">
        <v>36.272132698295</v>
      </c>
      <c r="G3">
        <v>44.9777983174325</v>
      </c>
      <c r="H3">
        <v>55.791012212395</v>
      </c>
      <c r="I3">
        <v>68.607857588178</v>
      </c>
      <c r="J3">
        <v>83.5682177550954</v>
      </c>
      <c r="K3">
        <v>100.826417530864</v>
      </c>
      <c r="L3">
        <v>120.507615414457</v>
      </c>
      <c r="M3">
        <v>142.473849844492</v>
      </c>
      <c r="N3">
        <v>166.292282926467</v>
      </c>
      <c r="O3">
        <v>190.96839134218</v>
      </c>
      <c r="P3">
        <v>216.475159724443</v>
      </c>
      <c r="Q3">
        <v>242.585266372413</v>
      </c>
      <c r="R3">
        <v>269.190086758573</v>
      </c>
      <c r="S3">
        <v>296.347989912768</v>
      </c>
      <c r="T3">
        <v>323.958213052398</v>
      </c>
      <c r="U3">
        <v>351.686977387771</v>
      </c>
      <c r="V3">
        <v>5</v>
      </c>
      <c r="AF3" s="99" t="s">
        <v>272</v>
      </c>
      <c r="AH3">
        <v>1</v>
      </c>
      <c r="AI3">
        <v>1.02349969875313</v>
      </c>
      <c r="AJ3">
        <v>1.25839625558148</v>
      </c>
      <c r="AK3">
        <v>1.56875019961733</v>
      </c>
      <c r="AL3">
        <v>1.96121257678312</v>
      </c>
      <c r="AM3">
        <v>2.43608377440658</v>
      </c>
      <c r="AN3">
        <v>3.00325350238505</v>
      </c>
      <c r="AO3">
        <v>3.67420479014643</v>
      </c>
      <c r="AP3">
        <v>4.460440572303</v>
      </c>
      <c r="AQ3">
        <v>5.36383284096653</v>
      </c>
      <c r="AR3">
        <v>6.37421321365854</v>
      </c>
      <c r="AS3">
        <v>7.45520677550761</v>
      </c>
      <c r="AT3">
        <v>8.60970837366772</v>
      </c>
      <c r="AU3">
        <v>9.8314238983634</v>
      </c>
      <c r="AV3">
        <v>11.1188654370631</v>
      </c>
      <c r="AW3">
        <v>12.4785673189264</v>
      </c>
      <c r="AX3">
        <v>13.9094673309328</v>
      </c>
      <c r="AY3">
        <v>15.3976698448309</v>
      </c>
      <c r="AZ3">
        <v>0</v>
      </c>
      <c r="BA3">
        <v>0</v>
      </c>
      <c r="BB3">
        <v>0</v>
      </c>
      <c r="BC3">
        <v>0</v>
      </c>
      <c r="BD3">
        <v>0</v>
      </c>
      <c r="BE3">
        <v>0</v>
      </c>
      <c r="BF3">
        <v>0</v>
      </c>
      <c r="BG3">
        <v>0</v>
      </c>
      <c r="BI3" t="s">
        <v>273</v>
      </c>
      <c r="BK3">
        <v>1</v>
      </c>
      <c r="BL3">
        <v>0.997560975609757</v>
      </c>
      <c r="BM3">
        <v>0.985365853658537</v>
      </c>
      <c r="BN3">
        <v>0.973170731707317</v>
      </c>
      <c r="BO3">
        <v>0.960975609756098</v>
      </c>
      <c r="BP3">
        <v>0.948780487804878</v>
      </c>
      <c r="BQ3">
        <v>0.936585365853658</v>
      </c>
      <c r="BR3">
        <v>0.924390243902439</v>
      </c>
      <c r="BS3">
        <v>0.91219512195122</v>
      </c>
      <c r="BT3">
        <v>0.9</v>
      </c>
      <c r="BU3">
        <v>0.8875</v>
      </c>
      <c r="BV3">
        <v>0.875000000000001</v>
      </c>
      <c r="BW3">
        <v>0.862500000000001</v>
      </c>
      <c r="BX3">
        <v>0.850000000000001</v>
      </c>
      <c r="BY3">
        <v>0.8375</v>
      </c>
      <c r="BZ3">
        <v>0.825000000000001</v>
      </c>
      <c r="CA3">
        <v>0.812500000000001</v>
      </c>
      <c r="CB3">
        <v>0.800000000000001</v>
      </c>
      <c r="CC3" t="e">
        <v>#VALUE!</v>
      </c>
      <c r="CD3" t="e">
        <v>#VALUE!</v>
      </c>
      <c r="CE3" t="e">
        <v>#VALUE!</v>
      </c>
      <c r="CF3" t="e">
        <v>#VALUE!</v>
      </c>
      <c r="CG3" t="e">
        <v>#VALUE!</v>
      </c>
      <c r="CH3" t="e">
        <v>#VALUE!</v>
      </c>
      <c r="CI3" t="e">
        <v>#VALUE!</v>
      </c>
      <c r="CJ3" t="e">
        <v>#VALUE!</v>
      </c>
    </row>
    <row r="4" spans="1:88">
      <c r="A4" t="s">
        <v>3</v>
      </c>
      <c r="B4" t="s">
        <v>274</v>
      </c>
      <c r="C4" t="s">
        <v>274</v>
      </c>
      <c r="D4">
        <v>99.1230300972</v>
      </c>
      <c r="E4">
        <v>101.446710074843</v>
      </c>
      <c r="F4">
        <v>124.388347270024</v>
      </c>
      <c r="G4">
        <v>154.242763806742</v>
      </c>
      <c r="H4">
        <v>191.324614390479</v>
      </c>
      <c r="I4">
        <v>235.277536231881</v>
      </c>
      <c r="J4">
        <v>286.581232411142</v>
      </c>
      <c r="K4">
        <v>345.764930398236</v>
      </c>
      <c r="L4">
        <v>413.257837346869</v>
      </c>
      <c r="M4">
        <v>488.586840447545</v>
      </c>
      <c r="N4">
        <v>570.267604858946</v>
      </c>
      <c r="O4">
        <v>654.889602920581</v>
      </c>
      <c r="P4">
        <v>742.360190593475</v>
      </c>
      <c r="Q4">
        <v>831.899811547102</v>
      </c>
      <c r="R4">
        <v>923.135958723139</v>
      </c>
      <c r="S4">
        <v>1016.26879755476</v>
      </c>
      <c r="T4">
        <v>1110.95278133542</v>
      </c>
      <c r="U4">
        <v>1206.04327949296</v>
      </c>
      <c r="V4">
        <v>5</v>
      </c>
      <c r="AF4" s="99" t="s">
        <v>272</v>
      </c>
      <c r="AH4">
        <v>1</v>
      </c>
      <c r="AI4">
        <v>1.02349969875313</v>
      </c>
      <c r="AJ4">
        <v>1.25839625558148</v>
      </c>
      <c r="AK4">
        <v>1.56875019961733</v>
      </c>
      <c r="AL4">
        <v>1.96121257678312</v>
      </c>
      <c r="AM4">
        <v>2.43608377440658</v>
      </c>
      <c r="AN4">
        <v>3.00325350238505</v>
      </c>
      <c r="AO4">
        <v>3.67420479014643</v>
      </c>
      <c r="AP4">
        <v>4.460440572303</v>
      </c>
      <c r="AQ4">
        <v>5.36383284096653</v>
      </c>
      <c r="AR4">
        <v>6.37421321365854</v>
      </c>
      <c r="AS4">
        <v>7.45520677550761</v>
      </c>
      <c r="AT4">
        <v>8.60970837366772</v>
      </c>
      <c r="AU4">
        <v>9.8314238983634</v>
      </c>
      <c r="AV4">
        <v>11.1188654370631</v>
      </c>
      <c r="AW4">
        <v>12.4785673189264</v>
      </c>
      <c r="AX4">
        <v>13.9094673309328</v>
      </c>
      <c r="AY4">
        <v>15.3976698448309</v>
      </c>
      <c r="AZ4">
        <v>0</v>
      </c>
      <c r="BA4">
        <v>0</v>
      </c>
      <c r="BB4">
        <v>0</v>
      </c>
      <c r="BC4">
        <v>0</v>
      </c>
      <c r="BD4">
        <v>0</v>
      </c>
      <c r="BE4">
        <v>0</v>
      </c>
      <c r="BF4">
        <v>0</v>
      </c>
      <c r="BG4">
        <v>0</v>
      </c>
      <c r="BI4" t="s">
        <v>273</v>
      </c>
      <c r="BK4">
        <v>1</v>
      </c>
      <c r="BL4">
        <v>0.997560975609757</v>
      </c>
      <c r="BM4">
        <v>0.985365853658537</v>
      </c>
      <c r="BN4">
        <v>0.973170731707317</v>
      </c>
      <c r="BO4">
        <v>0.960975609756098</v>
      </c>
      <c r="BP4">
        <v>0.948780487804878</v>
      </c>
      <c r="BQ4">
        <v>0.936585365853658</v>
      </c>
      <c r="BR4">
        <v>0.924390243902439</v>
      </c>
      <c r="BS4">
        <v>0.91219512195122</v>
      </c>
      <c r="BT4">
        <v>0.9</v>
      </c>
      <c r="BU4">
        <v>0.8875</v>
      </c>
      <c r="BV4">
        <v>0.875000000000001</v>
      </c>
      <c r="BW4">
        <v>0.862500000000001</v>
      </c>
      <c r="BX4">
        <v>0.850000000000001</v>
      </c>
      <c r="BY4">
        <v>0.8375</v>
      </c>
      <c r="BZ4">
        <v>0.825000000000001</v>
      </c>
      <c r="CA4">
        <v>0.812500000000001</v>
      </c>
      <c r="CB4">
        <v>0.800000000000001</v>
      </c>
      <c r="CC4" t="e">
        <v>#VALUE!</v>
      </c>
      <c r="CD4" t="e">
        <v>#VALUE!</v>
      </c>
      <c r="CE4" t="e">
        <v>#VALUE!</v>
      </c>
      <c r="CF4" t="e">
        <v>#VALUE!</v>
      </c>
      <c r="CG4" t="e">
        <v>#VALUE!</v>
      </c>
      <c r="CH4" t="e">
        <v>#VALUE!</v>
      </c>
      <c r="CI4" t="e">
        <v>#VALUE!</v>
      </c>
      <c r="CJ4" t="e">
        <v>#VALUE!</v>
      </c>
    </row>
    <row r="5" spans="1:88">
      <c r="A5" t="s">
        <v>3</v>
      </c>
      <c r="B5" t="s">
        <v>275</v>
      </c>
      <c r="C5" t="s">
        <v>275</v>
      </c>
      <c r="D5">
        <v>7.17129799668</v>
      </c>
      <c r="E5">
        <v>7.339410306728</v>
      </c>
      <c r="F5">
        <v>8.99917914851011</v>
      </c>
      <c r="G5">
        <v>11.159069915488</v>
      </c>
      <c r="H5">
        <v>13.841847071751</v>
      </c>
      <c r="I5">
        <v>17.0217286798939</v>
      </c>
      <c r="J5">
        <v>20.7334200322651</v>
      </c>
      <c r="K5">
        <v>25.0152093842934</v>
      </c>
      <c r="L5">
        <v>29.8981487770482</v>
      </c>
      <c r="M5">
        <v>35.3480097074299</v>
      </c>
      <c r="N5">
        <v>41.257404341718</v>
      </c>
      <c r="O5">
        <v>47.3795897165939</v>
      </c>
      <c r="P5">
        <v>53.7078632725167</v>
      </c>
      <c r="Q5">
        <v>60.1858261005151</v>
      </c>
      <c r="R5">
        <v>66.786528266568</v>
      </c>
      <c r="S5">
        <v>73.5244512284006</v>
      </c>
      <c r="T5">
        <v>80.3745955645662</v>
      </c>
      <c r="U5">
        <v>87.2541501773716</v>
      </c>
      <c r="V5">
        <v>5</v>
      </c>
      <c r="AF5" s="99" t="s">
        <v>272</v>
      </c>
      <c r="AH5">
        <v>1</v>
      </c>
      <c r="AI5">
        <v>1.02349969875313</v>
      </c>
      <c r="AJ5">
        <v>1.25839625558148</v>
      </c>
      <c r="AK5">
        <v>1.56875019961733</v>
      </c>
      <c r="AL5">
        <v>1.96121257678312</v>
      </c>
      <c r="AM5">
        <v>2.43608377440658</v>
      </c>
      <c r="AN5">
        <v>3.00325350238505</v>
      </c>
      <c r="AO5">
        <v>3.67420479014643</v>
      </c>
      <c r="AP5">
        <v>4.460440572303</v>
      </c>
      <c r="AQ5">
        <v>5.36383284096653</v>
      </c>
      <c r="AR5">
        <v>6.37421321365854</v>
      </c>
      <c r="AS5">
        <v>7.45520677550761</v>
      </c>
      <c r="AT5">
        <v>8.60970837366772</v>
      </c>
      <c r="AU5">
        <v>9.8314238983634</v>
      </c>
      <c r="AV5">
        <v>11.1188654370631</v>
      </c>
      <c r="AW5">
        <v>12.4785673189264</v>
      </c>
      <c r="AX5">
        <v>13.9094673309328</v>
      </c>
      <c r="AY5">
        <v>15.3976698448309</v>
      </c>
      <c r="AZ5">
        <v>0</v>
      </c>
      <c r="BA5">
        <v>0</v>
      </c>
      <c r="BB5">
        <v>0</v>
      </c>
      <c r="BC5">
        <v>0</v>
      </c>
      <c r="BD5">
        <v>0</v>
      </c>
      <c r="BE5">
        <v>0</v>
      </c>
      <c r="BF5">
        <v>0</v>
      </c>
      <c r="BG5">
        <v>0</v>
      </c>
      <c r="BI5" t="s">
        <v>273</v>
      </c>
      <c r="BK5">
        <v>1</v>
      </c>
      <c r="BL5">
        <v>0.997560975609757</v>
      </c>
      <c r="BM5">
        <v>0.985365853658537</v>
      </c>
      <c r="BN5">
        <v>0.973170731707317</v>
      </c>
      <c r="BO5">
        <v>0.960975609756098</v>
      </c>
      <c r="BP5">
        <v>0.948780487804878</v>
      </c>
      <c r="BQ5">
        <v>0.936585365853658</v>
      </c>
      <c r="BR5">
        <v>0.924390243902439</v>
      </c>
      <c r="BS5">
        <v>0.91219512195122</v>
      </c>
      <c r="BT5">
        <v>0.9</v>
      </c>
      <c r="BU5">
        <v>0.8875</v>
      </c>
      <c r="BV5">
        <v>0.875000000000001</v>
      </c>
      <c r="BW5">
        <v>0.862500000000001</v>
      </c>
      <c r="BX5">
        <v>0.850000000000001</v>
      </c>
      <c r="BY5">
        <v>0.8375</v>
      </c>
      <c r="BZ5">
        <v>0.825000000000001</v>
      </c>
      <c r="CA5">
        <v>0.812500000000001</v>
      </c>
      <c r="CB5">
        <v>0.800000000000001</v>
      </c>
      <c r="CC5" t="e">
        <v>#VALUE!</v>
      </c>
      <c r="CD5" t="e">
        <v>#VALUE!</v>
      </c>
      <c r="CE5" t="e">
        <v>#VALUE!</v>
      </c>
      <c r="CF5" t="e">
        <v>#VALUE!</v>
      </c>
      <c r="CG5" t="e">
        <v>#VALUE!</v>
      </c>
      <c r="CH5" t="e">
        <v>#VALUE!</v>
      </c>
      <c r="CI5" t="e">
        <v>#VALUE!</v>
      </c>
      <c r="CJ5" t="e">
        <v>#VALUE!</v>
      </c>
    </row>
    <row r="6" spans="1:88">
      <c r="A6" t="s">
        <v>3</v>
      </c>
      <c r="B6" t="s">
        <v>276</v>
      </c>
      <c r="C6" t="s">
        <v>276</v>
      </c>
      <c r="D6">
        <v>7.52259898692</v>
      </c>
      <c r="E6">
        <v>7.64151346723974</v>
      </c>
      <c r="F6">
        <v>8.22879491267613</v>
      </c>
      <c r="G6">
        <v>8.78002383930678</v>
      </c>
      <c r="H6">
        <v>9.2993927266152</v>
      </c>
      <c r="I6">
        <v>9.79653150802128</v>
      </c>
      <c r="J6">
        <v>10.2576213827129</v>
      </c>
      <c r="K6">
        <v>10.6662053125579</v>
      </c>
      <c r="L6">
        <v>11.0103106393235</v>
      </c>
      <c r="M6">
        <v>11.2903346204658</v>
      </c>
      <c r="N6">
        <v>11.5041429426057</v>
      </c>
      <c r="O6">
        <v>11.6629710060157</v>
      </c>
      <c r="P6">
        <v>11.7841491604316</v>
      </c>
      <c r="Q6">
        <v>11.8754263278695</v>
      </c>
      <c r="R6">
        <v>11.9381501184334</v>
      </c>
      <c r="S6">
        <v>11.9761120243211</v>
      </c>
      <c r="T6">
        <v>11.9828541641461</v>
      </c>
      <c r="U6">
        <v>11.9574774350737</v>
      </c>
      <c r="V6">
        <v>5</v>
      </c>
      <c r="AF6" s="99" t="s">
        <v>277</v>
      </c>
      <c r="AH6">
        <v>1</v>
      </c>
      <c r="AI6">
        <v>1.01584628198016</v>
      </c>
      <c r="AJ6">
        <v>1.09507769188094</v>
      </c>
      <c r="AK6">
        <v>1.1704569144987</v>
      </c>
      <c r="AL6">
        <v>1.24250514202812</v>
      </c>
      <c r="AM6">
        <v>1.31251440483152</v>
      </c>
      <c r="AN6">
        <v>1.37847278122092</v>
      </c>
      <c r="AO6">
        <v>1.43787155208791</v>
      </c>
      <c r="AP6">
        <v>1.48872422701151</v>
      </c>
      <c r="AQ6">
        <v>1.53079373183263</v>
      </c>
      <c r="AR6">
        <v>1.5634574865207</v>
      </c>
      <c r="AS6">
        <v>1.58812645526123</v>
      </c>
      <c r="AT6">
        <v>1.60725760691474</v>
      </c>
      <c r="AU6">
        <v>1.62190399331504</v>
      </c>
      <c r="AV6">
        <v>1.63213276332236</v>
      </c>
      <c r="AW6">
        <v>1.6384236593401</v>
      </c>
      <c r="AX6">
        <v>1.63955889165861</v>
      </c>
      <c r="AY6">
        <v>1.63521866507092</v>
      </c>
      <c r="AZ6">
        <v>0</v>
      </c>
      <c r="BA6">
        <v>0</v>
      </c>
      <c r="BB6">
        <v>0</v>
      </c>
      <c r="BC6">
        <v>0</v>
      </c>
      <c r="BD6">
        <v>0</v>
      </c>
      <c r="BE6">
        <v>0</v>
      </c>
      <c r="BF6">
        <v>0</v>
      </c>
      <c r="BG6">
        <v>0</v>
      </c>
      <c r="BI6" t="s">
        <v>273</v>
      </c>
      <c r="BK6">
        <v>1</v>
      </c>
      <c r="BL6">
        <v>0.997560975609757</v>
      </c>
      <c r="BM6">
        <v>0.985365853658537</v>
      </c>
      <c r="BN6">
        <v>0.973170731707317</v>
      </c>
      <c r="BO6">
        <v>0.960975609756098</v>
      </c>
      <c r="BP6">
        <v>0.948780487804878</v>
      </c>
      <c r="BQ6">
        <v>0.936585365853658</v>
      </c>
      <c r="BR6">
        <v>0.924390243902439</v>
      </c>
      <c r="BS6">
        <v>0.91219512195122</v>
      </c>
      <c r="BT6">
        <v>0.9</v>
      </c>
      <c r="BU6">
        <v>0.8875</v>
      </c>
      <c r="BV6">
        <v>0.875000000000001</v>
      </c>
      <c r="BW6">
        <v>0.862500000000001</v>
      </c>
      <c r="BX6">
        <v>0.850000000000001</v>
      </c>
      <c r="BY6">
        <v>0.8375</v>
      </c>
      <c r="BZ6">
        <v>0.825000000000001</v>
      </c>
      <c r="CA6">
        <v>0.812500000000001</v>
      </c>
      <c r="CB6">
        <v>0.800000000000001</v>
      </c>
      <c r="CC6" t="e">
        <v>#VALUE!</v>
      </c>
      <c r="CD6" t="e">
        <v>#VALUE!</v>
      </c>
      <c r="CE6" t="e">
        <v>#VALUE!</v>
      </c>
      <c r="CF6" t="e">
        <v>#VALUE!</v>
      </c>
      <c r="CG6" t="e">
        <v>#VALUE!</v>
      </c>
      <c r="CH6" t="e">
        <v>#VALUE!</v>
      </c>
      <c r="CI6" t="e">
        <v>#VALUE!</v>
      </c>
      <c r="CJ6" t="e">
        <v>#VALUE!</v>
      </c>
    </row>
    <row r="7" spans="1:88">
      <c r="A7" t="s">
        <v>3</v>
      </c>
      <c r="B7" t="s">
        <v>278</v>
      </c>
      <c r="C7" t="s">
        <v>278</v>
      </c>
      <c r="D7">
        <v>12.03307254</v>
      </c>
      <c r="E7">
        <v>12.3151564281066</v>
      </c>
      <c r="F7">
        <v>15.1001639514367</v>
      </c>
      <c r="G7">
        <v>18.724350575609</v>
      </c>
      <c r="H7">
        <v>23.2259139111325</v>
      </c>
      <c r="I7">
        <v>28.5615931810651</v>
      </c>
      <c r="J7">
        <v>34.7896220971485</v>
      </c>
      <c r="K7">
        <v>41.9742464005603</v>
      </c>
      <c r="L7">
        <v>50.1675698335907</v>
      </c>
      <c r="M7">
        <v>59.3121587125572</v>
      </c>
      <c r="N7">
        <v>69.2278217256959</v>
      </c>
      <c r="O7">
        <v>79.5005367562684</v>
      </c>
      <c r="P7">
        <v>90.1190572509732</v>
      </c>
      <c r="Q7">
        <v>100.988748715031</v>
      </c>
      <c r="R7">
        <v>112.064390532708</v>
      </c>
      <c r="S7">
        <v>123.370281851992</v>
      </c>
      <c r="T7">
        <v>134.864474917837</v>
      </c>
      <c r="U7">
        <v>146.408016928935</v>
      </c>
      <c r="V7">
        <v>5</v>
      </c>
      <c r="AF7" s="99" t="s">
        <v>272</v>
      </c>
      <c r="AH7">
        <v>1</v>
      </c>
      <c r="AI7">
        <v>1.02349969875313</v>
      </c>
      <c r="AJ7">
        <v>1.25839625558148</v>
      </c>
      <c r="AK7">
        <v>1.56875019961733</v>
      </c>
      <c r="AL7">
        <v>1.96121257678312</v>
      </c>
      <c r="AM7">
        <v>2.43608377440658</v>
      </c>
      <c r="AN7">
        <v>3.00325350238505</v>
      </c>
      <c r="AO7">
        <v>3.67420479014643</v>
      </c>
      <c r="AP7">
        <v>4.460440572303</v>
      </c>
      <c r="AQ7">
        <v>5.36383284096653</v>
      </c>
      <c r="AR7">
        <v>6.37421321365854</v>
      </c>
      <c r="AS7">
        <v>7.45520677550761</v>
      </c>
      <c r="AT7">
        <v>8.60970837366772</v>
      </c>
      <c r="AU7">
        <v>9.8314238983634</v>
      </c>
      <c r="AV7">
        <v>11.1188654370631</v>
      </c>
      <c r="AW7">
        <v>12.4785673189264</v>
      </c>
      <c r="AX7">
        <v>13.9094673309328</v>
      </c>
      <c r="AY7">
        <v>15.3976698448309</v>
      </c>
      <c r="AZ7">
        <v>0</v>
      </c>
      <c r="BA7">
        <v>0</v>
      </c>
      <c r="BB7">
        <v>0</v>
      </c>
      <c r="BC7">
        <v>0</v>
      </c>
      <c r="BD7">
        <v>0</v>
      </c>
      <c r="BE7">
        <v>0</v>
      </c>
      <c r="BF7">
        <v>0</v>
      </c>
      <c r="BG7">
        <v>0</v>
      </c>
      <c r="BI7" t="s">
        <v>273</v>
      </c>
      <c r="BK7">
        <v>1</v>
      </c>
      <c r="BL7">
        <v>0.997560975609757</v>
      </c>
      <c r="BM7">
        <v>0.985365853658537</v>
      </c>
      <c r="BN7">
        <v>0.973170731707317</v>
      </c>
      <c r="BO7">
        <v>0.960975609756098</v>
      </c>
      <c r="BP7">
        <v>0.948780487804878</v>
      </c>
      <c r="BQ7">
        <v>0.936585365853658</v>
      </c>
      <c r="BR7">
        <v>0.924390243902439</v>
      </c>
      <c r="BS7">
        <v>0.91219512195122</v>
      </c>
      <c r="BT7">
        <v>0.9</v>
      </c>
      <c r="BU7">
        <v>0.8875</v>
      </c>
      <c r="BV7">
        <v>0.875000000000001</v>
      </c>
      <c r="BW7">
        <v>0.862500000000001</v>
      </c>
      <c r="BX7">
        <v>0.850000000000001</v>
      </c>
      <c r="BY7">
        <v>0.8375</v>
      </c>
      <c r="BZ7">
        <v>0.825000000000001</v>
      </c>
      <c r="CA7">
        <v>0.812500000000001</v>
      </c>
      <c r="CB7">
        <v>0.800000000000001</v>
      </c>
      <c r="CC7" t="e">
        <v>#VALUE!</v>
      </c>
      <c r="CD7" t="e">
        <v>#VALUE!</v>
      </c>
      <c r="CE7" t="e">
        <v>#VALUE!</v>
      </c>
      <c r="CF7" t="e">
        <v>#VALUE!</v>
      </c>
      <c r="CG7" t="e">
        <v>#VALUE!</v>
      </c>
      <c r="CH7" t="e">
        <v>#VALUE!</v>
      </c>
      <c r="CI7" t="e">
        <v>#VALUE!</v>
      </c>
      <c r="CJ7" t="e">
        <v>#VALUE!</v>
      </c>
    </row>
    <row r="8" spans="1:88">
      <c r="A8" t="s">
        <v>3</v>
      </c>
      <c r="B8" t="s">
        <v>279</v>
      </c>
      <c r="C8" t="s">
        <v>279</v>
      </c>
      <c r="D8">
        <v>35.8465693608</v>
      </c>
      <c r="E8">
        <v>36.6868983480112</v>
      </c>
      <c r="F8">
        <v>44.9834464676657</v>
      </c>
      <c r="G8">
        <v>55.7799123551617</v>
      </c>
      <c r="H8">
        <v>69.1900868390659</v>
      </c>
      <c r="I8">
        <v>85.0850958985412</v>
      </c>
      <c r="J8">
        <v>103.63841798476</v>
      </c>
      <c r="K8">
        <v>125.041441407698</v>
      </c>
      <c r="L8">
        <v>149.449383415966</v>
      </c>
      <c r="M8">
        <v>176.691148845053</v>
      </c>
      <c r="N8">
        <v>206.229947084426</v>
      </c>
      <c r="O8">
        <v>236.832404656509</v>
      </c>
      <c r="P8">
        <v>268.465018035778</v>
      </c>
      <c r="Q8">
        <v>300.845870698439</v>
      </c>
      <c r="R8">
        <v>333.840250256357</v>
      </c>
      <c r="S8">
        <v>367.520543964815</v>
      </c>
      <c r="T8">
        <v>401.761789300252</v>
      </c>
      <c r="U8">
        <v>436.150045333331</v>
      </c>
      <c r="V8">
        <v>5</v>
      </c>
      <c r="AF8" s="99" t="s">
        <v>272</v>
      </c>
      <c r="AH8">
        <v>1</v>
      </c>
      <c r="AI8">
        <v>1.02349969875313</v>
      </c>
      <c r="AJ8">
        <v>1.25839625558148</v>
      </c>
      <c r="AK8">
        <v>1.56875019961733</v>
      </c>
      <c r="AL8">
        <v>1.96121257678312</v>
      </c>
      <c r="AM8">
        <v>2.43608377440658</v>
      </c>
      <c r="AN8">
        <v>3.00325350238505</v>
      </c>
      <c r="AO8">
        <v>3.67420479014643</v>
      </c>
      <c r="AP8">
        <v>4.460440572303</v>
      </c>
      <c r="AQ8">
        <v>5.36383284096653</v>
      </c>
      <c r="AR8">
        <v>6.37421321365854</v>
      </c>
      <c r="AS8">
        <v>7.45520677550761</v>
      </c>
      <c r="AT8">
        <v>8.60970837366772</v>
      </c>
      <c r="AU8">
        <v>9.8314238983634</v>
      </c>
      <c r="AV8">
        <v>11.1188654370631</v>
      </c>
      <c r="AW8">
        <v>12.4785673189264</v>
      </c>
      <c r="AX8">
        <v>13.9094673309328</v>
      </c>
      <c r="AY8">
        <v>15.3976698448309</v>
      </c>
      <c r="AZ8">
        <v>0</v>
      </c>
      <c r="BA8">
        <v>0</v>
      </c>
      <c r="BB8">
        <v>0</v>
      </c>
      <c r="BC8">
        <v>0</v>
      </c>
      <c r="BD8">
        <v>0</v>
      </c>
      <c r="BE8">
        <v>0</v>
      </c>
      <c r="BF8">
        <v>0</v>
      </c>
      <c r="BG8">
        <v>0</v>
      </c>
      <c r="BI8" t="s">
        <v>273</v>
      </c>
      <c r="BK8">
        <v>1</v>
      </c>
      <c r="BL8">
        <v>0.997560975609757</v>
      </c>
      <c r="BM8">
        <v>0.985365853658537</v>
      </c>
      <c r="BN8">
        <v>0.973170731707317</v>
      </c>
      <c r="BO8">
        <v>0.960975609756098</v>
      </c>
      <c r="BP8">
        <v>0.948780487804878</v>
      </c>
      <c r="BQ8">
        <v>0.936585365853658</v>
      </c>
      <c r="BR8">
        <v>0.924390243902439</v>
      </c>
      <c r="BS8">
        <v>0.91219512195122</v>
      </c>
      <c r="BT8">
        <v>0.9</v>
      </c>
      <c r="BU8">
        <v>0.8875</v>
      </c>
      <c r="BV8">
        <v>0.875000000000001</v>
      </c>
      <c r="BW8">
        <v>0.862500000000001</v>
      </c>
      <c r="BX8">
        <v>0.850000000000001</v>
      </c>
      <c r="BY8">
        <v>0.8375</v>
      </c>
      <c r="BZ8">
        <v>0.825000000000001</v>
      </c>
      <c r="CA8">
        <v>0.812500000000001</v>
      </c>
      <c r="CB8">
        <v>0.800000000000001</v>
      </c>
      <c r="CC8" t="e">
        <v>#VALUE!</v>
      </c>
      <c r="CD8" t="e">
        <v>#VALUE!</v>
      </c>
      <c r="CE8" t="e">
        <v>#VALUE!</v>
      </c>
      <c r="CF8" t="e">
        <v>#VALUE!</v>
      </c>
      <c r="CG8" t="e">
        <v>#VALUE!</v>
      </c>
      <c r="CH8" t="e">
        <v>#VALUE!</v>
      </c>
      <c r="CI8" t="e">
        <v>#VALUE!</v>
      </c>
      <c r="CJ8" t="e">
        <v>#VALUE!</v>
      </c>
    </row>
    <row r="9" spans="1:88">
      <c r="A9" t="s">
        <v>3</v>
      </c>
      <c r="B9" t="s">
        <v>280</v>
      </c>
      <c r="C9" t="s">
        <v>280</v>
      </c>
      <c r="D9">
        <v>247.982</v>
      </c>
      <c r="E9">
        <v>251.90200832557</v>
      </c>
      <c r="F9">
        <v>271.261704044487</v>
      </c>
      <c r="G9">
        <v>289.432930760334</v>
      </c>
      <c r="H9">
        <v>306.553893294221</v>
      </c>
      <c r="I9">
        <v>322.9420417925</v>
      </c>
      <c r="J9">
        <v>338.141840360066</v>
      </c>
      <c r="K9">
        <v>351.610783775369</v>
      </c>
      <c r="L9">
        <v>362.954194116709</v>
      </c>
      <c r="M9">
        <v>372.185166951014</v>
      </c>
      <c r="N9">
        <v>379.233344772678</v>
      </c>
      <c r="O9">
        <v>384.46910184135</v>
      </c>
      <c r="P9">
        <v>388.463732040384</v>
      </c>
      <c r="Q9">
        <v>391.472678094125</v>
      </c>
      <c r="R9">
        <v>393.540363884459</v>
      </c>
      <c r="S9">
        <v>394.791775711966</v>
      </c>
      <c r="T9">
        <v>395.014029925036</v>
      </c>
      <c r="U9">
        <v>394.177487655569</v>
      </c>
      <c r="V9">
        <v>5</v>
      </c>
      <c r="AF9" s="99" t="s">
        <v>277</v>
      </c>
      <c r="AH9">
        <v>1</v>
      </c>
      <c r="AI9">
        <v>1.01584628198016</v>
      </c>
      <c r="AJ9">
        <v>1.09507769188094</v>
      </c>
      <c r="AK9">
        <v>1.1704569144987</v>
      </c>
      <c r="AL9">
        <v>1.24250514202812</v>
      </c>
      <c r="AM9">
        <v>1.31251440483152</v>
      </c>
      <c r="AN9">
        <v>1.37847278122092</v>
      </c>
      <c r="AO9">
        <v>1.43787155208791</v>
      </c>
      <c r="AP9">
        <v>1.48872422701151</v>
      </c>
      <c r="AQ9">
        <v>1.53079373183263</v>
      </c>
      <c r="AR9">
        <v>1.5634574865207</v>
      </c>
      <c r="AS9">
        <v>1.58812645526123</v>
      </c>
      <c r="AT9">
        <v>1.60725760691474</v>
      </c>
      <c r="AU9">
        <v>1.62190399331504</v>
      </c>
      <c r="AV9">
        <v>1.63213276332236</v>
      </c>
      <c r="AW9">
        <v>1.6384236593401</v>
      </c>
      <c r="AX9">
        <v>1.63955889165861</v>
      </c>
      <c r="AY9">
        <v>1.63521866507092</v>
      </c>
      <c r="AZ9">
        <v>0</v>
      </c>
      <c r="BA9">
        <v>0</v>
      </c>
      <c r="BB9">
        <v>0</v>
      </c>
      <c r="BC9">
        <v>0</v>
      </c>
      <c r="BD9">
        <v>0</v>
      </c>
      <c r="BE9">
        <v>0</v>
      </c>
      <c r="BF9">
        <v>0</v>
      </c>
      <c r="BG9">
        <v>0</v>
      </c>
      <c r="BI9" t="s">
        <v>273</v>
      </c>
      <c r="BK9">
        <v>1</v>
      </c>
      <c r="BL9">
        <v>0.997560975609757</v>
      </c>
      <c r="BM9">
        <v>0.985365853658537</v>
      </c>
      <c r="BN9">
        <v>0.973170731707317</v>
      </c>
      <c r="BO9">
        <v>0.960975609756098</v>
      </c>
      <c r="BP9">
        <v>0.948780487804878</v>
      </c>
      <c r="BQ9">
        <v>0.936585365853658</v>
      </c>
      <c r="BR9">
        <v>0.924390243902439</v>
      </c>
      <c r="BS9">
        <v>0.91219512195122</v>
      </c>
      <c r="BT9">
        <v>0.9</v>
      </c>
      <c r="BU9">
        <v>0.8875</v>
      </c>
      <c r="BV9">
        <v>0.875000000000001</v>
      </c>
      <c r="BW9">
        <v>0.862500000000001</v>
      </c>
      <c r="BX9">
        <v>0.850000000000001</v>
      </c>
      <c r="BY9">
        <v>0.8375</v>
      </c>
      <c r="BZ9">
        <v>0.825000000000001</v>
      </c>
      <c r="CA9">
        <v>0.812500000000001</v>
      </c>
      <c r="CB9">
        <v>0.800000000000001</v>
      </c>
      <c r="CC9" t="e">
        <v>#VALUE!</v>
      </c>
      <c r="CD9" t="e">
        <v>#VALUE!</v>
      </c>
      <c r="CE9" t="e">
        <v>#VALUE!</v>
      </c>
      <c r="CF9" t="e">
        <v>#VALUE!</v>
      </c>
      <c r="CG9" t="e">
        <v>#VALUE!</v>
      </c>
      <c r="CH9" t="e">
        <v>#VALUE!</v>
      </c>
      <c r="CI9" t="e">
        <v>#VALUE!</v>
      </c>
      <c r="CJ9" t="e">
        <v>#VALUE!</v>
      </c>
    </row>
    <row r="10" spans="1:88">
      <c r="A10" t="s">
        <v>3</v>
      </c>
      <c r="B10" t="s">
        <v>281</v>
      </c>
      <c r="C10" t="s">
        <v>281</v>
      </c>
      <c r="D10">
        <v>42.015</v>
      </c>
      <c r="E10">
        <v>42.6791576799881</v>
      </c>
      <c r="F10">
        <v>45.9592248446626</v>
      </c>
      <c r="G10">
        <v>49.0379325350042</v>
      </c>
      <c r="H10">
        <v>51.9386964648914</v>
      </c>
      <c r="I10">
        <v>54.7153014570085</v>
      </c>
      <c r="J10">
        <v>57.290567148939</v>
      </c>
      <c r="K10">
        <v>59.5725781722954</v>
      </c>
      <c r="L10">
        <v>61.4944651862374</v>
      </c>
      <c r="M10">
        <v>63.0584469414992</v>
      </c>
      <c r="N10">
        <v>64.2526029333745</v>
      </c>
      <c r="O10">
        <v>65.139684791091</v>
      </c>
      <c r="P10">
        <v>65.8164854774811</v>
      </c>
      <c r="Q10">
        <v>66.3262840453124</v>
      </c>
      <c r="R10">
        <v>66.6766071271525</v>
      </c>
      <c r="S10">
        <v>66.8886308544098</v>
      </c>
      <c r="T10">
        <v>66.9262868567089</v>
      </c>
      <c r="U10">
        <v>66.7845534911757</v>
      </c>
      <c r="V10">
        <v>5</v>
      </c>
      <c r="AF10" s="99" t="s">
        <v>277</v>
      </c>
      <c r="AH10">
        <v>1</v>
      </c>
      <c r="AI10">
        <v>1.01584628198016</v>
      </c>
      <c r="AJ10">
        <v>1.09507769188094</v>
      </c>
      <c r="AK10">
        <v>1.1704569144987</v>
      </c>
      <c r="AL10">
        <v>1.24250514202812</v>
      </c>
      <c r="AM10">
        <v>1.31251440483152</v>
      </c>
      <c r="AN10">
        <v>1.37847278122092</v>
      </c>
      <c r="AO10">
        <v>1.43787155208791</v>
      </c>
      <c r="AP10">
        <v>1.48872422701151</v>
      </c>
      <c r="AQ10">
        <v>1.53079373183263</v>
      </c>
      <c r="AR10">
        <v>1.5634574865207</v>
      </c>
      <c r="AS10">
        <v>1.58812645526123</v>
      </c>
      <c r="AT10">
        <v>1.60725760691474</v>
      </c>
      <c r="AU10">
        <v>1.62190399331504</v>
      </c>
      <c r="AV10">
        <v>1.63213276332236</v>
      </c>
      <c r="AW10">
        <v>1.6384236593401</v>
      </c>
      <c r="AX10">
        <v>1.63955889165861</v>
      </c>
      <c r="AY10">
        <v>1.63521866507092</v>
      </c>
      <c r="AZ10">
        <v>0</v>
      </c>
      <c r="BA10">
        <v>0</v>
      </c>
      <c r="BB10">
        <v>0</v>
      </c>
      <c r="BC10">
        <v>0</v>
      </c>
      <c r="BD10">
        <v>0</v>
      </c>
      <c r="BE10">
        <v>0</v>
      </c>
      <c r="BF10">
        <v>0</v>
      </c>
      <c r="BG10">
        <v>0</v>
      </c>
      <c r="BI10" t="s">
        <v>273</v>
      </c>
      <c r="BK10">
        <v>1</v>
      </c>
      <c r="BL10">
        <v>0.997560975609757</v>
      </c>
      <c r="BM10">
        <v>0.985365853658537</v>
      </c>
      <c r="BN10">
        <v>0.973170731707317</v>
      </c>
      <c r="BO10">
        <v>0.960975609756098</v>
      </c>
      <c r="BP10">
        <v>0.948780487804878</v>
      </c>
      <c r="BQ10">
        <v>0.936585365853658</v>
      </c>
      <c r="BR10">
        <v>0.924390243902439</v>
      </c>
      <c r="BS10">
        <v>0.91219512195122</v>
      </c>
      <c r="BT10">
        <v>0.9</v>
      </c>
      <c r="BU10">
        <v>0.8875</v>
      </c>
      <c r="BV10">
        <v>0.875000000000001</v>
      </c>
      <c r="BW10">
        <v>0.862500000000001</v>
      </c>
      <c r="BX10">
        <v>0.850000000000001</v>
      </c>
      <c r="BY10">
        <v>0.8375</v>
      </c>
      <c r="BZ10">
        <v>0.825000000000001</v>
      </c>
      <c r="CA10">
        <v>0.812500000000001</v>
      </c>
      <c r="CB10">
        <v>0.800000000000001</v>
      </c>
      <c r="CC10" t="e">
        <v>#VALUE!</v>
      </c>
      <c r="CD10" t="e">
        <v>#VALUE!</v>
      </c>
      <c r="CE10" t="e">
        <v>#VALUE!</v>
      </c>
      <c r="CF10" t="e">
        <v>#VALUE!</v>
      </c>
      <c r="CG10" t="e">
        <v>#VALUE!</v>
      </c>
      <c r="CH10" t="e">
        <v>#VALUE!</v>
      </c>
      <c r="CI10" t="e">
        <v>#VALUE!</v>
      </c>
      <c r="CJ10" t="e">
        <v>#VALUE!</v>
      </c>
    </row>
    <row r="11" spans="1:88">
      <c r="A11" t="s">
        <v>3</v>
      </c>
      <c r="B11" t="s">
        <v>282</v>
      </c>
      <c r="C11" t="s">
        <v>282</v>
      </c>
      <c r="D11">
        <v>26.355</v>
      </c>
      <c r="E11">
        <v>26.7716101548515</v>
      </c>
      <c r="F11">
        <v>28.8291174766413</v>
      </c>
      <c r="G11">
        <v>30.7603168382729</v>
      </c>
      <c r="H11">
        <v>32.5798963544499</v>
      </c>
      <c r="I11">
        <v>34.321593952147</v>
      </c>
      <c r="J11">
        <v>35.9369962444433</v>
      </c>
      <c r="K11">
        <v>37.3684469292121</v>
      </c>
      <c r="L11">
        <v>38.5740004756227</v>
      </c>
      <c r="M11">
        <v>39.5550486527005</v>
      </c>
      <c r="N11">
        <v>40.3041140142589</v>
      </c>
      <c r="O11">
        <v>40.8605591495705</v>
      </c>
      <c r="P11">
        <v>41.2850999585628</v>
      </c>
      <c r="Q11">
        <v>41.6048843511652</v>
      </c>
      <c r="R11">
        <v>41.8246336031442</v>
      </c>
      <c r="S11">
        <v>41.9576309929304</v>
      </c>
      <c r="T11">
        <v>41.9812516984069</v>
      </c>
      <c r="U11">
        <v>41.8923457636543</v>
      </c>
      <c r="V11">
        <v>5</v>
      </c>
      <c r="AF11" s="99" t="s">
        <v>277</v>
      </c>
      <c r="AH11">
        <v>1</v>
      </c>
      <c r="AI11">
        <v>1.01584628198016</v>
      </c>
      <c r="AJ11">
        <v>1.09507769188094</v>
      </c>
      <c r="AK11">
        <v>1.1704569144987</v>
      </c>
      <c r="AL11">
        <v>1.24250514202812</v>
      </c>
      <c r="AM11">
        <v>1.31251440483152</v>
      </c>
      <c r="AN11">
        <v>1.37847278122092</v>
      </c>
      <c r="AO11">
        <v>1.43787155208791</v>
      </c>
      <c r="AP11">
        <v>1.48872422701151</v>
      </c>
      <c r="AQ11">
        <v>1.53079373183263</v>
      </c>
      <c r="AR11">
        <v>1.5634574865207</v>
      </c>
      <c r="AS11">
        <v>1.58812645526123</v>
      </c>
      <c r="AT11">
        <v>1.60725760691474</v>
      </c>
      <c r="AU11">
        <v>1.62190399331504</v>
      </c>
      <c r="AV11">
        <v>1.63213276332236</v>
      </c>
      <c r="AW11">
        <v>1.6384236593401</v>
      </c>
      <c r="AX11">
        <v>1.63955889165861</v>
      </c>
      <c r="AY11">
        <v>1.63521866507092</v>
      </c>
      <c r="AZ11">
        <v>0</v>
      </c>
      <c r="BA11">
        <v>0</v>
      </c>
      <c r="BB11">
        <v>0</v>
      </c>
      <c r="BC11">
        <v>0</v>
      </c>
      <c r="BD11">
        <v>0</v>
      </c>
      <c r="BE11">
        <v>0</v>
      </c>
      <c r="BF11">
        <v>0</v>
      </c>
      <c r="BG11">
        <v>0</v>
      </c>
      <c r="BI11" t="s">
        <v>273</v>
      </c>
      <c r="BK11">
        <v>1</v>
      </c>
      <c r="BL11">
        <v>0.997560975609757</v>
      </c>
      <c r="BM11">
        <v>0.985365853658537</v>
      </c>
      <c r="BN11">
        <v>0.973170731707317</v>
      </c>
      <c r="BO11">
        <v>0.960975609756098</v>
      </c>
      <c r="BP11">
        <v>0.948780487804878</v>
      </c>
      <c r="BQ11">
        <v>0.936585365853658</v>
      </c>
      <c r="BR11">
        <v>0.924390243902439</v>
      </c>
      <c r="BS11">
        <v>0.91219512195122</v>
      </c>
      <c r="BT11">
        <v>0.9</v>
      </c>
      <c r="BU11">
        <v>0.8875</v>
      </c>
      <c r="BV11">
        <v>0.875000000000001</v>
      </c>
      <c r="BW11">
        <v>0.862500000000001</v>
      </c>
      <c r="BX11">
        <v>0.850000000000001</v>
      </c>
      <c r="BY11">
        <v>0.8375</v>
      </c>
      <c r="BZ11">
        <v>0.825000000000001</v>
      </c>
      <c r="CA11">
        <v>0.812500000000001</v>
      </c>
      <c r="CB11">
        <v>0.800000000000001</v>
      </c>
      <c r="CC11" t="e">
        <v>#VALUE!</v>
      </c>
      <c r="CD11" t="e">
        <v>#VALUE!</v>
      </c>
      <c r="CE11" t="e">
        <v>#VALUE!</v>
      </c>
      <c r="CF11" t="e">
        <v>#VALUE!</v>
      </c>
      <c r="CG11" t="e">
        <v>#VALUE!</v>
      </c>
      <c r="CH11" t="e">
        <v>#VALUE!</v>
      </c>
      <c r="CI11" t="e">
        <v>#VALUE!</v>
      </c>
      <c r="CJ11" t="e">
        <v>#VALUE!</v>
      </c>
    </row>
    <row r="12" spans="1:88">
      <c r="A12" t="s">
        <v>3</v>
      </c>
      <c r="B12" t="s">
        <v>283</v>
      </c>
      <c r="C12" t="s">
        <v>283</v>
      </c>
      <c r="D12">
        <v>256.56</v>
      </c>
      <c r="E12">
        <v>258.488216374671</v>
      </c>
      <c r="F12">
        <v>294.286020754547</v>
      </c>
      <c r="G12">
        <v>341.924767254561</v>
      </c>
      <c r="H12">
        <v>400.307827734166</v>
      </c>
      <c r="I12">
        <v>467.106424430855</v>
      </c>
      <c r="J12">
        <v>543.15498327552</v>
      </c>
      <c r="K12">
        <v>629.950239527197</v>
      </c>
      <c r="L12">
        <v>729.086667683432</v>
      </c>
      <c r="M12">
        <v>840.299707157724</v>
      </c>
      <c r="N12">
        <v>962.26354015926</v>
      </c>
      <c r="O12">
        <v>1089.75698872903</v>
      </c>
      <c r="P12">
        <v>1222.39049391052</v>
      </c>
      <c r="Q12">
        <v>1359.11460985926</v>
      </c>
      <c r="R12">
        <v>1500.10371974867</v>
      </c>
      <c r="S12">
        <v>1646.11243965391</v>
      </c>
      <c r="T12">
        <v>1798.44559883895</v>
      </c>
      <c r="U12">
        <v>1956.60846480586</v>
      </c>
      <c r="V12">
        <v>5</v>
      </c>
      <c r="AF12" s="99" t="s">
        <v>284</v>
      </c>
      <c r="AH12">
        <v>1</v>
      </c>
      <c r="AI12">
        <v>1.00753403040277</v>
      </c>
      <c r="AJ12">
        <v>1.14913879162311</v>
      </c>
      <c r="AK12">
        <v>1.34028871988784</v>
      </c>
      <c r="AL12">
        <v>1.57843417338448</v>
      </c>
      <c r="AM12">
        <v>1.85604345783869</v>
      </c>
      <c r="AN12">
        <v>2.17868175802867</v>
      </c>
      <c r="AO12">
        <v>2.55530807658804</v>
      </c>
      <c r="AP12">
        <v>2.99614965040031</v>
      </c>
      <c r="AQ12">
        <v>3.5039553203194</v>
      </c>
      <c r="AR12">
        <v>4.07699810747245</v>
      </c>
      <c r="AS12">
        <v>4.69434077545247</v>
      </c>
      <c r="AT12">
        <v>5.35676940437366</v>
      </c>
      <c r="AU12">
        <v>6.06165589263316</v>
      </c>
      <c r="AV12">
        <v>6.81247609687681</v>
      </c>
      <c r="AW12">
        <v>7.61620307897183</v>
      </c>
      <c r="AX12">
        <v>8.48366435734537</v>
      </c>
      <c r="AY12">
        <v>9.41627573958936</v>
      </c>
      <c r="AZ12">
        <v>0</v>
      </c>
      <c r="BA12">
        <v>0</v>
      </c>
      <c r="BB12">
        <v>0</v>
      </c>
      <c r="BC12">
        <v>0</v>
      </c>
      <c r="BD12">
        <v>0</v>
      </c>
      <c r="BE12">
        <v>0</v>
      </c>
      <c r="BF12">
        <v>0</v>
      </c>
      <c r="BG12">
        <v>0</v>
      </c>
      <c r="BI12" t="s">
        <v>273</v>
      </c>
      <c r="BK12">
        <v>1</v>
      </c>
      <c r="BL12">
        <v>0.997560975609757</v>
      </c>
      <c r="BM12">
        <v>0.985365853658537</v>
      </c>
      <c r="BN12">
        <v>0.973170731707317</v>
      </c>
      <c r="BO12">
        <v>0.960975609756098</v>
      </c>
      <c r="BP12">
        <v>0.948780487804878</v>
      </c>
      <c r="BQ12">
        <v>0.936585365853658</v>
      </c>
      <c r="BR12">
        <v>0.924390243902439</v>
      </c>
      <c r="BS12">
        <v>0.91219512195122</v>
      </c>
      <c r="BT12">
        <v>0.9</v>
      </c>
      <c r="BU12">
        <v>0.8875</v>
      </c>
      <c r="BV12">
        <v>0.875000000000001</v>
      </c>
      <c r="BW12">
        <v>0.862500000000001</v>
      </c>
      <c r="BX12">
        <v>0.850000000000001</v>
      </c>
      <c r="BY12">
        <v>0.8375</v>
      </c>
      <c r="BZ12">
        <v>0.825000000000001</v>
      </c>
      <c r="CA12">
        <v>0.812500000000001</v>
      </c>
      <c r="CB12">
        <v>0.800000000000001</v>
      </c>
      <c r="CC12" t="e">
        <v>#VALUE!</v>
      </c>
      <c r="CD12" t="e">
        <v>#VALUE!</v>
      </c>
      <c r="CE12" t="e">
        <v>#VALUE!</v>
      </c>
      <c r="CF12" t="e">
        <v>#VALUE!</v>
      </c>
      <c r="CG12" t="e">
        <v>#VALUE!</v>
      </c>
      <c r="CH12" t="e">
        <v>#VALUE!</v>
      </c>
      <c r="CI12" t="e">
        <v>#VALUE!</v>
      </c>
      <c r="CJ12" t="e">
        <v>#VALUE!</v>
      </c>
    </row>
    <row r="13" spans="1:88">
      <c r="A13" t="s">
        <v>3</v>
      </c>
      <c r="B13" t="s">
        <v>285</v>
      </c>
      <c r="C13" t="s">
        <v>285</v>
      </c>
      <c r="D13">
        <v>62.8</v>
      </c>
      <c r="E13">
        <v>64.2721816156436</v>
      </c>
      <c r="F13">
        <v>78.8069957193348</v>
      </c>
      <c r="G13">
        <v>97.7214433171068</v>
      </c>
      <c r="H13">
        <v>121.214875815842</v>
      </c>
      <c r="I13">
        <v>149.061517397857</v>
      </c>
      <c r="J13">
        <v>181.565286874014</v>
      </c>
      <c r="K13">
        <v>219.061479534236</v>
      </c>
      <c r="L13">
        <v>261.822022187319</v>
      </c>
      <c r="M13">
        <v>309.547171328579</v>
      </c>
      <c r="N13">
        <v>361.296517570375</v>
      </c>
      <c r="O13">
        <v>414.909300321866</v>
      </c>
      <c r="P13">
        <v>470.326824387375</v>
      </c>
      <c r="Q13">
        <v>527.055197101302</v>
      </c>
      <c r="R13">
        <v>584.858414345939</v>
      </c>
      <c r="S13">
        <v>643.863292151739</v>
      </c>
      <c r="T13">
        <v>703.850907296216</v>
      </c>
      <c r="U13">
        <v>764.096072102391</v>
      </c>
      <c r="V13">
        <v>5</v>
      </c>
      <c r="AF13" s="99" t="s">
        <v>272</v>
      </c>
      <c r="AH13">
        <v>1</v>
      </c>
      <c r="AI13">
        <v>1.02349969875313</v>
      </c>
      <c r="AJ13">
        <v>1.25839625558148</v>
      </c>
      <c r="AK13">
        <v>1.56875019961733</v>
      </c>
      <c r="AL13">
        <v>1.96121257678312</v>
      </c>
      <c r="AM13">
        <v>2.43608377440658</v>
      </c>
      <c r="AN13">
        <v>3.00325350238505</v>
      </c>
      <c r="AO13">
        <v>3.67420479014643</v>
      </c>
      <c r="AP13">
        <v>4.460440572303</v>
      </c>
      <c r="AQ13">
        <v>5.36383284096653</v>
      </c>
      <c r="AR13">
        <v>6.37421321365854</v>
      </c>
      <c r="AS13">
        <v>7.45520677550761</v>
      </c>
      <c r="AT13">
        <v>8.60970837366772</v>
      </c>
      <c r="AU13">
        <v>9.8314238983634</v>
      </c>
      <c r="AV13">
        <v>11.1188654370631</v>
      </c>
      <c r="AW13">
        <v>12.4785673189264</v>
      </c>
      <c r="AX13">
        <v>13.9094673309328</v>
      </c>
      <c r="AY13">
        <v>15.3976698448309</v>
      </c>
      <c r="AZ13">
        <v>0</v>
      </c>
      <c r="BA13">
        <v>0</v>
      </c>
      <c r="BB13">
        <v>0</v>
      </c>
      <c r="BC13">
        <v>0</v>
      </c>
      <c r="BD13">
        <v>0</v>
      </c>
      <c r="BE13">
        <v>0</v>
      </c>
      <c r="BF13">
        <v>0</v>
      </c>
      <c r="BG13">
        <v>0</v>
      </c>
      <c r="BI13" t="s">
        <v>273</v>
      </c>
      <c r="BK13">
        <v>1</v>
      </c>
      <c r="BL13">
        <v>0.997560975609757</v>
      </c>
      <c r="BM13">
        <v>0.985365853658537</v>
      </c>
      <c r="BN13">
        <v>0.973170731707317</v>
      </c>
      <c r="BO13">
        <v>0.960975609756098</v>
      </c>
      <c r="BP13">
        <v>0.948780487804878</v>
      </c>
      <c r="BQ13">
        <v>0.936585365853658</v>
      </c>
      <c r="BR13">
        <v>0.924390243902439</v>
      </c>
      <c r="BS13">
        <v>0.91219512195122</v>
      </c>
      <c r="BT13">
        <v>0.9</v>
      </c>
      <c r="BU13">
        <v>0.8875</v>
      </c>
      <c r="BV13">
        <v>0.875000000000001</v>
      </c>
      <c r="BW13">
        <v>0.862500000000001</v>
      </c>
      <c r="BX13">
        <v>0.850000000000001</v>
      </c>
      <c r="BY13">
        <v>0.8375</v>
      </c>
      <c r="BZ13">
        <v>0.825000000000001</v>
      </c>
      <c r="CA13">
        <v>0.812500000000001</v>
      </c>
      <c r="CB13">
        <v>0.800000000000001</v>
      </c>
      <c r="CC13" t="e">
        <v>#VALUE!</v>
      </c>
      <c r="CD13" t="e">
        <v>#VALUE!</v>
      </c>
      <c r="CE13" t="e">
        <v>#VALUE!</v>
      </c>
      <c r="CF13" t="e">
        <v>#VALUE!</v>
      </c>
      <c r="CG13" t="e">
        <v>#VALUE!</v>
      </c>
      <c r="CH13" t="e">
        <v>#VALUE!</v>
      </c>
      <c r="CI13" t="e">
        <v>#VALUE!</v>
      </c>
      <c r="CJ13" t="e">
        <v>#VALUE!</v>
      </c>
    </row>
    <row r="14" spans="1:88">
      <c r="A14" t="s">
        <v>3</v>
      </c>
      <c r="B14" t="s">
        <v>286</v>
      </c>
      <c r="C14" t="s">
        <v>286</v>
      </c>
      <c r="D14">
        <v>82.28</v>
      </c>
      <c r="E14">
        <v>84.2088392250821</v>
      </c>
      <c r="F14">
        <v>103.252223053931</v>
      </c>
      <c r="G14">
        <v>128.033763632668</v>
      </c>
      <c r="H14">
        <v>158.814649396934</v>
      </c>
      <c r="I14">
        <v>195.299070883689</v>
      </c>
      <c r="J14">
        <v>237.88521980882</v>
      </c>
      <c r="K14">
        <v>287.012397071289</v>
      </c>
      <c r="L14">
        <v>343.036878751156</v>
      </c>
      <c r="M14">
        <v>405.565943581456</v>
      </c>
      <c r="N14">
        <v>473.367475568319</v>
      </c>
      <c r="O14">
        <v>543.610465453553</v>
      </c>
      <c r="P14">
        <v>616.218011315178</v>
      </c>
      <c r="Q14">
        <v>690.543019386865</v>
      </c>
      <c r="R14">
        <v>766.276279178086</v>
      </c>
      <c r="S14">
        <v>843.5839439211</v>
      </c>
      <c r="T14">
        <v>922.179182361985</v>
      </c>
      <c r="U14">
        <v>1001.11186007301</v>
      </c>
      <c r="V14">
        <v>5</v>
      </c>
      <c r="AF14" s="99" t="s">
        <v>272</v>
      </c>
      <c r="AH14">
        <v>1</v>
      </c>
      <c r="AI14">
        <v>1.02349969875313</v>
      </c>
      <c r="AJ14">
        <v>1.25839625558148</v>
      </c>
      <c r="AK14">
        <v>1.56875019961733</v>
      </c>
      <c r="AL14">
        <v>1.96121257678312</v>
      </c>
      <c r="AM14">
        <v>2.43608377440658</v>
      </c>
      <c r="AN14">
        <v>3.00325350238505</v>
      </c>
      <c r="AO14">
        <v>3.67420479014643</v>
      </c>
      <c r="AP14">
        <v>4.460440572303</v>
      </c>
      <c r="AQ14">
        <v>5.36383284096653</v>
      </c>
      <c r="AR14">
        <v>6.37421321365854</v>
      </c>
      <c r="AS14">
        <v>7.45520677550761</v>
      </c>
      <c r="AT14">
        <v>8.60970837366772</v>
      </c>
      <c r="AU14">
        <v>9.8314238983634</v>
      </c>
      <c r="AV14">
        <v>11.1188654370631</v>
      </c>
      <c r="AW14">
        <v>12.4785673189264</v>
      </c>
      <c r="AX14">
        <v>13.9094673309328</v>
      </c>
      <c r="AY14">
        <v>15.3976698448309</v>
      </c>
      <c r="AZ14">
        <v>0</v>
      </c>
      <c r="BA14">
        <v>0</v>
      </c>
      <c r="BB14">
        <v>0</v>
      </c>
      <c r="BC14">
        <v>0</v>
      </c>
      <c r="BD14">
        <v>0</v>
      </c>
      <c r="BE14">
        <v>0</v>
      </c>
      <c r="BF14">
        <v>0</v>
      </c>
      <c r="BG14">
        <v>0</v>
      </c>
      <c r="BI14" t="s">
        <v>273</v>
      </c>
      <c r="BK14">
        <v>1</v>
      </c>
      <c r="BL14">
        <v>0.997560975609757</v>
      </c>
      <c r="BM14">
        <v>0.985365853658537</v>
      </c>
      <c r="BN14">
        <v>0.973170731707317</v>
      </c>
      <c r="BO14">
        <v>0.960975609756098</v>
      </c>
      <c r="BP14">
        <v>0.948780487804878</v>
      </c>
      <c r="BQ14">
        <v>0.936585365853658</v>
      </c>
      <c r="BR14">
        <v>0.924390243902439</v>
      </c>
      <c r="BS14">
        <v>0.91219512195122</v>
      </c>
      <c r="BT14">
        <v>0.9</v>
      </c>
      <c r="BU14">
        <v>0.8875</v>
      </c>
      <c r="BV14">
        <v>0.875000000000001</v>
      </c>
      <c r="BW14">
        <v>0.862500000000001</v>
      </c>
      <c r="BX14">
        <v>0.850000000000001</v>
      </c>
      <c r="BY14">
        <v>0.8375</v>
      </c>
      <c r="BZ14">
        <v>0.825000000000001</v>
      </c>
      <c r="CA14">
        <v>0.812500000000001</v>
      </c>
      <c r="CB14">
        <v>0.800000000000001</v>
      </c>
      <c r="CC14" t="e">
        <v>#VALUE!</v>
      </c>
      <c r="CD14" t="e">
        <v>#VALUE!</v>
      </c>
      <c r="CE14" t="e">
        <v>#VALUE!</v>
      </c>
      <c r="CF14" t="e">
        <v>#VALUE!</v>
      </c>
      <c r="CG14" t="e">
        <v>#VALUE!</v>
      </c>
      <c r="CH14" t="e">
        <v>#VALUE!</v>
      </c>
      <c r="CI14" t="e">
        <v>#VALUE!</v>
      </c>
      <c r="CJ14" t="e">
        <v>#VALUE!</v>
      </c>
    </row>
    <row r="15" spans="1:88">
      <c r="A15" t="s">
        <v>5</v>
      </c>
      <c r="B15" t="s">
        <v>271</v>
      </c>
      <c r="C15" t="s">
        <v>271</v>
      </c>
      <c r="D15">
        <v>22.6721667672</v>
      </c>
      <c r="E15">
        <v>23.1803432118412</v>
      </c>
      <c r="F15">
        <v>28.2494188656067</v>
      </c>
      <c r="G15">
        <v>35.8897915558897</v>
      </c>
      <c r="H15">
        <v>46.4408369038446</v>
      </c>
      <c r="I15">
        <v>59.0861205084681</v>
      </c>
      <c r="J15">
        <v>74.4950318634803</v>
      </c>
      <c r="K15">
        <v>93.2071070061494</v>
      </c>
      <c r="L15">
        <v>115.740233357334</v>
      </c>
      <c r="M15">
        <v>142.526700615494</v>
      </c>
      <c r="N15">
        <v>173.934152006054</v>
      </c>
      <c r="O15">
        <v>209.855472039825</v>
      </c>
      <c r="P15">
        <v>250.401364851292</v>
      </c>
      <c r="Q15">
        <v>295.31878603859</v>
      </c>
      <c r="R15">
        <v>344.419361765341</v>
      </c>
      <c r="S15">
        <v>397.547262733386</v>
      </c>
      <c r="T15">
        <v>454.441438004183</v>
      </c>
      <c r="U15">
        <v>514.758402026235</v>
      </c>
      <c r="V15">
        <v>5</v>
      </c>
      <c r="AF15" s="99" t="s">
        <v>272</v>
      </c>
      <c r="AH15">
        <v>1</v>
      </c>
      <c r="AI15">
        <v>1.02246891243641</v>
      </c>
      <c r="AJ15">
        <v>1.24938302921191</v>
      </c>
      <c r="AK15">
        <v>1.59660851081695</v>
      </c>
      <c r="AL15">
        <v>2.08504784266403</v>
      </c>
      <c r="AM15">
        <v>2.68343024980208</v>
      </c>
      <c r="AN15">
        <v>3.43061745145576</v>
      </c>
      <c r="AO15">
        <v>4.36282278169176</v>
      </c>
      <c r="AP15">
        <v>5.51907412505686</v>
      </c>
      <c r="AQ15">
        <v>6.93831073081934</v>
      </c>
      <c r="AR15">
        <v>8.66105910457652</v>
      </c>
      <c r="AS15">
        <v>10.7052920010157</v>
      </c>
      <c r="AT15">
        <v>13.1033847939631</v>
      </c>
      <c r="AU15">
        <v>15.8686875832727</v>
      </c>
      <c r="AV15">
        <v>19.0189860674954</v>
      </c>
      <c r="AW15">
        <v>22.575041414736</v>
      </c>
      <c r="AX15">
        <v>26.5513879418483</v>
      </c>
      <c r="AY15">
        <v>30.9565185519041</v>
      </c>
      <c r="AZ15">
        <v>0</v>
      </c>
      <c r="BA15">
        <v>0</v>
      </c>
      <c r="BB15">
        <v>0</v>
      </c>
      <c r="BC15">
        <v>0</v>
      </c>
      <c r="BD15">
        <v>0</v>
      </c>
      <c r="BE15">
        <v>0</v>
      </c>
      <c r="BF15">
        <v>0</v>
      </c>
      <c r="BG15">
        <v>0</v>
      </c>
      <c r="BI15" t="s">
        <v>273</v>
      </c>
      <c r="BK15">
        <v>1</v>
      </c>
      <c r="BL15">
        <v>0.997560975609757</v>
      </c>
      <c r="BM15">
        <v>0.985365853658537</v>
      </c>
      <c r="BN15">
        <v>0.973170731707317</v>
      </c>
      <c r="BO15">
        <v>0.960975609756098</v>
      </c>
      <c r="BP15">
        <v>0.948780487804878</v>
      </c>
      <c r="BQ15">
        <v>0.936585365853658</v>
      </c>
      <c r="BR15">
        <v>0.924390243902439</v>
      </c>
      <c r="BS15">
        <v>0.91219512195122</v>
      </c>
      <c r="BT15">
        <v>0.9</v>
      </c>
      <c r="BU15">
        <v>0.8875</v>
      </c>
      <c r="BV15">
        <v>0.875000000000001</v>
      </c>
      <c r="BW15">
        <v>0.862500000000001</v>
      </c>
      <c r="BX15">
        <v>0.850000000000001</v>
      </c>
      <c r="BY15">
        <v>0.8375</v>
      </c>
      <c r="BZ15">
        <v>0.825000000000001</v>
      </c>
      <c r="CA15">
        <v>0.812500000000001</v>
      </c>
      <c r="CB15">
        <v>0.800000000000001</v>
      </c>
      <c r="CC15" t="e">
        <v>#VALUE!</v>
      </c>
      <c r="CD15" t="e">
        <v>#VALUE!</v>
      </c>
      <c r="CE15" t="e">
        <v>#VALUE!</v>
      </c>
      <c r="CF15" t="e">
        <v>#VALUE!</v>
      </c>
      <c r="CG15" t="e">
        <v>#VALUE!</v>
      </c>
      <c r="CH15" t="e">
        <v>#VALUE!</v>
      </c>
      <c r="CI15" t="e">
        <v>#VALUE!</v>
      </c>
      <c r="CJ15" t="e">
        <v>#VALUE!</v>
      </c>
    </row>
    <row r="16" spans="1:88">
      <c r="A16" t="s">
        <v>5</v>
      </c>
      <c r="B16" t="s">
        <v>274</v>
      </c>
      <c r="C16" t="s">
        <v>274</v>
      </c>
      <c r="D16">
        <v>192.0928039704</v>
      </c>
      <c r="E16">
        <v>196.398393249324</v>
      </c>
      <c r="F16">
        <v>239.346778636053</v>
      </c>
      <c r="G16">
        <v>304.080803774692</v>
      </c>
      <c r="H16">
        <v>393.475871591486</v>
      </c>
      <c r="I16">
        <v>500.614638236728</v>
      </c>
      <c r="J16">
        <v>631.16859096249</v>
      </c>
      <c r="K16">
        <v>789.709017167376</v>
      </c>
      <c r="L16">
        <v>980.623783606034</v>
      </c>
      <c r="M16">
        <v>1207.57551949064</v>
      </c>
      <c r="N16">
        <v>1473.67912860422</v>
      </c>
      <c r="O16">
        <v>1778.02706140029</v>
      </c>
      <c r="P16">
        <v>2121.55727267704</v>
      </c>
      <c r="Q16">
        <v>2502.125811696</v>
      </c>
      <c r="R16">
        <v>2918.13665727418</v>
      </c>
      <c r="S16">
        <v>3368.26952594988</v>
      </c>
      <c r="T16">
        <v>3850.31263058873</v>
      </c>
      <c r="U16">
        <v>4361.3557463592</v>
      </c>
      <c r="V16">
        <v>5</v>
      </c>
      <c r="AF16" s="99" t="s">
        <v>272</v>
      </c>
      <c r="AH16">
        <v>1</v>
      </c>
      <c r="AI16">
        <v>1.02246891243641</v>
      </c>
      <c r="AJ16">
        <v>1.24938302921191</v>
      </c>
      <c r="AK16">
        <v>1.59660851081695</v>
      </c>
      <c r="AL16">
        <v>2.08504784266403</v>
      </c>
      <c r="AM16">
        <v>2.68343024980208</v>
      </c>
      <c r="AN16">
        <v>3.43061745145576</v>
      </c>
      <c r="AO16">
        <v>4.36282278169176</v>
      </c>
      <c r="AP16">
        <v>5.51907412505686</v>
      </c>
      <c r="AQ16">
        <v>6.93831073081934</v>
      </c>
      <c r="AR16">
        <v>8.66105910457652</v>
      </c>
      <c r="AS16">
        <v>10.7052920010157</v>
      </c>
      <c r="AT16">
        <v>13.1033847939631</v>
      </c>
      <c r="AU16">
        <v>15.8686875832727</v>
      </c>
      <c r="AV16">
        <v>19.0189860674954</v>
      </c>
      <c r="AW16">
        <v>22.575041414736</v>
      </c>
      <c r="AX16">
        <v>26.5513879418483</v>
      </c>
      <c r="AY16">
        <v>30.9565185519041</v>
      </c>
      <c r="AZ16">
        <v>0</v>
      </c>
      <c r="BA16">
        <v>0</v>
      </c>
      <c r="BB16">
        <v>0</v>
      </c>
      <c r="BC16">
        <v>0</v>
      </c>
      <c r="BD16">
        <v>0</v>
      </c>
      <c r="BE16">
        <v>0</v>
      </c>
      <c r="BF16">
        <v>0</v>
      </c>
      <c r="BG16">
        <v>0</v>
      </c>
      <c r="BI16" t="s">
        <v>273</v>
      </c>
      <c r="BK16">
        <v>1</v>
      </c>
      <c r="BL16">
        <v>0.997560975609757</v>
      </c>
      <c r="BM16">
        <v>0.985365853658537</v>
      </c>
      <c r="BN16">
        <v>0.973170731707317</v>
      </c>
      <c r="BO16">
        <v>0.960975609756098</v>
      </c>
      <c r="BP16">
        <v>0.948780487804878</v>
      </c>
      <c r="BQ16">
        <v>0.936585365853658</v>
      </c>
      <c r="BR16">
        <v>0.924390243902439</v>
      </c>
      <c r="BS16">
        <v>0.91219512195122</v>
      </c>
      <c r="BT16">
        <v>0.9</v>
      </c>
      <c r="BU16">
        <v>0.8875</v>
      </c>
      <c r="BV16">
        <v>0.875000000000001</v>
      </c>
      <c r="BW16">
        <v>0.862500000000001</v>
      </c>
      <c r="BX16">
        <v>0.850000000000001</v>
      </c>
      <c r="BY16">
        <v>0.8375</v>
      </c>
      <c r="BZ16">
        <v>0.825000000000001</v>
      </c>
      <c r="CA16">
        <v>0.812500000000001</v>
      </c>
      <c r="CB16">
        <v>0.800000000000001</v>
      </c>
      <c r="CC16" t="e">
        <v>#VALUE!</v>
      </c>
      <c r="CD16" t="e">
        <v>#VALUE!</v>
      </c>
      <c r="CE16" t="e">
        <v>#VALUE!</v>
      </c>
      <c r="CF16" t="e">
        <v>#VALUE!</v>
      </c>
      <c r="CG16" t="e">
        <v>#VALUE!</v>
      </c>
      <c r="CH16" t="e">
        <v>#VALUE!</v>
      </c>
      <c r="CI16" t="e">
        <v>#VALUE!</v>
      </c>
      <c r="CJ16" t="e">
        <v>#VALUE!</v>
      </c>
    </row>
    <row r="17" spans="1:88">
      <c r="A17" t="s">
        <v>5</v>
      </c>
      <c r="B17" t="s">
        <v>275</v>
      </c>
      <c r="C17" t="s">
        <v>275</v>
      </c>
      <c r="D17">
        <v>10.73068005852</v>
      </c>
      <c r="E17">
        <v>10.9711987039902</v>
      </c>
      <c r="F17">
        <v>13.3703795847379</v>
      </c>
      <c r="G17">
        <v>16.9865489482189</v>
      </c>
      <c r="H17">
        <v>21.9803324306003</v>
      </c>
      <c r="I17">
        <v>27.9653136634823</v>
      </c>
      <c r="J17">
        <v>35.2583130269107</v>
      </c>
      <c r="K17">
        <v>44.1146915834348</v>
      </c>
      <c r="L17">
        <v>54.7795641593798</v>
      </c>
      <c r="M17">
        <v>67.4575323922698</v>
      </c>
      <c r="N17">
        <v>82.3226009049622</v>
      </c>
      <c r="O17">
        <v>99.3240722032305</v>
      </c>
      <c r="P17">
        <v>118.514342278181</v>
      </c>
      <c r="Q17">
        <v>139.773645844702</v>
      </c>
      <c r="R17">
        <v>163.01282603524</v>
      </c>
      <c r="S17">
        <v>188.158129231122</v>
      </c>
      <c r="T17">
        <v>215.086000673366</v>
      </c>
      <c r="U17">
        <v>243.633869506012</v>
      </c>
      <c r="V17">
        <v>5</v>
      </c>
      <c r="AF17" s="99" t="s">
        <v>272</v>
      </c>
      <c r="AH17">
        <v>1</v>
      </c>
      <c r="AI17">
        <v>1.02246891243641</v>
      </c>
      <c r="AJ17">
        <v>1.24938302921191</v>
      </c>
      <c r="AK17">
        <v>1.59660851081695</v>
      </c>
      <c r="AL17">
        <v>2.08504784266403</v>
      </c>
      <c r="AM17">
        <v>2.68343024980208</v>
      </c>
      <c r="AN17">
        <v>3.43061745145576</v>
      </c>
      <c r="AO17">
        <v>4.36282278169176</v>
      </c>
      <c r="AP17">
        <v>5.51907412505686</v>
      </c>
      <c r="AQ17">
        <v>6.93831073081934</v>
      </c>
      <c r="AR17">
        <v>8.66105910457652</v>
      </c>
      <c r="AS17">
        <v>10.7052920010157</v>
      </c>
      <c r="AT17">
        <v>13.1033847939631</v>
      </c>
      <c r="AU17">
        <v>15.8686875832727</v>
      </c>
      <c r="AV17">
        <v>19.0189860674954</v>
      </c>
      <c r="AW17">
        <v>22.575041414736</v>
      </c>
      <c r="AX17">
        <v>26.5513879418483</v>
      </c>
      <c r="AY17">
        <v>30.9565185519041</v>
      </c>
      <c r="AZ17">
        <v>0</v>
      </c>
      <c r="BA17">
        <v>0</v>
      </c>
      <c r="BB17">
        <v>0</v>
      </c>
      <c r="BC17">
        <v>0</v>
      </c>
      <c r="BD17">
        <v>0</v>
      </c>
      <c r="BE17">
        <v>0</v>
      </c>
      <c r="BF17">
        <v>0</v>
      </c>
      <c r="BG17">
        <v>0</v>
      </c>
      <c r="BI17" t="s">
        <v>273</v>
      </c>
      <c r="BK17">
        <v>1</v>
      </c>
      <c r="BL17">
        <v>0.997560975609757</v>
      </c>
      <c r="BM17">
        <v>0.985365853658537</v>
      </c>
      <c r="BN17">
        <v>0.973170731707317</v>
      </c>
      <c r="BO17">
        <v>0.960975609756098</v>
      </c>
      <c r="BP17">
        <v>0.948780487804878</v>
      </c>
      <c r="BQ17">
        <v>0.936585365853658</v>
      </c>
      <c r="BR17">
        <v>0.924390243902439</v>
      </c>
      <c r="BS17">
        <v>0.91219512195122</v>
      </c>
      <c r="BT17">
        <v>0.9</v>
      </c>
      <c r="BU17">
        <v>0.8875</v>
      </c>
      <c r="BV17">
        <v>0.875000000000001</v>
      </c>
      <c r="BW17">
        <v>0.862500000000001</v>
      </c>
      <c r="BX17">
        <v>0.850000000000001</v>
      </c>
      <c r="BY17">
        <v>0.8375</v>
      </c>
      <c r="BZ17">
        <v>0.825000000000001</v>
      </c>
      <c r="CA17">
        <v>0.812500000000001</v>
      </c>
      <c r="CB17">
        <v>0.800000000000001</v>
      </c>
      <c r="CC17" t="e">
        <v>#VALUE!</v>
      </c>
      <c r="CD17" t="e">
        <v>#VALUE!</v>
      </c>
      <c r="CE17" t="e">
        <v>#VALUE!</v>
      </c>
      <c r="CF17" t="e">
        <v>#VALUE!</v>
      </c>
      <c r="CG17" t="e">
        <v>#VALUE!</v>
      </c>
      <c r="CH17" t="e">
        <v>#VALUE!</v>
      </c>
      <c r="CI17" t="e">
        <v>#VALUE!</v>
      </c>
      <c r="CJ17" t="e">
        <v>#VALUE!</v>
      </c>
    </row>
    <row r="18" spans="1:88">
      <c r="A18" t="s">
        <v>5</v>
      </c>
      <c r="B18" t="s">
        <v>276</v>
      </c>
      <c r="C18" t="s">
        <v>276</v>
      </c>
      <c r="D18">
        <v>4.68191882628</v>
      </c>
      <c r="E18">
        <v>4.81437254044958</v>
      </c>
      <c r="F18">
        <v>5.46850091733947</v>
      </c>
      <c r="G18">
        <v>6.15808397610841</v>
      </c>
      <c r="H18">
        <v>6.86787428674687</v>
      </c>
      <c r="I18">
        <v>7.58517428493052</v>
      </c>
      <c r="J18">
        <v>8.29667770632205</v>
      </c>
      <c r="K18">
        <v>8.98931157796759</v>
      </c>
      <c r="L18">
        <v>9.64533671395603</v>
      </c>
      <c r="M18">
        <v>10.2582968671971</v>
      </c>
      <c r="N18">
        <v>10.818802726809</v>
      </c>
      <c r="O18">
        <v>11.3229112908723</v>
      </c>
      <c r="P18">
        <v>11.7655249398965</v>
      </c>
      <c r="Q18">
        <v>12.1431498335553</v>
      </c>
      <c r="R18">
        <v>12.4556488684032</v>
      </c>
      <c r="S18">
        <v>12.7054398122926</v>
      </c>
      <c r="T18">
        <v>12.8947974098095</v>
      </c>
      <c r="U18">
        <v>13.0281374717101</v>
      </c>
      <c r="V18">
        <v>5</v>
      </c>
      <c r="AF18" s="99" t="s">
        <v>277</v>
      </c>
      <c r="AH18">
        <v>1</v>
      </c>
      <c r="AI18">
        <v>1.02835964629207</v>
      </c>
      <c r="AJ18">
        <v>1.17015787775242</v>
      </c>
      <c r="AK18">
        <v>1.32178389095272</v>
      </c>
      <c r="AL18">
        <v>1.4803215894015</v>
      </c>
      <c r="AM18">
        <v>1.64327701361462</v>
      </c>
      <c r="AN18">
        <v>1.807856173634</v>
      </c>
      <c r="AO18">
        <v>1.97112678896917</v>
      </c>
      <c r="AP18">
        <v>2.12882285563043</v>
      </c>
      <c r="AQ18">
        <v>2.27914115883496</v>
      </c>
      <c r="AR18">
        <v>2.41945733999278</v>
      </c>
      <c r="AS18">
        <v>2.54829854847816</v>
      </c>
      <c r="AT18">
        <v>2.6637921436305</v>
      </c>
      <c r="AU18">
        <v>2.76437656345089</v>
      </c>
      <c r="AV18">
        <v>2.84931997770064</v>
      </c>
      <c r="AW18">
        <v>2.91858238898645</v>
      </c>
      <c r="AX18">
        <v>2.97211785895335</v>
      </c>
      <c r="AY18">
        <v>3.01053474588593</v>
      </c>
      <c r="AZ18">
        <v>0</v>
      </c>
      <c r="BA18">
        <v>0</v>
      </c>
      <c r="BB18">
        <v>0</v>
      </c>
      <c r="BC18">
        <v>0</v>
      </c>
      <c r="BD18">
        <v>0</v>
      </c>
      <c r="BE18">
        <v>0</v>
      </c>
      <c r="BF18">
        <v>0</v>
      </c>
      <c r="BG18">
        <v>0</v>
      </c>
      <c r="BI18" t="s">
        <v>273</v>
      </c>
      <c r="BK18">
        <v>1</v>
      </c>
      <c r="BL18">
        <v>0.997560975609757</v>
      </c>
      <c r="BM18">
        <v>0.985365853658537</v>
      </c>
      <c r="BN18">
        <v>0.973170731707317</v>
      </c>
      <c r="BO18">
        <v>0.960975609756098</v>
      </c>
      <c r="BP18">
        <v>0.948780487804878</v>
      </c>
      <c r="BQ18">
        <v>0.936585365853658</v>
      </c>
      <c r="BR18">
        <v>0.924390243902439</v>
      </c>
      <c r="BS18">
        <v>0.91219512195122</v>
      </c>
      <c r="BT18">
        <v>0.9</v>
      </c>
      <c r="BU18">
        <v>0.8875</v>
      </c>
      <c r="BV18">
        <v>0.875000000000001</v>
      </c>
      <c r="BW18">
        <v>0.862500000000001</v>
      </c>
      <c r="BX18">
        <v>0.850000000000001</v>
      </c>
      <c r="BY18">
        <v>0.8375</v>
      </c>
      <c r="BZ18">
        <v>0.825000000000001</v>
      </c>
      <c r="CA18">
        <v>0.812500000000001</v>
      </c>
      <c r="CB18">
        <v>0.800000000000001</v>
      </c>
      <c r="CC18" t="e">
        <v>#VALUE!</v>
      </c>
      <c r="CD18" t="e">
        <v>#VALUE!</v>
      </c>
      <c r="CE18" t="e">
        <v>#VALUE!</v>
      </c>
      <c r="CF18" t="e">
        <v>#VALUE!</v>
      </c>
      <c r="CG18" t="e">
        <v>#VALUE!</v>
      </c>
      <c r="CH18" t="e">
        <v>#VALUE!</v>
      </c>
      <c r="CI18" t="e">
        <v>#VALUE!</v>
      </c>
      <c r="CJ18" t="e">
        <v>#VALUE!</v>
      </c>
    </row>
    <row r="19" spans="1:88">
      <c r="A19" t="s">
        <v>5</v>
      </c>
      <c r="B19" t="s">
        <v>278</v>
      </c>
      <c r="C19" t="s">
        <v>278</v>
      </c>
      <c r="D19">
        <v>23.5543757688</v>
      </c>
      <c r="E19">
        <v>24.0823261432321</v>
      </c>
      <c r="F19">
        <v>29.3486473544012</v>
      </c>
      <c r="G19">
        <v>37.2863187383714</v>
      </c>
      <c r="H19">
        <v>48.2479215455155</v>
      </c>
      <c r="I19">
        <v>61.3852526521855</v>
      </c>
      <c r="J19">
        <v>77.3937485304518</v>
      </c>
      <c r="K19">
        <v>96.8339393975237</v>
      </c>
      <c r="L19">
        <v>120.243864473123</v>
      </c>
      <c r="M19">
        <v>148.072634515083</v>
      </c>
      <c r="N19">
        <v>180.702198314156</v>
      </c>
      <c r="O19">
        <v>218.021272352144</v>
      </c>
      <c r="P19">
        <v>260.144868432269</v>
      </c>
      <c r="Q19">
        <v>306.810095804436</v>
      </c>
      <c r="R19">
        <v>357.821250715553</v>
      </c>
      <c r="S19">
        <v>413.01644030896</v>
      </c>
      <c r="T19">
        <v>472.124455751183</v>
      </c>
      <c r="U19">
        <v>534.788445937775</v>
      </c>
      <c r="V19">
        <v>5</v>
      </c>
      <c r="AF19" s="99" t="s">
        <v>272</v>
      </c>
      <c r="AH19">
        <v>1</v>
      </c>
      <c r="AI19">
        <v>1.02246891243641</v>
      </c>
      <c r="AJ19">
        <v>1.24938302921191</v>
      </c>
      <c r="AK19">
        <v>1.59660851081695</v>
      </c>
      <c r="AL19">
        <v>2.08504784266403</v>
      </c>
      <c r="AM19">
        <v>2.68343024980208</v>
      </c>
      <c r="AN19">
        <v>3.43061745145576</v>
      </c>
      <c r="AO19">
        <v>4.36282278169176</v>
      </c>
      <c r="AP19">
        <v>5.51907412505686</v>
      </c>
      <c r="AQ19">
        <v>6.93831073081934</v>
      </c>
      <c r="AR19">
        <v>8.66105910457652</v>
      </c>
      <c r="AS19">
        <v>10.7052920010157</v>
      </c>
      <c r="AT19">
        <v>13.1033847939631</v>
      </c>
      <c r="AU19">
        <v>15.8686875832727</v>
      </c>
      <c r="AV19">
        <v>19.0189860674954</v>
      </c>
      <c r="AW19">
        <v>22.575041414736</v>
      </c>
      <c r="AX19">
        <v>26.5513879418483</v>
      </c>
      <c r="AY19">
        <v>30.9565185519041</v>
      </c>
      <c r="AZ19">
        <v>0</v>
      </c>
      <c r="BA19">
        <v>0</v>
      </c>
      <c r="BB19">
        <v>0</v>
      </c>
      <c r="BC19">
        <v>0</v>
      </c>
      <c r="BD19">
        <v>0</v>
      </c>
      <c r="BE19">
        <v>0</v>
      </c>
      <c r="BF19">
        <v>0</v>
      </c>
      <c r="BG19">
        <v>0</v>
      </c>
      <c r="BI19" t="s">
        <v>273</v>
      </c>
      <c r="BK19">
        <v>1</v>
      </c>
      <c r="BL19">
        <v>0.997560975609757</v>
      </c>
      <c r="BM19">
        <v>0.985365853658537</v>
      </c>
      <c r="BN19">
        <v>0.973170731707317</v>
      </c>
      <c r="BO19">
        <v>0.960975609756098</v>
      </c>
      <c r="BP19">
        <v>0.948780487804878</v>
      </c>
      <c r="BQ19">
        <v>0.936585365853658</v>
      </c>
      <c r="BR19">
        <v>0.924390243902439</v>
      </c>
      <c r="BS19">
        <v>0.91219512195122</v>
      </c>
      <c r="BT19">
        <v>0.9</v>
      </c>
      <c r="BU19">
        <v>0.8875</v>
      </c>
      <c r="BV19">
        <v>0.875000000000001</v>
      </c>
      <c r="BW19">
        <v>0.862500000000001</v>
      </c>
      <c r="BX19">
        <v>0.850000000000001</v>
      </c>
      <c r="BY19">
        <v>0.8375</v>
      </c>
      <c r="BZ19">
        <v>0.825000000000001</v>
      </c>
      <c r="CA19">
        <v>0.812500000000001</v>
      </c>
      <c r="CB19">
        <v>0.800000000000001</v>
      </c>
      <c r="CC19" t="e">
        <v>#VALUE!</v>
      </c>
      <c r="CD19" t="e">
        <v>#VALUE!</v>
      </c>
      <c r="CE19" t="e">
        <v>#VALUE!</v>
      </c>
      <c r="CF19" t="e">
        <v>#VALUE!</v>
      </c>
      <c r="CG19" t="e">
        <v>#VALUE!</v>
      </c>
      <c r="CH19" t="e">
        <v>#VALUE!</v>
      </c>
      <c r="CI19" t="e">
        <v>#VALUE!</v>
      </c>
      <c r="CJ19" t="e">
        <v>#VALUE!</v>
      </c>
    </row>
    <row r="20" spans="1:88">
      <c r="A20" t="s">
        <v>5</v>
      </c>
      <c r="B20" t="s">
        <v>279</v>
      </c>
      <c r="C20" t="s">
        <v>279</v>
      </c>
      <c r="D20">
        <v>88.4268823464</v>
      </c>
      <c r="E20">
        <v>90.4088922329234</v>
      </c>
      <c r="F20">
        <v>110.179501766768</v>
      </c>
      <c r="G20">
        <v>139.978785792136</v>
      </c>
      <c r="H20">
        <v>181.130390541485</v>
      </c>
      <c r="I20">
        <v>230.450026243909</v>
      </c>
      <c r="J20">
        <v>290.548472301875</v>
      </c>
      <c r="K20">
        <v>363.530048526499</v>
      </c>
      <c r="L20">
        <v>451.414639938174</v>
      </c>
      <c r="M20">
        <v>555.888279931852</v>
      </c>
      <c r="N20">
        <v>678.384865169184</v>
      </c>
      <c r="O20">
        <v>818.486619578868</v>
      </c>
      <c r="P20">
        <v>976.625315808653</v>
      </c>
      <c r="Q20">
        <v>1151.81402006515</v>
      </c>
      <c r="R20">
        <v>1343.31802925456</v>
      </c>
      <c r="S20">
        <v>1550.52957177943</v>
      </c>
      <c r="T20">
        <v>1772.43048643504</v>
      </c>
      <c r="U20">
        <v>2007.68109727592</v>
      </c>
      <c r="V20">
        <v>5</v>
      </c>
      <c r="AF20" s="99" t="s">
        <v>272</v>
      </c>
      <c r="AH20">
        <v>1</v>
      </c>
      <c r="AI20">
        <v>1.02246891243641</v>
      </c>
      <c r="AJ20">
        <v>1.24938302921191</v>
      </c>
      <c r="AK20">
        <v>1.59660851081695</v>
      </c>
      <c r="AL20">
        <v>2.08504784266403</v>
      </c>
      <c r="AM20">
        <v>2.68343024980208</v>
      </c>
      <c r="AN20">
        <v>3.43061745145576</v>
      </c>
      <c r="AO20">
        <v>4.36282278169176</v>
      </c>
      <c r="AP20">
        <v>5.51907412505686</v>
      </c>
      <c r="AQ20">
        <v>6.93831073081934</v>
      </c>
      <c r="AR20">
        <v>8.66105910457652</v>
      </c>
      <c r="AS20">
        <v>10.7052920010157</v>
      </c>
      <c r="AT20">
        <v>13.1033847939631</v>
      </c>
      <c r="AU20">
        <v>15.8686875832727</v>
      </c>
      <c r="AV20">
        <v>19.0189860674954</v>
      </c>
      <c r="AW20">
        <v>22.575041414736</v>
      </c>
      <c r="AX20">
        <v>26.5513879418483</v>
      </c>
      <c r="AY20">
        <v>30.9565185519041</v>
      </c>
      <c r="AZ20">
        <v>0</v>
      </c>
      <c r="BA20">
        <v>0</v>
      </c>
      <c r="BB20">
        <v>0</v>
      </c>
      <c r="BC20">
        <v>0</v>
      </c>
      <c r="BD20">
        <v>0</v>
      </c>
      <c r="BE20">
        <v>0</v>
      </c>
      <c r="BF20">
        <v>0</v>
      </c>
      <c r="BG20">
        <v>0</v>
      </c>
      <c r="BI20" t="s">
        <v>273</v>
      </c>
      <c r="BK20">
        <v>1</v>
      </c>
      <c r="BL20">
        <v>0.997560975609757</v>
      </c>
      <c r="BM20">
        <v>0.985365853658537</v>
      </c>
      <c r="BN20">
        <v>0.973170731707317</v>
      </c>
      <c r="BO20">
        <v>0.960975609756098</v>
      </c>
      <c r="BP20">
        <v>0.948780487804878</v>
      </c>
      <c r="BQ20">
        <v>0.936585365853658</v>
      </c>
      <c r="BR20">
        <v>0.924390243902439</v>
      </c>
      <c r="BS20">
        <v>0.91219512195122</v>
      </c>
      <c r="BT20">
        <v>0.9</v>
      </c>
      <c r="BU20">
        <v>0.8875</v>
      </c>
      <c r="BV20">
        <v>0.875000000000001</v>
      </c>
      <c r="BW20">
        <v>0.862500000000001</v>
      </c>
      <c r="BX20">
        <v>0.850000000000001</v>
      </c>
      <c r="BY20">
        <v>0.8375</v>
      </c>
      <c r="BZ20">
        <v>0.825000000000001</v>
      </c>
      <c r="CA20">
        <v>0.812500000000001</v>
      </c>
      <c r="CB20">
        <v>0.800000000000001</v>
      </c>
      <c r="CC20" t="e">
        <v>#VALUE!</v>
      </c>
      <c r="CD20" t="e">
        <v>#VALUE!</v>
      </c>
      <c r="CE20" t="e">
        <v>#VALUE!</v>
      </c>
      <c r="CF20" t="e">
        <v>#VALUE!</v>
      </c>
      <c r="CG20" t="e">
        <v>#VALUE!</v>
      </c>
      <c r="CH20" t="e">
        <v>#VALUE!</v>
      </c>
      <c r="CI20" t="e">
        <v>#VALUE!</v>
      </c>
      <c r="CJ20" t="e">
        <v>#VALUE!</v>
      </c>
    </row>
    <row r="21" spans="1:88">
      <c r="A21" t="s">
        <v>5</v>
      </c>
      <c r="B21" t="s">
        <v>280</v>
      </c>
      <c r="C21" t="s">
        <v>280</v>
      </c>
      <c r="D21">
        <v>430.612</v>
      </c>
      <c r="E21">
        <v>442.794218633489</v>
      </c>
      <c r="F21">
        <v>502.956630473746</v>
      </c>
      <c r="G21">
        <v>566.379930005521</v>
      </c>
      <c r="H21">
        <v>631.661759226702</v>
      </c>
      <c r="I21">
        <v>697.634279955618</v>
      </c>
      <c r="J21">
        <v>763.073669799907</v>
      </c>
      <c r="K21">
        <v>826.777562969283</v>
      </c>
      <c r="L21">
        <v>887.114426195659</v>
      </c>
      <c r="M21">
        <v>943.490456473223</v>
      </c>
      <c r="N21">
        <v>995.042086942428</v>
      </c>
      <c r="O21">
        <v>1041.40666630462</v>
      </c>
      <c r="P21">
        <v>1082.11534915572</v>
      </c>
      <c r="Q21">
        <v>1116.8467951166</v>
      </c>
      <c r="R21">
        <v>1145.58839431704</v>
      </c>
      <c r="S21">
        <v>1168.56251709046</v>
      </c>
      <c r="T21">
        <v>1185.97837943395</v>
      </c>
      <c r="U21">
        <v>1198.24211848318</v>
      </c>
      <c r="V21">
        <v>5</v>
      </c>
      <c r="AF21" s="99" t="s">
        <v>277</v>
      </c>
      <c r="AH21">
        <v>1</v>
      </c>
      <c r="AI21">
        <v>1.02835964629207</v>
      </c>
      <c r="AJ21">
        <v>1.17015787775242</v>
      </c>
      <c r="AK21">
        <v>1.32178389095272</v>
      </c>
      <c r="AL21">
        <v>1.4803215894015</v>
      </c>
      <c r="AM21">
        <v>1.64327701361462</v>
      </c>
      <c r="AN21">
        <v>1.807856173634</v>
      </c>
      <c r="AO21">
        <v>1.97112678896917</v>
      </c>
      <c r="AP21">
        <v>2.12882285563043</v>
      </c>
      <c r="AQ21">
        <v>2.27914115883496</v>
      </c>
      <c r="AR21">
        <v>2.41945733999278</v>
      </c>
      <c r="AS21">
        <v>2.54829854847816</v>
      </c>
      <c r="AT21">
        <v>2.6637921436305</v>
      </c>
      <c r="AU21">
        <v>2.76437656345089</v>
      </c>
      <c r="AV21">
        <v>2.84931997770064</v>
      </c>
      <c r="AW21">
        <v>2.91858238898645</v>
      </c>
      <c r="AX21">
        <v>2.97211785895335</v>
      </c>
      <c r="AY21">
        <v>3.01053474588593</v>
      </c>
      <c r="AZ21">
        <v>0</v>
      </c>
      <c r="BA21">
        <v>0</v>
      </c>
      <c r="BB21">
        <v>0</v>
      </c>
      <c r="BC21">
        <v>0</v>
      </c>
      <c r="BD21">
        <v>0</v>
      </c>
      <c r="BE21">
        <v>0</v>
      </c>
      <c r="BF21">
        <v>0</v>
      </c>
      <c r="BG21">
        <v>0</v>
      </c>
      <c r="BI21" t="s">
        <v>273</v>
      </c>
      <c r="BK21">
        <v>1</v>
      </c>
      <c r="BL21">
        <v>0.997560975609757</v>
      </c>
      <c r="BM21">
        <v>0.985365853658537</v>
      </c>
      <c r="BN21">
        <v>0.973170731707317</v>
      </c>
      <c r="BO21">
        <v>0.960975609756098</v>
      </c>
      <c r="BP21">
        <v>0.948780487804878</v>
      </c>
      <c r="BQ21">
        <v>0.936585365853658</v>
      </c>
      <c r="BR21">
        <v>0.924390243902439</v>
      </c>
      <c r="BS21">
        <v>0.91219512195122</v>
      </c>
      <c r="BT21">
        <v>0.9</v>
      </c>
      <c r="BU21">
        <v>0.8875</v>
      </c>
      <c r="BV21">
        <v>0.875000000000001</v>
      </c>
      <c r="BW21">
        <v>0.862500000000001</v>
      </c>
      <c r="BX21">
        <v>0.850000000000001</v>
      </c>
      <c r="BY21">
        <v>0.8375</v>
      </c>
      <c r="BZ21">
        <v>0.825000000000001</v>
      </c>
      <c r="CA21">
        <v>0.812500000000001</v>
      </c>
      <c r="CB21">
        <v>0.800000000000001</v>
      </c>
      <c r="CC21" t="e">
        <v>#VALUE!</v>
      </c>
      <c r="CD21" t="e">
        <v>#VALUE!</v>
      </c>
      <c r="CE21" t="e">
        <v>#VALUE!</v>
      </c>
      <c r="CF21" t="e">
        <v>#VALUE!</v>
      </c>
      <c r="CG21" t="e">
        <v>#VALUE!</v>
      </c>
      <c r="CH21" t="e">
        <v>#VALUE!</v>
      </c>
      <c r="CI21" t="e">
        <v>#VALUE!</v>
      </c>
      <c r="CJ21" t="e">
        <v>#VALUE!</v>
      </c>
    </row>
    <row r="22" spans="1:88">
      <c r="A22" t="s">
        <v>5</v>
      </c>
      <c r="B22" t="s">
        <v>281</v>
      </c>
      <c r="C22" t="s">
        <v>281</v>
      </c>
      <c r="D22">
        <v>72.945</v>
      </c>
      <c r="E22">
        <v>75.0086488026805</v>
      </c>
      <c r="F22">
        <v>85.2000673690175</v>
      </c>
      <c r="G22">
        <v>95.9438752153974</v>
      </c>
      <c r="H22">
        <v>107.002515087345</v>
      </c>
      <c r="I22">
        <v>118.178157021547</v>
      </c>
      <c r="J22">
        <v>129.263487416872</v>
      </c>
      <c r="K22">
        <v>140.054827387055</v>
      </c>
      <c r="L22">
        <v>150.275797745633</v>
      </c>
      <c r="M22">
        <v>159.825809191196</v>
      </c>
      <c r="N22">
        <v>168.558574846998</v>
      </c>
      <c r="O22">
        <v>176.412662149663</v>
      </c>
      <c r="P22">
        <v>183.308649420276</v>
      </c>
      <c r="Q22">
        <v>189.192102100686</v>
      </c>
      <c r="R22">
        <v>194.060884098577</v>
      </c>
      <c r="S22">
        <v>197.952664600994</v>
      </c>
      <c r="T22">
        <v>200.902884470961</v>
      </c>
      <c r="U22">
        <v>202.980342704699</v>
      </c>
      <c r="V22">
        <v>5</v>
      </c>
      <c r="AF22" s="99" t="s">
        <v>277</v>
      </c>
      <c r="AH22">
        <v>1</v>
      </c>
      <c r="AI22">
        <v>1.02835964629207</v>
      </c>
      <c r="AJ22">
        <v>1.17015787775242</v>
      </c>
      <c r="AK22">
        <v>1.32178389095272</v>
      </c>
      <c r="AL22">
        <v>1.4803215894015</v>
      </c>
      <c r="AM22">
        <v>1.64327701361462</v>
      </c>
      <c r="AN22">
        <v>1.807856173634</v>
      </c>
      <c r="AO22">
        <v>1.97112678896917</v>
      </c>
      <c r="AP22">
        <v>2.12882285563043</v>
      </c>
      <c r="AQ22">
        <v>2.27914115883496</v>
      </c>
      <c r="AR22">
        <v>2.41945733999278</v>
      </c>
      <c r="AS22">
        <v>2.54829854847816</v>
      </c>
      <c r="AT22">
        <v>2.6637921436305</v>
      </c>
      <c r="AU22">
        <v>2.76437656345089</v>
      </c>
      <c r="AV22">
        <v>2.84931997770064</v>
      </c>
      <c r="AW22">
        <v>2.91858238898645</v>
      </c>
      <c r="AX22">
        <v>2.97211785895335</v>
      </c>
      <c r="AY22">
        <v>3.01053474588593</v>
      </c>
      <c r="AZ22">
        <v>0</v>
      </c>
      <c r="BA22">
        <v>0</v>
      </c>
      <c r="BB22">
        <v>0</v>
      </c>
      <c r="BC22">
        <v>0</v>
      </c>
      <c r="BD22">
        <v>0</v>
      </c>
      <c r="BE22">
        <v>0</v>
      </c>
      <c r="BF22">
        <v>0</v>
      </c>
      <c r="BG22">
        <v>0</v>
      </c>
      <c r="BI22" t="s">
        <v>273</v>
      </c>
      <c r="BK22">
        <v>1</v>
      </c>
      <c r="BL22">
        <v>0.997560975609757</v>
      </c>
      <c r="BM22">
        <v>0.985365853658537</v>
      </c>
      <c r="BN22">
        <v>0.973170731707317</v>
      </c>
      <c r="BO22">
        <v>0.960975609756098</v>
      </c>
      <c r="BP22">
        <v>0.948780487804878</v>
      </c>
      <c r="BQ22">
        <v>0.936585365853658</v>
      </c>
      <c r="BR22">
        <v>0.924390243902439</v>
      </c>
      <c r="BS22">
        <v>0.91219512195122</v>
      </c>
      <c r="BT22">
        <v>0.9</v>
      </c>
      <c r="BU22">
        <v>0.8875</v>
      </c>
      <c r="BV22">
        <v>0.875000000000001</v>
      </c>
      <c r="BW22">
        <v>0.862500000000001</v>
      </c>
      <c r="BX22">
        <v>0.850000000000001</v>
      </c>
      <c r="BY22">
        <v>0.8375</v>
      </c>
      <c r="BZ22">
        <v>0.825000000000001</v>
      </c>
      <c r="CA22">
        <v>0.812500000000001</v>
      </c>
      <c r="CB22">
        <v>0.800000000000001</v>
      </c>
      <c r="CC22" t="e">
        <v>#VALUE!</v>
      </c>
      <c r="CD22" t="e">
        <v>#VALUE!</v>
      </c>
      <c r="CE22" t="e">
        <v>#VALUE!</v>
      </c>
      <c r="CF22" t="e">
        <v>#VALUE!</v>
      </c>
      <c r="CG22" t="e">
        <v>#VALUE!</v>
      </c>
      <c r="CH22" t="e">
        <v>#VALUE!</v>
      </c>
      <c r="CI22" t="e">
        <v>#VALUE!</v>
      </c>
      <c r="CJ22" t="e">
        <v>#VALUE!</v>
      </c>
    </row>
    <row r="23" spans="1:88">
      <c r="A23" t="s">
        <v>5</v>
      </c>
      <c r="B23" t="s">
        <v>282</v>
      </c>
      <c r="C23" t="s">
        <v>282</v>
      </c>
      <c r="D23">
        <v>22.435</v>
      </c>
      <c r="E23">
        <v>23.0696968385515</v>
      </c>
      <c r="F23">
        <v>26.2041745345659</v>
      </c>
      <c r="G23">
        <v>29.5085453486523</v>
      </c>
      <c r="H23">
        <v>32.9097460550358</v>
      </c>
      <c r="I23">
        <v>36.3469319731087</v>
      </c>
      <c r="J23">
        <v>39.7563416299613</v>
      </c>
      <c r="K23">
        <v>43.0753314473722</v>
      </c>
      <c r="L23">
        <v>46.2188981071117</v>
      </c>
      <c r="M23">
        <v>49.1561043142708</v>
      </c>
      <c r="N23">
        <v>51.8419580052422</v>
      </c>
      <c r="O23">
        <v>54.2575649506847</v>
      </c>
      <c r="P23">
        <v>56.378498180052</v>
      </c>
      <c r="Q23">
        <v>58.1880157739241</v>
      </c>
      <c r="R23">
        <v>59.6854607546999</v>
      </c>
      <c r="S23">
        <v>60.8824186760341</v>
      </c>
      <c r="T23">
        <v>61.7897897471522</v>
      </c>
      <c r="U23">
        <v>62.4287338210969</v>
      </c>
      <c r="V23">
        <v>5</v>
      </c>
      <c r="AF23" s="99" t="s">
        <v>277</v>
      </c>
      <c r="AH23">
        <v>1</v>
      </c>
      <c r="AI23">
        <v>1.02835964629207</v>
      </c>
      <c r="AJ23">
        <v>1.17015787775242</v>
      </c>
      <c r="AK23">
        <v>1.32178389095272</v>
      </c>
      <c r="AL23">
        <v>1.4803215894015</v>
      </c>
      <c r="AM23">
        <v>1.64327701361462</v>
      </c>
      <c r="AN23">
        <v>1.807856173634</v>
      </c>
      <c r="AO23">
        <v>1.97112678896917</v>
      </c>
      <c r="AP23">
        <v>2.12882285563043</v>
      </c>
      <c r="AQ23">
        <v>2.27914115883496</v>
      </c>
      <c r="AR23">
        <v>2.41945733999278</v>
      </c>
      <c r="AS23">
        <v>2.54829854847816</v>
      </c>
      <c r="AT23">
        <v>2.6637921436305</v>
      </c>
      <c r="AU23">
        <v>2.76437656345089</v>
      </c>
      <c r="AV23">
        <v>2.84931997770064</v>
      </c>
      <c r="AW23">
        <v>2.91858238898645</v>
      </c>
      <c r="AX23">
        <v>2.97211785895335</v>
      </c>
      <c r="AY23">
        <v>3.01053474588593</v>
      </c>
      <c r="AZ23">
        <v>0</v>
      </c>
      <c r="BA23">
        <v>0</v>
      </c>
      <c r="BB23">
        <v>0</v>
      </c>
      <c r="BC23">
        <v>0</v>
      </c>
      <c r="BD23">
        <v>0</v>
      </c>
      <c r="BE23">
        <v>0</v>
      </c>
      <c r="BF23">
        <v>0</v>
      </c>
      <c r="BG23">
        <v>0</v>
      </c>
      <c r="BI23" t="s">
        <v>273</v>
      </c>
      <c r="BK23">
        <v>1</v>
      </c>
      <c r="BL23">
        <v>0.997560975609757</v>
      </c>
      <c r="BM23">
        <v>0.985365853658537</v>
      </c>
      <c r="BN23">
        <v>0.973170731707317</v>
      </c>
      <c r="BO23">
        <v>0.960975609756098</v>
      </c>
      <c r="BP23">
        <v>0.948780487804878</v>
      </c>
      <c r="BQ23">
        <v>0.936585365853658</v>
      </c>
      <c r="BR23">
        <v>0.924390243902439</v>
      </c>
      <c r="BS23">
        <v>0.91219512195122</v>
      </c>
      <c r="BT23">
        <v>0.9</v>
      </c>
      <c r="BU23">
        <v>0.8875</v>
      </c>
      <c r="BV23">
        <v>0.875000000000001</v>
      </c>
      <c r="BW23">
        <v>0.862500000000001</v>
      </c>
      <c r="BX23">
        <v>0.850000000000001</v>
      </c>
      <c r="BY23">
        <v>0.8375</v>
      </c>
      <c r="BZ23">
        <v>0.825000000000001</v>
      </c>
      <c r="CA23">
        <v>0.812500000000001</v>
      </c>
      <c r="CB23">
        <v>0.800000000000001</v>
      </c>
      <c r="CC23" t="e">
        <v>#VALUE!</v>
      </c>
      <c r="CD23" t="e">
        <v>#VALUE!</v>
      </c>
      <c r="CE23" t="e">
        <v>#VALUE!</v>
      </c>
      <c r="CF23" t="e">
        <v>#VALUE!</v>
      </c>
      <c r="CG23" t="e">
        <v>#VALUE!</v>
      </c>
      <c r="CH23" t="e">
        <v>#VALUE!</v>
      </c>
      <c r="CI23" t="e">
        <v>#VALUE!</v>
      </c>
      <c r="CJ23" t="e">
        <v>#VALUE!</v>
      </c>
    </row>
    <row r="24" spans="1:88">
      <c r="A24" t="s">
        <v>5</v>
      </c>
      <c r="B24" t="s">
        <v>283</v>
      </c>
      <c r="C24" t="s">
        <v>283</v>
      </c>
      <c r="D24">
        <v>370.728</v>
      </c>
      <c r="E24">
        <v>368.609545137503</v>
      </c>
      <c r="F24">
        <v>395.435178075436</v>
      </c>
      <c r="G24">
        <v>445.971902816158</v>
      </c>
      <c r="H24">
        <v>517.141154478426</v>
      </c>
      <c r="I24">
        <v>595.333345692313</v>
      </c>
      <c r="J24">
        <v>685.695337785793</v>
      </c>
      <c r="K24">
        <v>791.163028948559</v>
      </c>
      <c r="L24">
        <v>914.800189861376</v>
      </c>
      <c r="M24">
        <v>1058.25315588521</v>
      </c>
      <c r="N24">
        <v>1223.45868731069</v>
      </c>
      <c r="O24">
        <v>1409.22996358322</v>
      </c>
      <c r="P24">
        <v>1617.00184979229</v>
      </c>
      <c r="Q24">
        <v>1846.49755642542</v>
      </c>
      <c r="R24">
        <v>2098.24711298761</v>
      </c>
      <c r="S24">
        <v>2373.14758692814</v>
      </c>
      <c r="T24">
        <v>2671.92673123458</v>
      </c>
      <c r="U24">
        <v>2994.76314727127</v>
      </c>
      <c r="V24">
        <v>5</v>
      </c>
      <c r="AF24" s="99" t="s">
        <v>284</v>
      </c>
      <c r="AH24">
        <v>1</v>
      </c>
      <c r="AI24">
        <v>0.994271718190323</v>
      </c>
      <c r="AJ24">
        <v>1.06770466871673</v>
      </c>
      <c r="AK24">
        <v>1.20791948044255</v>
      </c>
      <c r="AL24">
        <v>1.40851005456661</v>
      </c>
      <c r="AM24">
        <v>1.63297498082779</v>
      </c>
      <c r="AN24">
        <v>1.89761635991199</v>
      </c>
      <c r="AO24">
        <v>2.21336486628207</v>
      </c>
      <c r="AP24">
        <v>2.59254738385569</v>
      </c>
      <c r="AQ24">
        <v>3.04426546987814</v>
      </c>
      <c r="AR24">
        <v>3.57975276580091</v>
      </c>
      <c r="AS24">
        <v>4.20095675501165</v>
      </c>
      <c r="AT24">
        <v>4.91907179217984</v>
      </c>
      <c r="AU24">
        <v>5.7404218343767</v>
      </c>
      <c r="AV24">
        <v>6.67492110971807</v>
      </c>
      <c r="AW24">
        <v>7.73493374726207</v>
      </c>
      <c r="AX24">
        <v>8.93349093201792</v>
      </c>
      <c r="AY24">
        <v>10.2827308650757</v>
      </c>
      <c r="AZ24">
        <v>0</v>
      </c>
      <c r="BA24">
        <v>0</v>
      </c>
      <c r="BB24">
        <v>0</v>
      </c>
      <c r="BC24">
        <v>0</v>
      </c>
      <c r="BD24">
        <v>0</v>
      </c>
      <c r="BE24">
        <v>0</v>
      </c>
      <c r="BF24">
        <v>0</v>
      </c>
      <c r="BG24">
        <v>0</v>
      </c>
      <c r="BI24" t="s">
        <v>273</v>
      </c>
      <c r="BK24">
        <v>1</v>
      </c>
      <c r="BL24">
        <v>0.997560975609757</v>
      </c>
      <c r="BM24">
        <v>0.985365853658537</v>
      </c>
      <c r="BN24">
        <v>0.973170731707317</v>
      </c>
      <c r="BO24">
        <v>0.960975609756098</v>
      </c>
      <c r="BP24">
        <v>0.948780487804878</v>
      </c>
      <c r="BQ24">
        <v>0.936585365853658</v>
      </c>
      <c r="BR24">
        <v>0.924390243902439</v>
      </c>
      <c r="BS24">
        <v>0.91219512195122</v>
      </c>
      <c r="BT24">
        <v>0.9</v>
      </c>
      <c r="BU24">
        <v>0.8875</v>
      </c>
      <c r="BV24">
        <v>0.875000000000001</v>
      </c>
      <c r="BW24">
        <v>0.862500000000001</v>
      </c>
      <c r="BX24">
        <v>0.850000000000001</v>
      </c>
      <c r="BY24">
        <v>0.8375</v>
      </c>
      <c r="BZ24">
        <v>0.825000000000001</v>
      </c>
      <c r="CA24">
        <v>0.812500000000001</v>
      </c>
      <c r="CB24">
        <v>0.800000000000001</v>
      </c>
      <c r="CC24" t="e">
        <v>#VALUE!</v>
      </c>
      <c r="CD24" t="e">
        <v>#VALUE!</v>
      </c>
      <c r="CE24" t="e">
        <v>#VALUE!</v>
      </c>
      <c r="CF24" t="e">
        <v>#VALUE!</v>
      </c>
      <c r="CG24" t="e">
        <v>#VALUE!</v>
      </c>
      <c r="CH24" t="e">
        <v>#VALUE!</v>
      </c>
      <c r="CI24" t="e">
        <v>#VALUE!</v>
      </c>
      <c r="CJ24" t="e">
        <v>#VALUE!</v>
      </c>
    </row>
    <row r="25" spans="1:88">
      <c r="A25" t="s">
        <v>5</v>
      </c>
      <c r="B25" t="s">
        <v>285</v>
      </c>
      <c r="C25" t="s">
        <v>285</v>
      </c>
      <c r="D25">
        <v>55.8</v>
      </c>
      <c r="E25">
        <v>57.0507073497713</v>
      </c>
      <c r="F25">
        <v>69.5265516034102</v>
      </c>
      <c r="G25">
        <v>88.3307885559441</v>
      </c>
      <c r="H25">
        <v>114.29867845642</v>
      </c>
      <c r="I25">
        <v>145.42083949128</v>
      </c>
      <c r="J25">
        <v>183.344751327249</v>
      </c>
      <c r="K25">
        <v>229.398302524283</v>
      </c>
      <c r="L25">
        <v>284.856100771211</v>
      </c>
      <c r="M25">
        <v>350.782083424432</v>
      </c>
      <c r="N25">
        <v>428.08108204192</v>
      </c>
      <c r="O25">
        <v>516.489467462947</v>
      </c>
      <c r="P25">
        <v>616.279701105412</v>
      </c>
      <c r="Q25">
        <v>726.828998311414</v>
      </c>
      <c r="R25">
        <v>847.673739517023</v>
      </c>
      <c r="S25">
        <v>978.43040271808</v>
      </c>
      <c r="T25">
        <v>1118.45649782882</v>
      </c>
      <c r="U25">
        <v>1266.90664937321</v>
      </c>
      <c r="V25">
        <v>5</v>
      </c>
      <c r="AF25" s="99" t="s">
        <v>272</v>
      </c>
      <c r="AH25">
        <v>1</v>
      </c>
      <c r="AI25">
        <v>1.02246891243641</v>
      </c>
      <c r="AJ25">
        <v>1.24938302921191</v>
      </c>
      <c r="AK25">
        <v>1.59660851081695</v>
      </c>
      <c r="AL25">
        <v>2.08504784266403</v>
      </c>
      <c r="AM25">
        <v>2.68343024980208</v>
      </c>
      <c r="AN25">
        <v>3.43061745145576</v>
      </c>
      <c r="AO25">
        <v>4.36282278169176</v>
      </c>
      <c r="AP25">
        <v>5.51907412505686</v>
      </c>
      <c r="AQ25">
        <v>6.93831073081934</v>
      </c>
      <c r="AR25">
        <v>8.66105910457652</v>
      </c>
      <c r="AS25">
        <v>10.7052920010157</v>
      </c>
      <c r="AT25">
        <v>13.1033847939631</v>
      </c>
      <c r="AU25">
        <v>15.8686875832727</v>
      </c>
      <c r="AV25">
        <v>19.0189860674954</v>
      </c>
      <c r="AW25">
        <v>22.575041414736</v>
      </c>
      <c r="AX25">
        <v>26.5513879418483</v>
      </c>
      <c r="AY25">
        <v>30.9565185519041</v>
      </c>
      <c r="AZ25">
        <v>0</v>
      </c>
      <c r="BA25">
        <v>0</v>
      </c>
      <c r="BB25">
        <v>0</v>
      </c>
      <c r="BC25">
        <v>0</v>
      </c>
      <c r="BD25">
        <v>0</v>
      </c>
      <c r="BE25">
        <v>0</v>
      </c>
      <c r="BF25">
        <v>0</v>
      </c>
      <c r="BG25">
        <v>0</v>
      </c>
      <c r="BI25" t="s">
        <v>273</v>
      </c>
      <c r="BK25">
        <v>1</v>
      </c>
      <c r="BL25">
        <v>0.997560975609757</v>
      </c>
      <c r="BM25">
        <v>0.985365853658537</v>
      </c>
      <c r="BN25">
        <v>0.973170731707317</v>
      </c>
      <c r="BO25">
        <v>0.960975609756098</v>
      </c>
      <c r="BP25">
        <v>0.948780487804878</v>
      </c>
      <c r="BQ25">
        <v>0.936585365853658</v>
      </c>
      <c r="BR25">
        <v>0.924390243902439</v>
      </c>
      <c r="BS25">
        <v>0.91219512195122</v>
      </c>
      <c r="BT25">
        <v>0.9</v>
      </c>
      <c r="BU25">
        <v>0.8875</v>
      </c>
      <c r="BV25">
        <v>0.875000000000001</v>
      </c>
      <c r="BW25">
        <v>0.862500000000001</v>
      </c>
      <c r="BX25">
        <v>0.850000000000001</v>
      </c>
      <c r="BY25">
        <v>0.8375</v>
      </c>
      <c r="BZ25">
        <v>0.825000000000001</v>
      </c>
      <c r="CA25">
        <v>0.812500000000001</v>
      </c>
      <c r="CB25">
        <v>0.800000000000001</v>
      </c>
      <c r="CC25" t="e">
        <v>#VALUE!</v>
      </c>
      <c r="CD25" t="e">
        <v>#VALUE!</v>
      </c>
      <c r="CE25" t="e">
        <v>#VALUE!</v>
      </c>
      <c r="CF25" t="e">
        <v>#VALUE!</v>
      </c>
      <c r="CG25" t="e">
        <v>#VALUE!</v>
      </c>
      <c r="CH25" t="e">
        <v>#VALUE!</v>
      </c>
      <c r="CI25" t="e">
        <v>#VALUE!</v>
      </c>
      <c r="CJ25" t="e">
        <v>#VALUE!</v>
      </c>
    </row>
    <row r="26" spans="1:88">
      <c r="A26" t="s">
        <v>5</v>
      </c>
      <c r="B26" t="s">
        <v>286</v>
      </c>
      <c r="C26" t="s">
        <v>286</v>
      </c>
      <c r="D26">
        <v>67.52</v>
      </c>
      <c r="E26">
        <v>69.0334007214437</v>
      </c>
      <c r="F26">
        <v>84.1296194312232</v>
      </c>
      <c r="G26">
        <v>106.883420130777</v>
      </c>
      <c r="H26">
        <v>138.305497659095</v>
      </c>
      <c r="I26">
        <v>175.964428000918</v>
      </c>
      <c r="J26">
        <v>221.853720602435</v>
      </c>
      <c r="K26">
        <v>277.580168215763</v>
      </c>
      <c r="L26">
        <v>344.68609182925</v>
      </c>
      <c r="M26">
        <v>424.458893778094</v>
      </c>
      <c r="N26">
        <v>517.993452678681</v>
      </c>
      <c r="O26">
        <v>624.970767797459</v>
      </c>
      <c r="P26">
        <v>745.720527215725</v>
      </c>
      <c r="Q26">
        <v>879.489139175389</v>
      </c>
      <c r="R26">
        <v>1025.71560738691</v>
      </c>
      <c r="S26">
        <v>1183.93585647894</v>
      </c>
      <c r="T26">
        <v>1353.37245041939</v>
      </c>
      <c r="U26">
        <v>1533.00245458206</v>
      </c>
      <c r="V26">
        <v>5</v>
      </c>
      <c r="AF26" s="99" t="s">
        <v>272</v>
      </c>
      <c r="AH26">
        <v>1</v>
      </c>
      <c r="AI26">
        <v>1.02246891243641</v>
      </c>
      <c r="AJ26">
        <v>1.24938302921191</v>
      </c>
      <c r="AK26">
        <v>1.59660851081695</v>
      </c>
      <c r="AL26">
        <v>2.08504784266403</v>
      </c>
      <c r="AM26">
        <v>2.68343024980208</v>
      </c>
      <c r="AN26">
        <v>3.43061745145576</v>
      </c>
      <c r="AO26">
        <v>4.36282278169176</v>
      </c>
      <c r="AP26">
        <v>5.51907412505686</v>
      </c>
      <c r="AQ26">
        <v>6.93831073081934</v>
      </c>
      <c r="AR26">
        <v>8.66105910457652</v>
      </c>
      <c r="AS26">
        <v>10.7052920010157</v>
      </c>
      <c r="AT26">
        <v>13.1033847939631</v>
      </c>
      <c r="AU26">
        <v>15.8686875832727</v>
      </c>
      <c r="AV26">
        <v>19.0189860674954</v>
      </c>
      <c r="AW26">
        <v>22.575041414736</v>
      </c>
      <c r="AX26">
        <v>26.5513879418483</v>
      </c>
      <c r="AY26">
        <v>30.9565185519041</v>
      </c>
      <c r="AZ26">
        <v>0</v>
      </c>
      <c r="BA26">
        <v>0</v>
      </c>
      <c r="BB26">
        <v>0</v>
      </c>
      <c r="BC26">
        <v>0</v>
      </c>
      <c r="BD26">
        <v>0</v>
      </c>
      <c r="BE26">
        <v>0</v>
      </c>
      <c r="BF26">
        <v>0</v>
      </c>
      <c r="BG26">
        <v>0</v>
      </c>
      <c r="BI26" t="s">
        <v>273</v>
      </c>
      <c r="BK26">
        <v>1</v>
      </c>
      <c r="BL26">
        <v>0.997560975609757</v>
      </c>
      <c r="BM26">
        <v>0.985365853658537</v>
      </c>
      <c r="BN26">
        <v>0.973170731707317</v>
      </c>
      <c r="BO26">
        <v>0.960975609756098</v>
      </c>
      <c r="BP26">
        <v>0.948780487804878</v>
      </c>
      <c r="BQ26">
        <v>0.936585365853658</v>
      </c>
      <c r="BR26">
        <v>0.924390243902439</v>
      </c>
      <c r="BS26">
        <v>0.91219512195122</v>
      </c>
      <c r="BT26">
        <v>0.9</v>
      </c>
      <c r="BU26">
        <v>0.8875</v>
      </c>
      <c r="BV26">
        <v>0.875000000000001</v>
      </c>
      <c r="BW26">
        <v>0.862500000000001</v>
      </c>
      <c r="BX26">
        <v>0.850000000000001</v>
      </c>
      <c r="BY26">
        <v>0.8375</v>
      </c>
      <c r="BZ26">
        <v>0.825000000000001</v>
      </c>
      <c r="CA26">
        <v>0.812500000000001</v>
      </c>
      <c r="CB26">
        <v>0.800000000000001</v>
      </c>
      <c r="CC26" t="e">
        <v>#VALUE!</v>
      </c>
      <c r="CD26" t="e">
        <v>#VALUE!</v>
      </c>
      <c r="CE26" t="e">
        <v>#VALUE!</v>
      </c>
      <c r="CF26" t="e">
        <v>#VALUE!</v>
      </c>
      <c r="CG26" t="e">
        <v>#VALUE!</v>
      </c>
      <c r="CH26" t="e">
        <v>#VALUE!</v>
      </c>
      <c r="CI26" t="e">
        <v>#VALUE!</v>
      </c>
      <c r="CJ26" t="e">
        <v>#VALUE!</v>
      </c>
    </row>
    <row r="27" spans="1:88">
      <c r="A27" t="s">
        <v>6</v>
      </c>
      <c r="B27" t="s">
        <v>271</v>
      </c>
      <c r="C27" t="s">
        <v>271</v>
      </c>
      <c r="D27">
        <v>123.7186965204</v>
      </c>
      <c r="E27">
        <v>125.236568967332</v>
      </c>
      <c r="F27">
        <v>140.004071882241</v>
      </c>
      <c r="G27">
        <v>155.067640626982</v>
      </c>
      <c r="H27">
        <v>170.591768696918</v>
      </c>
      <c r="I27">
        <v>186.586589303285</v>
      </c>
      <c r="J27">
        <v>203.118066083214</v>
      </c>
      <c r="K27">
        <v>219.531977280261</v>
      </c>
      <c r="L27">
        <v>235.471613500634</v>
      </c>
      <c r="M27">
        <v>251.310233993817</v>
      </c>
      <c r="N27">
        <v>266.984178762115</v>
      </c>
      <c r="O27">
        <v>282.048711714497</v>
      </c>
      <c r="P27">
        <v>296.247213557183</v>
      </c>
      <c r="Q27">
        <v>309.418314899613</v>
      </c>
      <c r="R27">
        <v>321.469398715239</v>
      </c>
      <c r="S27">
        <v>332.428498801299</v>
      </c>
      <c r="T27">
        <v>342.390741269782</v>
      </c>
      <c r="U27">
        <v>351.38421545935</v>
      </c>
      <c r="V27">
        <v>5</v>
      </c>
      <c r="AF27" s="99" t="s">
        <v>272</v>
      </c>
      <c r="AH27">
        <v>1</v>
      </c>
      <c r="AI27">
        <v>1.01538282310513</v>
      </c>
      <c r="AJ27">
        <v>1.16783502508932</v>
      </c>
      <c r="AK27">
        <v>1.33034996724544</v>
      </c>
      <c r="AL27">
        <v>1.50536735755145</v>
      </c>
      <c r="AM27">
        <v>1.69386645595694</v>
      </c>
      <c r="AN27">
        <v>1.89761161875046</v>
      </c>
      <c r="AO27">
        <v>2.10930060579047</v>
      </c>
      <c r="AP27">
        <v>2.32434102558908</v>
      </c>
      <c r="AQ27">
        <v>2.54768827116721</v>
      </c>
      <c r="AR27">
        <v>2.77881050306947</v>
      </c>
      <c r="AS27">
        <v>3.01109771663594</v>
      </c>
      <c r="AT27">
        <v>3.23989842710592</v>
      </c>
      <c r="AU27">
        <v>3.46150664208387</v>
      </c>
      <c r="AV27">
        <v>3.67298458172093</v>
      </c>
      <c r="AW27">
        <v>3.87332766037914</v>
      </c>
      <c r="AX27">
        <v>4.06283978631873</v>
      </c>
      <c r="AY27">
        <v>4.24070209561629</v>
      </c>
      <c r="AZ27">
        <v>0</v>
      </c>
      <c r="BA27">
        <v>0</v>
      </c>
      <c r="BB27">
        <v>0</v>
      </c>
      <c r="BC27">
        <v>0</v>
      </c>
      <c r="BD27">
        <v>0</v>
      </c>
      <c r="BE27">
        <v>0</v>
      </c>
      <c r="BF27">
        <v>0</v>
      </c>
      <c r="BG27">
        <v>0</v>
      </c>
      <c r="BI27" t="s">
        <v>287</v>
      </c>
      <c r="BK27">
        <v>0.8</v>
      </c>
      <c r="BL27">
        <v>0.797560975609756</v>
      </c>
      <c r="BM27">
        <v>0.785365853658536</v>
      </c>
      <c r="BN27">
        <v>0.773170731707317</v>
      </c>
      <c r="BO27">
        <v>0.760975609756097</v>
      </c>
      <c r="BP27">
        <v>0.748780487804878</v>
      </c>
      <c r="BQ27">
        <v>0.736585365853658</v>
      </c>
      <c r="BR27">
        <v>0.724390243902439</v>
      </c>
      <c r="BS27">
        <v>0.71219512195122</v>
      </c>
      <c r="BT27">
        <v>0.699999999999999</v>
      </c>
      <c r="BU27">
        <v>0.687499999999999</v>
      </c>
      <c r="BV27">
        <v>0.675</v>
      </c>
      <c r="BW27">
        <v>0.6625</v>
      </c>
      <c r="BX27">
        <v>0.649999999999999</v>
      </c>
      <c r="BY27">
        <v>0.637499999999999</v>
      </c>
      <c r="BZ27">
        <v>0.625</v>
      </c>
      <c r="CA27">
        <v>0.6125</v>
      </c>
      <c r="CB27">
        <v>0.6</v>
      </c>
      <c r="CC27" t="e">
        <v>#VALUE!</v>
      </c>
      <c r="CD27" t="e">
        <v>#VALUE!</v>
      </c>
      <c r="CE27" t="e">
        <v>#VALUE!</v>
      </c>
      <c r="CF27" t="e">
        <v>#VALUE!</v>
      </c>
      <c r="CG27" t="e">
        <v>#VALUE!</v>
      </c>
      <c r="CH27" t="e">
        <v>#VALUE!</v>
      </c>
      <c r="CI27" t="e">
        <v>#VALUE!</v>
      </c>
      <c r="CJ27" t="e">
        <v>#VALUE!</v>
      </c>
    </row>
    <row r="28" spans="1:88">
      <c r="A28" t="s">
        <v>6</v>
      </c>
      <c r="B28" t="s">
        <v>274</v>
      </c>
      <c r="C28" t="s">
        <v>274</v>
      </c>
      <c r="D28">
        <v>211.3565345388</v>
      </c>
      <c r="E28">
        <v>213.949612782254</v>
      </c>
      <c r="F28">
        <v>239.177879225976</v>
      </c>
      <c r="G28">
        <v>264.911933796707</v>
      </c>
      <c r="H28">
        <v>291.432791216645</v>
      </c>
      <c r="I28">
        <v>318.757762696392</v>
      </c>
      <c r="J28">
        <v>346.999538121487</v>
      </c>
      <c r="K28">
        <v>375.040468768242</v>
      </c>
      <c r="L28">
        <v>402.27116524419</v>
      </c>
      <c r="M28">
        <v>429.329290115095</v>
      </c>
      <c r="N28">
        <v>456.106088949487</v>
      </c>
      <c r="O28">
        <v>481.841790737583</v>
      </c>
      <c r="P28">
        <v>506.097996384061</v>
      </c>
      <c r="Q28">
        <v>528.599028274064</v>
      </c>
      <c r="R28">
        <v>549.186662838153</v>
      </c>
      <c r="S28">
        <v>567.908791998894</v>
      </c>
      <c r="T28">
        <v>584.92792575631</v>
      </c>
      <c r="U28">
        <v>600.292050917925</v>
      </c>
      <c r="V28">
        <v>5</v>
      </c>
      <c r="AF28" s="99" t="s">
        <v>272</v>
      </c>
      <c r="AH28">
        <v>1</v>
      </c>
      <c r="AI28">
        <v>1.01538282310513</v>
      </c>
      <c r="AJ28">
        <v>1.16783502508932</v>
      </c>
      <c r="AK28">
        <v>1.33034996724544</v>
      </c>
      <c r="AL28">
        <v>1.50536735755145</v>
      </c>
      <c r="AM28">
        <v>1.69386645595694</v>
      </c>
      <c r="AN28">
        <v>1.89761161875046</v>
      </c>
      <c r="AO28">
        <v>2.10930060579047</v>
      </c>
      <c r="AP28">
        <v>2.32434102558908</v>
      </c>
      <c r="AQ28">
        <v>2.54768827116721</v>
      </c>
      <c r="AR28">
        <v>2.77881050306947</v>
      </c>
      <c r="AS28">
        <v>3.01109771663594</v>
      </c>
      <c r="AT28">
        <v>3.23989842710592</v>
      </c>
      <c r="AU28">
        <v>3.46150664208387</v>
      </c>
      <c r="AV28">
        <v>3.67298458172093</v>
      </c>
      <c r="AW28">
        <v>3.87332766037914</v>
      </c>
      <c r="AX28">
        <v>4.06283978631873</v>
      </c>
      <c r="AY28">
        <v>4.24070209561629</v>
      </c>
      <c r="AZ28">
        <v>0</v>
      </c>
      <c r="BA28">
        <v>0</v>
      </c>
      <c r="BB28">
        <v>0</v>
      </c>
      <c r="BC28">
        <v>0</v>
      </c>
      <c r="BD28">
        <v>0</v>
      </c>
      <c r="BE28">
        <v>0</v>
      </c>
      <c r="BF28">
        <v>0</v>
      </c>
      <c r="BG28">
        <v>0</v>
      </c>
      <c r="BI28" t="s">
        <v>287</v>
      </c>
      <c r="BK28">
        <v>0.8</v>
      </c>
      <c r="BL28">
        <v>0.797560975609756</v>
      </c>
      <c r="BM28">
        <v>0.785365853658536</v>
      </c>
      <c r="BN28">
        <v>0.773170731707317</v>
      </c>
      <c r="BO28">
        <v>0.760975609756097</v>
      </c>
      <c r="BP28">
        <v>0.748780487804878</v>
      </c>
      <c r="BQ28">
        <v>0.736585365853658</v>
      </c>
      <c r="BR28">
        <v>0.724390243902439</v>
      </c>
      <c r="BS28">
        <v>0.71219512195122</v>
      </c>
      <c r="BT28">
        <v>0.699999999999999</v>
      </c>
      <c r="BU28">
        <v>0.687499999999999</v>
      </c>
      <c r="BV28">
        <v>0.675</v>
      </c>
      <c r="BW28">
        <v>0.6625</v>
      </c>
      <c r="BX28">
        <v>0.649999999999999</v>
      </c>
      <c r="BY28">
        <v>0.637499999999999</v>
      </c>
      <c r="BZ28">
        <v>0.625</v>
      </c>
      <c r="CA28">
        <v>0.6125</v>
      </c>
      <c r="CB28">
        <v>0.6</v>
      </c>
      <c r="CC28" t="e">
        <v>#VALUE!</v>
      </c>
      <c r="CD28" t="e">
        <v>#VALUE!</v>
      </c>
      <c r="CE28" t="e">
        <v>#VALUE!</v>
      </c>
      <c r="CF28" t="e">
        <v>#VALUE!</v>
      </c>
      <c r="CG28" t="e">
        <v>#VALUE!</v>
      </c>
      <c r="CH28" t="e">
        <v>#VALUE!</v>
      </c>
      <c r="CI28" t="e">
        <v>#VALUE!</v>
      </c>
      <c r="CJ28" t="e">
        <v>#VALUE!</v>
      </c>
    </row>
    <row r="29" spans="1:88">
      <c r="A29" t="s">
        <v>6</v>
      </c>
      <c r="B29" t="s">
        <v>275</v>
      </c>
      <c r="C29" t="s">
        <v>275</v>
      </c>
      <c r="D29">
        <v>36.89098713612</v>
      </c>
      <c r="E29">
        <v>37.3435930436258</v>
      </c>
      <c r="F29">
        <v>41.7470322600798</v>
      </c>
      <c r="G29">
        <v>46.2387536927793</v>
      </c>
      <c r="H29">
        <v>50.867806738396</v>
      </c>
      <c r="I29">
        <v>55.6372129625937</v>
      </c>
      <c r="J29">
        <v>60.5666416939163</v>
      </c>
      <c r="K29">
        <v>65.4610142006929</v>
      </c>
      <c r="L29">
        <v>70.2139653010403</v>
      </c>
      <c r="M29">
        <v>74.9367950858787</v>
      </c>
      <c r="N29">
        <v>79.610521136041</v>
      </c>
      <c r="O29">
        <v>84.1025300804315</v>
      </c>
      <c r="P29">
        <v>88.3363020450785</v>
      </c>
      <c r="Q29">
        <v>92.2637191926716</v>
      </c>
      <c r="R29">
        <v>95.8571645693392</v>
      </c>
      <c r="S29">
        <v>99.1249974165081</v>
      </c>
      <c r="T29">
        <v>102.095582858225</v>
      </c>
      <c r="U29">
        <v>104.777296697505</v>
      </c>
      <c r="V29">
        <v>5</v>
      </c>
      <c r="AF29" s="99" t="s">
        <v>272</v>
      </c>
      <c r="AH29">
        <v>1</v>
      </c>
      <c r="AI29">
        <v>1.01538282310513</v>
      </c>
      <c r="AJ29">
        <v>1.16783502508932</v>
      </c>
      <c r="AK29">
        <v>1.33034996724544</v>
      </c>
      <c r="AL29">
        <v>1.50536735755145</v>
      </c>
      <c r="AM29">
        <v>1.69386645595694</v>
      </c>
      <c r="AN29">
        <v>1.89761161875046</v>
      </c>
      <c r="AO29">
        <v>2.10930060579047</v>
      </c>
      <c r="AP29">
        <v>2.32434102558908</v>
      </c>
      <c r="AQ29">
        <v>2.54768827116721</v>
      </c>
      <c r="AR29">
        <v>2.77881050306947</v>
      </c>
      <c r="AS29">
        <v>3.01109771663594</v>
      </c>
      <c r="AT29">
        <v>3.23989842710592</v>
      </c>
      <c r="AU29">
        <v>3.46150664208387</v>
      </c>
      <c r="AV29">
        <v>3.67298458172093</v>
      </c>
      <c r="AW29">
        <v>3.87332766037914</v>
      </c>
      <c r="AX29">
        <v>4.06283978631873</v>
      </c>
      <c r="AY29">
        <v>4.24070209561629</v>
      </c>
      <c r="AZ29">
        <v>0</v>
      </c>
      <c r="BA29">
        <v>0</v>
      </c>
      <c r="BB29">
        <v>0</v>
      </c>
      <c r="BC29">
        <v>0</v>
      </c>
      <c r="BD29">
        <v>0</v>
      </c>
      <c r="BE29">
        <v>0</v>
      </c>
      <c r="BF29">
        <v>0</v>
      </c>
      <c r="BG29">
        <v>0</v>
      </c>
      <c r="BI29" t="s">
        <v>287</v>
      </c>
      <c r="BK29">
        <v>0.8</v>
      </c>
      <c r="BL29">
        <v>0.797560975609756</v>
      </c>
      <c r="BM29">
        <v>0.785365853658536</v>
      </c>
      <c r="BN29">
        <v>0.773170731707317</v>
      </c>
      <c r="BO29">
        <v>0.760975609756097</v>
      </c>
      <c r="BP29">
        <v>0.748780487804878</v>
      </c>
      <c r="BQ29">
        <v>0.736585365853658</v>
      </c>
      <c r="BR29">
        <v>0.724390243902439</v>
      </c>
      <c r="BS29">
        <v>0.71219512195122</v>
      </c>
      <c r="BT29">
        <v>0.699999999999999</v>
      </c>
      <c r="BU29">
        <v>0.687499999999999</v>
      </c>
      <c r="BV29">
        <v>0.675</v>
      </c>
      <c r="BW29">
        <v>0.6625</v>
      </c>
      <c r="BX29">
        <v>0.649999999999999</v>
      </c>
      <c r="BY29">
        <v>0.637499999999999</v>
      </c>
      <c r="BZ29">
        <v>0.625</v>
      </c>
      <c r="CA29">
        <v>0.6125</v>
      </c>
      <c r="CB29">
        <v>0.6</v>
      </c>
      <c r="CC29" t="e">
        <v>#VALUE!</v>
      </c>
      <c r="CD29" t="e">
        <v>#VALUE!</v>
      </c>
      <c r="CE29" t="e">
        <v>#VALUE!</v>
      </c>
      <c r="CF29" t="e">
        <v>#VALUE!</v>
      </c>
      <c r="CG29" t="e">
        <v>#VALUE!</v>
      </c>
      <c r="CH29" t="e">
        <v>#VALUE!</v>
      </c>
      <c r="CI29" t="e">
        <v>#VALUE!</v>
      </c>
      <c r="CJ29" t="e">
        <v>#VALUE!</v>
      </c>
    </row>
    <row r="30" spans="1:88">
      <c r="A30" t="s">
        <v>6</v>
      </c>
      <c r="B30" t="s">
        <v>276</v>
      </c>
      <c r="C30" t="s">
        <v>276</v>
      </c>
      <c r="D30">
        <v>22.48756698708</v>
      </c>
      <c r="E30">
        <v>22.6322603522854</v>
      </c>
      <c r="F30">
        <v>23.3435108143122</v>
      </c>
      <c r="G30">
        <v>24.0134818518557</v>
      </c>
      <c r="H30">
        <v>24.6222738080731</v>
      </c>
      <c r="I30">
        <v>25.1847275482685</v>
      </c>
      <c r="J30">
        <v>25.7269854781281</v>
      </c>
      <c r="K30">
        <v>26.2652817642942</v>
      </c>
      <c r="L30">
        <v>26.7550088380675</v>
      </c>
      <c r="M30">
        <v>27.1982245558937</v>
      </c>
      <c r="N30">
        <v>27.5727247712155</v>
      </c>
      <c r="O30">
        <v>27.8884115716327</v>
      </c>
      <c r="P30">
        <v>28.1472421014873</v>
      </c>
      <c r="Q30">
        <v>28.3433840266645</v>
      </c>
      <c r="R30">
        <v>28.4648837628212</v>
      </c>
      <c r="S30">
        <v>28.513895819068</v>
      </c>
      <c r="T30">
        <v>28.5072697780748</v>
      </c>
      <c r="U30">
        <v>28.4622983069202</v>
      </c>
      <c r="V30">
        <v>5</v>
      </c>
      <c r="AF30" s="99" t="s">
        <v>277</v>
      </c>
      <c r="AH30">
        <v>1</v>
      </c>
      <c r="AI30">
        <v>1.00806756087954</v>
      </c>
      <c r="AJ30">
        <v>1.04840536527724</v>
      </c>
      <c r="AK30">
        <v>1.08732275330387</v>
      </c>
      <c r="AL30">
        <v>1.12354717901157</v>
      </c>
      <c r="AM30">
        <v>1.15782359835946</v>
      </c>
      <c r="AN30">
        <v>1.19166808768815</v>
      </c>
      <c r="AO30">
        <v>1.22608843109086</v>
      </c>
      <c r="AP30">
        <v>1.25818767846711</v>
      </c>
      <c r="AQ30">
        <v>1.28796306735902</v>
      </c>
      <c r="AR30">
        <v>1.31375846481219</v>
      </c>
      <c r="AS30">
        <v>1.33604222582596</v>
      </c>
      <c r="AT30">
        <v>1.35475878553354</v>
      </c>
      <c r="AU30">
        <v>1.36928268401038</v>
      </c>
      <c r="AV30">
        <v>1.37849007446916</v>
      </c>
      <c r="AW30">
        <v>1.38228774368874</v>
      </c>
      <c r="AX30">
        <v>1.3817633107947</v>
      </c>
      <c r="AY30">
        <v>1.37813032352762</v>
      </c>
      <c r="AZ30">
        <v>0</v>
      </c>
      <c r="BA30">
        <v>0</v>
      </c>
      <c r="BB30">
        <v>0</v>
      </c>
      <c r="BC30">
        <v>0</v>
      </c>
      <c r="BD30">
        <v>0</v>
      </c>
      <c r="BE30">
        <v>0</v>
      </c>
      <c r="BF30">
        <v>0</v>
      </c>
      <c r="BG30">
        <v>0</v>
      </c>
      <c r="BI30" t="s">
        <v>287</v>
      </c>
      <c r="BK30">
        <v>0.8</v>
      </c>
      <c r="BL30">
        <v>0.797560975609756</v>
      </c>
      <c r="BM30">
        <v>0.785365853658536</v>
      </c>
      <c r="BN30">
        <v>0.773170731707317</v>
      </c>
      <c r="BO30">
        <v>0.760975609756097</v>
      </c>
      <c r="BP30">
        <v>0.748780487804878</v>
      </c>
      <c r="BQ30">
        <v>0.736585365853658</v>
      </c>
      <c r="BR30">
        <v>0.724390243902439</v>
      </c>
      <c r="BS30">
        <v>0.71219512195122</v>
      </c>
      <c r="BT30">
        <v>0.699999999999999</v>
      </c>
      <c r="BU30">
        <v>0.687499999999999</v>
      </c>
      <c r="BV30">
        <v>0.675</v>
      </c>
      <c r="BW30">
        <v>0.6625</v>
      </c>
      <c r="BX30">
        <v>0.649999999999999</v>
      </c>
      <c r="BY30">
        <v>0.637499999999999</v>
      </c>
      <c r="BZ30">
        <v>0.625</v>
      </c>
      <c r="CA30">
        <v>0.6125</v>
      </c>
      <c r="CB30">
        <v>0.6</v>
      </c>
      <c r="CC30" t="e">
        <v>#VALUE!</v>
      </c>
      <c r="CD30" t="e">
        <v>#VALUE!</v>
      </c>
      <c r="CE30" t="e">
        <v>#VALUE!</v>
      </c>
      <c r="CF30" t="e">
        <v>#VALUE!</v>
      </c>
      <c r="CG30" t="e">
        <v>#VALUE!</v>
      </c>
      <c r="CH30" t="e">
        <v>#VALUE!</v>
      </c>
      <c r="CI30" t="e">
        <v>#VALUE!</v>
      </c>
      <c r="CJ30" t="e">
        <v>#VALUE!</v>
      </c>
    </row>
    <row r="31" spans="1:88">
      <c r="A31" t="s">
        <v>6</v>
      </c>
      <c r="B31" t="s">
        <v>278</v>
      </c>
      <c r="C31" t="s">
        <v>278</v>
      </c>
      <c r="D31">
        <v>29.1869322372</v>
      </c>
      <c r="E31">
        <v>29.5450191028017</v>
      </c>
      <c r="F31">
        <v>33.0288749710942</v>
      </c>
      <c r="G31">
        <v>36.5825768170451</v>
      </c>
      <c r="H31">
        <v>40.2449309054921</v>
      </c>
      <c r="I31">
        <v>44.0183277995276</v>
      </c>
      <c r="J31">
        <v>47.9183292231369</v>
      </c>
      <c r="K31">
        <v>51.7905953181538</v>
      </c>
      <c r="L31">
        <v>55.5509734609425</v>
      </c>
      <c r="M31">
        <v>59.2875206123996</v>
      </c>
      <c r="N31">
        <v>62.9852185085821</v>
      </c>
      <c r="O31">
        <v>66.5391478242998</v>
      </c>
      <c r="P31">
        <v>69.888768559141</v>
      </c>
      <c r="Q31">
        <v>72.9960114673088</v>
      </c>
      <c r="R31">
        <v>75.8390269257969</v>
      </c>
      <c r="S31">
        <v>78.4244284907074</v>
      </c>
      <c r="T31">
        <v>80.7746577126118</v>
      </c>
      <c r="U31">
        <v>82.8963412505938</v>
      </c>
      <c r="V31">
        <v>5</v>
      </c>
      <c r="AF31" s="99" t="s">
        <v>272</v>
      </c>
      <c r="AH31">
        <v>1</v>
      </c>
      <c r="AI31">
        <v>1.01538282310513</v>
      </c>
      <c r="AJ31">
        <v>1.16783502508932</v>
      </c>
      <c r="AK31">
        <v>1.33034996724544</v>
      </c>
      <c r="AL31">
        <v>1.50536735755145</v>
      </c>
      <c r="AM31">
        <v>1.69386645595694</v>
      </c>
      <c r="AN31">
        <v>1.89761161875046</v>
      </c>
      <c r="AO31">
        <v>2.10930060579047</v>
      </c>
      <c r="AP31">
        <v>2.32434102558908</v>
      </c>
      <c r="AQ31">
        <v>2.54768827116721</v>
      </c>
      <c r="AR31">
        <v>2.77881050306947</v>
      </c>
      <c r="AS31">
        <v>3.01109771663594</v>
      </c>
      <c r="AT31">
        <v>3.23989842710592</v>
      </c>
      <c r="AU31">
        <v>3.46150664208387</v>
      </c>
      <c r="AV31">
        <v>3.67298458172093</v>
      </c>
      <c r="AW31">
        <v>3.87332766037914</v>
      </c>
      <c r="AX31">
        <v>4.06283978631873</v>
      </c>
      <c r="AY31">
        <v>4.24070209561629</v>
      </c>
      <c r="AZ31">
        <v>0</v>
      </c>
      <c r="BA31">
        <v>0</v>
      </c>
      <c r="BB31">
        <v>0</v>
      </c>
      <c r="BC31">
        <v>0</v>
      </c>
      <c r="BD31">
        <v>0</v>
      </c>
      <c r="BE31">
        <v>0</v>
      </c>
      <c r="BF31">
        <v>0</v>
      </c>
      <c r="BG31">
        <v>0</v>
      </c>
      <c r="BI31" t="s">
        <v>287</v>
      </c>
      <c r="BK31">
        <v>0.8</v>
      </c>
      <c r="BL31">
        <v>0.797560975609756</v>
      </c>
      <c r="BM31">
        <v>0.785365853658536</v>
      </c>
      <c r="BN31">
        <v>0.773170731707317</v>
      </c>
      <c r="BO31">
        <v>0.760975609756097</v>
      </c>
      <c r="BP31">
        <v>0.748780487804878</v>
      </c>
      <c r="BQ31">
        <v>0.736585365853658</v>
      </c>
      <c r="BR31">
        <v>0.724390243902439</v>
      </c>
      <c r="BS31">
        <v>0.71219512195122</v>
      </c>
      <c r="BT31">
        <v>0.699999999999999</v>
      </c>
      <c r="BU31">
        <v>0.687499999999999</v>
      </c>
      <c r="BV31">
        <v>0.675</v>
      </c>
      <c r="BW31">
        <v>0.6625</v>
      </c>
      <c r="BX31">
        <v>0.649999999999999</v>
      </c>
      <c r="BY31">
        <v>0.637499999999999</v>
      </c>
      <c r="BZ31">
        <v>0.625</v>
      </c>
      <c r="CA31">
        <v>0.6125</v>
      </c>
      <c r="CB31">
        <v>0.6</v>
      </c>
      <c r="CC31" t="e">
        <v>#VALUE!</v>
      </c>
      <c r="CD31" t="e">
        <v>#VALUE!</v>
      </c>
      <c r="CE31" t="e">
        <v>#VALUE!</v>
      </c>
      <c r="CF31" t="e">
        <v>#VALUE!</v>
      </c>
      <c r="CG31" t="e">
        <v>#VALUE!</v>
      </c>
      <c r="CH31" t="e">
        <v>#VALUE!</v>
      </c>
      <c r="CI31" t="e">
        <v>#VALUE!</v>
      </c>
      <c r="CJ31" t="e">
        <v>#VALUE!</v>
      </c>
    </row>
    <row r="32" spans="1:88">
      <c r="A32" t="s">
        <v>6</v>
      </c>
      <c r="B32" t="s">
        <v>279</v>
      </c>
      <c r="C32" t="s">
        <v>279</v>
      </c>
      <c r="D32">
        <v>32.0973108948</v>
      </c>
      <c r="E32">
        <v>32.4911044377169</v>
      </c>
      <c r="F32">
        <v>36.3223534367033</v>
      </c>
      <c r="G32">
        <v>40.2304131138876</v>
      </c>
      <c r="H32">
        <v>44.2579593057379</v>
      </c>
      <c r="I32">
        <v>48.407620950649</v>
      </c>
      <c r="J32">
        <v>52.6965115118915</v>
      </c>
      <c r="K32">
        <v>56.9549011127259</v>
      </c>
      <c r="L32">
        <v>61.090245839955</v>
      </c>
      <c r="M32">
        <v>65.1993832655231</v>
      </c>
      <c r="N32">
        <v>69.2657975773892</v>
      </c>
      <c r="O32">
        <v>73.1741074065169</v>
      </c>
      <c r="P32">
        <v>76.8577359986591</v>
      </c>
      <c r="Q32">
        <v>80.2748180283357</v>
      </c>
      <c r="R32">
        <v>83.4013251346054</v>
      </c>
      <c r="S32">
        <v>86.2445303451573</v>
      </c>
      <c r="T32">
        <v>88.8291129726306</v>
      </c>
      <c r="U32">
        <v>91.1623604542619</v>
      </c>
      <c r="V32">
        <v>5</v>
      </c>
      <c r="AF32" s="99" t="s">
        <v>272</v>
      </c>
      <c r="AH32">
        <v>1</v>
      </c>
      <c r="AI32">
        <v>1.01538282310513</v>
      </c>
      <c r="AJ32">
        <v>1.16783502508932</v>
      </c>
      <c r="AK32">
        <v>1.33034996724544</v>
      </c>
      <c r="AL32">
        <v>1.50536735755145</v>
      </c>
      <c r="AM32">
        <v>1.69386645595694</v>
      </c>
      <c r="AN32">
        <v>1.89761161875046</v>
      </c>
      <c r="AO32">
        <v>2.10930060579047</v>
      </c>
      <c r="AP32">
        <v>2.32434102558908</v>
      </c>
      <c r="AQ32">
        <v>2.54768827116721</v>
      </c>
      <c r="AR32">
        <v>2.77881050306947</v>
      </c>
      <c r="AS32">
        <v>3.01109771663594</v>
      </c>
      <c r="AT32">
        <v>3.23989842710592</v>
      </c>
      <c r="AU32">
        <v>3.46150664208387</v>
      </c>
      <c r="AV32">
        <v>3.67298458172093</v>
      </c>
      <c r="AW32">
        <v>3.87332766037914</v>
      </c>
      <c r="AX32">
        <v>4.06283978631873</v>
      </c>
      <c r="AY32">
        <v>4.24070209561629</v>
      </c>
      <c r="AZ32">
        <v>0</v>
      </c>
      <c r="BA32">
        <v>0</v>
      </c>
      <c r="BB32">
        <v>0</v>
      </c>
      <c r="BC32">
        <v>0</v>
      </c>
      <c r="BD32">
        <v>0</v>
      </c>
      <c r="BE32">
        <v>0</v>
      </c>
      <c r="BF32">
        <v>0</v>
      </c>
      <c r="BG32">
        <v>0</v>
      </c>
      <c r="BI32" t="s">
        <v>287</v>
      </c>
      <c r="BK32">
        <v>0.8</v>
      </c>
      <c r="BL32">
        <v>0.797560975609756</v>
      </c>
      <c r="BM32">
        <v>0.785365853658536</v>
      </c>
      <c r="BN32">
        <v>0.773170731707317</v>
      </c>
      <c r="BO32">
        <v>0.760975609756097</v>
      </c>
      <c r="BP32">
        <v>0.748780487804878</v>
      </c>
      <c r="BQ32">
        <v>0.736585365853658</v>
      </c>
      <c r="BR32">
        <v>0.724390243902439</v>
      </c>
      <c r="BS32">
        <v>0.71219512195122</v>
      </c>
      <c r="BT32">
        <v>0.699999999999999</v>
      </c>
      <c r="BU32">
        <v>0.687499999999999</v>
      </c>
      <c r="BV32">
        <v>0.675</v>
      </c>
      <c r="BW32">
        <v>0.6625</v>
      </c>
      <c r="BX32">
        <v>0.649999999999999</v>
      </c>
      <c r="BY32">
        <v>0.637499999999999</v>
      </c>
      <c r="BZ32">
        <v>0.625</v>
      </c>
      <c r="CA32">
        <v>0.6125</v>
      </c>
      <c r="CB32">
        <v>0.6</v>
      </c>
      <c r="CC32" t="e">
        <v>#VALUE!</v>
      </c>
      <c r="CD32" t="e">
        <v>#VALUE!</v>
      </c>
      <c r="CE32" t="e">
        <v>#VALUE!</v>
      </c>
      <c r="CF32" t="e">
        <v>#VALUE!</v>
      </c>
      <c r="CG32" t="e">
        <v>#VALUE!</v>
      </c>
      <c r="CH32" t="e">
        <v>#VALUE!</v>
      </c>
      <c r="CI32" t="e">
        <v>#VALUE!</v>
      </c>
      <c r="CJ32" t="e">
        <v>#VALUE!</v>
      </c>
    </row>
    <row r="33" spans="1:88">
      <c r="A33" t="s">
        <v>6</v>
      </c>
      <c r="B33" t="s">
        <v>280</v>
      </c>
      <c r="C33" t="s">
        <v>280</v>
      </c>
      <c r="D33">
        <v>10.136</v>
      </c>
      <c r="E33">
        <v>10.2012187918135</v>
      </c>
      <c r="F33">
        <v>10.5218063719303</v>
      </c>
      <c r="G33">
        <v>10.8237877485925</v>
      </c>
      <c r="H33">
        <v>11.0981933911311</v>
      </c>
      <c r="I33">
        <v>11.3517126408523</v>
      </c>
      <c r="J33">
        <v>11.5961288722843</v>
      </c>
      <c r="K33">
        <v>11.8387594405318</v>
      </c>
      <c r="L33">
        <v>12.0594980212159</v>
      </c>
      <c r="M33">
        <v>12.2592721683466</v>
      </c>
      <c r="N33">
        <v>12.4280736302691</v>
      </c>
      <c r="O33">
        <v>12.5703656537178</v>
      </c>
      <c r="P33">
        <v>12.6870303979346</v>
      </c>
      <c r="Q33">
        <v>12.7754390085566</v>
      </c>
      <c r="R33">
        <v>12.8302035513989</v>
      </c>
      <c r="S33">
        <v>12.8522951454964</v>
      </c>
      <c r="T33">
        <v>12.8493085373166</v>
      </c>
      <c r="U33">
        <v>12.8290381882884</v>
      </c>
      <c r="V33">
        <v>5</v>
      </c>
      <c r="AF33" s="99" t="s">
        <v>277</v>
      </c>
      <c r="AH33">
        <v>1</v>
      </c>
      <c r="AI33">
        <v>1.00806756087954</v>
      </c>
      <c r="AJ33">
        <v>1.04840536527724</v>
      </c>
      <c r="AK33">
        <v>1.08732275330387</v>
      </c>
      <c r="AL33">
        <v>1.12354717901157</v>
      </c>
      <c r="AM33">
        <v>1.15782359835946</v>
      </c>
      <c r="AN33">
        <v>1.19166808768815</v>
      </c>
      <c r="AO33">
        <v>1.22608843109086</v>
      </c>
      <c r="AP33">
        <v>1.25818767846711</v>
      </c>
      <c r="AQ33">
        <v>1.28796306735902</v>
      </c>
      <c r="AR33">
        <v>1.31375846481219</v>
      </c>
      <c r="AS33">
        <v>1.33604222582596</v>
      </c>
      <c r="AT33">
        <v>1.35475878553354</v>
      </c>
      <c r="AU33">
        <v>1.36928268401038</v>
      </c>
      <c r="AV33">
        <v>1.37849007446916</v>
      </c>
      <c r="AW33">
        <v>1.38228774368874</v>
      </c>
      <c r="AX33">
        <v>1.3817633107947</v>
      </c>
      <c r="AY33">
        <v>1.37813032352762</v>
      </c>
      <c r="AZ33">
        <v>0</v>
      </c>
      <c r="BA33">
        <v>0</v>
      </c>
      <c r="BB33">
        <v>0</v>
      </c>
      <c r="BC33">
        <v>0</v>
      </c>
      <c r="BD33">
        <v>0</v>
      </c>
      <c r="BE33">
        <v>0</v>
      </c>
      <c r="BF33">
        <v>0</v>
      </c>
      <c r="BG33">
        <v>0</v>
      </c>
      <c r="BI33" t="s">
        <v>287</v>
      </c>
      <c r="BK33">
        <v>0.8</v>
      </c>
      <c r="BL33">
        <v>0.797560975609756</v>
      </c>
      <c r="BM33">
        <v>0.785365853658536</v>
      </c>
      <c r="BN33">
        <v>0.773170731707317</v>
      </c>
      <c r="BO33">
        <v>0.760975609756097</v>
      </c>
      <c r="BP33">
        <v>0.748780487804878</v>
      </c>
      <c r="BQ33">
        <v>0.736585365853658</v>
      </c>
      <c r="BR33">
        <v>0.724390243902439</v>
      </c>
      <c r="BS33">
        <v>0.71219512195122</v>
      </c>
      <c r="BT33">
        <v>0.699999999999999</v>
      </c>
      <c r="BU33">
        <v>0.687499999999999</v>
      </c>
      <c r="BV33">
        <v>0.675</v>
      </c>
      <c r="BW33">
        <v>0.6625</v>
      </c>
      <c r="BX33">
        <v>0.649999999999999</v>
      </c>
      <c r="BY33">
        <v>0.637499999999999</v>
      </c>
      <c r="BZ33">
        <v>0.625</v>
      </c>
      <c r="CA33">
        <v>0.6125</v>
      </c>
      <c r="CB33">
        <v>0.6</v>
      </c>
      <c r="CC33" t="e">
        <v>#VALUE!</v>
      </c>
      <c r="CD33" t="e">
        <v>#VALUE!</v>
      </c>
      <c r="CE33" t="e">
        <v>#VALUE!</v>
      </c>
      <c r="CF33" t="e">
        <v>#VALUE!</v>
      </c>
      <c r="CG33" t="e">
        <v>#VALUE!</v>
      </c>
      <c r="CH33" t="e">
        <v>#VALUE!</v>
      </c>
      <c r="CI33" t="e">
        <v>#VALUE!</v>
      </c>
      <c r="CJ33" t="e">
        <v>#VALUE!</v>
      </c>
    </row>
    <row r="34" spans="1:88">
      <c r="A34" t="s">
        <v>6</v>
      </c>
      <c r="B34" t="s">
        <v>281</v>
      </c>
      <c r="C34" t="s">
        <v>281</v>
      </c>
      <c r="D34">
        <v>0</v>
      </c>
      <c r="E34">
        <v>0</v>
      </c>
      <c r="F34">
        <v>0</v>
      </c>
      <c r="G34">
        <v>0</v>
      </c>
      <c r="H34">
        <v>0</v>
      </c>
      <c r="I34">
        <v>0</v>
      </c>
      <c r="J34">
        <v>0</v>
      </c>
      <c r="K34">
        <v>0</v>
      </c>
      <c r="L34">
        <v>0</v>
      </c>
      <c r="M34">
        <v>0</v>
      </c>
      <c r="N34">
        <v>0</v>
      </c>
      <c r="O34">
        <v>0</v>
      </c>
      <c r="P34">
        <v>0</v>
      </c>
      <c r="Q34">
        <v>0</v>
      </c>
      <c r="R34">
        <v>0</v>
      </c>
      <c r="S34">
        <v>0</v>
      </c>
      <c r="T34">
        <v>0</v>
      </c>
      <c r="U34">
        <v>0</v>
      </c>
      <c r="V34">
        <v>5</v>
      </c>
      <c r="AF34" s="99" t="s">
        <v>277</v>
      </c>
      <c r="AH34">
        <v>1</v>
      </c>
      <c r="AI34">
        <v>1.00806756087954</v>
      </c>
      <c r="AJ34">
        <v>1.04840536527724</v>
      </c>
      <c r="AK34">
        <v>1.08732275330387</v>
      </c>
      <c r="AL34">
        <v>1.12354717901157</v>
      </c>
      <c r="AM34">
        <v>1.15782359835946</v>
      </c>
      <c r="AN34">
        <v>1.19166808768815</v>
      </c>
      <c r="AO34">
        <v>1.22608843109086</v>
      </c>
      <c r="AP34">
        <v>1.25818767846711</v>
      </c>
      <c r="AQ34">
        <v>1.28796306735902</v>
      </c>
      <c r="AR34">
        <v>1.31375846481219</v>
      </c>
      <c r="AS34">
        <v>1.33604222582596</v>
      </c>
      <c r="AT34">
        <v>1.35475878553354</v>
      </c>
      <c r="AU34">
        <v>1.36928268401038</v>
      </c>
      <c r="AV34">
        <v>1.37849007446916</v>
      </c>
      <c r="AW34">
        <v>1.38228774368874</v>
      </c>
      <c r="AX34">
        <v>1.3817633107947</v>
      </c>
      <c r="AY34">
        <v>1.37813032352762</v>
      </c>
      <c r="AZ34">
        <v>0</v>
      </c>
      <c r="BA34">
        <v>0</v>
      </c>
      <c r="BB34">
        <v>0</v>
      </c>
      <c r="BC34">
        <v>0</v>
      </c>
      <c r="BD34">
        <v>0</v>
      </c>
      <c r="BE34">
        <v>0</v>
      </c>
      <c r="BF34">
        <v>0</v>
      </c>
      <c r="BG34">
        <v>0</v>
      </c>
      <c r="BI34" t="s">
        <v>287</v>
      </c>
      <c r="BK34">
        <v>0.8</v>
      </c>
      <c r="BL34">
        <v>0.797560975609756</v>
      </c>
      <c r="BM34">
        <v>0.785365853658536</v>
      </c>
      <c r="BN34">
        <v>0.773170731707317</v>
      </c>
      <c r="BO34">
        <v>0.760975609756097</v>
      </c>
      <c r="BP34">
        <v>0.748780487804878</v>
      </c>
      <c r="BQ34">
        <v>0.736585365853658</v>
      </c>
      <c r="BR34">
        <v>0.724390243902439</v>
      </c>
      <c r="BS34">
        <v>0.71219512195122</v>
      </c>
      <c r="BT34">
        <v>0.699999999999999</v>
      </c>
      <c r="BU34">
        <v>0.687499999999999</v>
      </c>
      <c r="BV34">
        <v>0.675</v>
      </c>
      <c r="BW34">
        <v>0.6625</v>
      </c>
      <c r="BX34">
        <v>0.649999999999999</v>
      </c>
      <c r="BY34">
        <v>0.637499999999999</v>
      </c>
      <c r="BZ34">
        <v>0.625</v>
      </c>
      <c r="CA34">
        <v>0.6125</v>
      </c>
      <c r="CB34">
        <v>0.6</v>
      </c>
      <c r="CC34" t="e">
        <v>#VALUE!</v>
      </c>
      <c r="CD34" t="e">
        <v>#VALUE!</v>
      </c>
      <c r="CE34" t="e">
        <v>#VALUE!</v>
      </c>
      <c r="CF34" t="e">
        <v>#VALUE!</v>
      </c>
      <c r="CG34" t="e">
        <v>#VALUE!</v>
      </c>
      <c r="CH34" t="e">
        <v>#VALUE!</v>
      </c>
      <c r="CI34" t="e">
        <v>#VALUE!</v>
      </c>
      <c r="CJ34" t="e">
        <v>#VALUE!</v>
      </c>
    </row>
    <row r="35" spans="1:88">
      <c r="A35" t="s">
        <v>6</v>
      </c>
      <c r="B35" t="s">
        <v>282</v>
      </c>
      <c r="C35" t="s">
        <v>282</v>
      </c>
      <c r="D35">
        <v>7.14</v>
      </c>
      <c r="E35">
        <v>7.18594141412276</v>
      </c>
      <c r="F35">
        <v>7.41176968188462</v>
      </c>
      <c r="G35">
        <v>7.62449136986489</v>
      </c>
      <c r="H35">
        <v>7.81778816226085</v>
      </c>
      <c r="I35">
        <v>7.99637216413631</v>
      </c>
      <c r="J35">
        <v>8.16854381887434</v>
      </c>
      <c r="K35">
        <v>8.33945761694923</v>
      </c>
      <c r="L35">
        <v>8.4949502635637</v>
      </c>
      <c r="M35">
        <v>8.63567514621098</v>
      </c>
      <c r="N35">
        <v>8.75458225336639</v>
      </c>
      <c r="O35">
        <v>8.85481558480123</v>
      </c>
      <c r="P35">
        <v>8.9369965510313</v>
      </c>
      <c r="Q35">
        <v>8.99927333475672</v>
      </c>
      <c r="R35">
        <v>9.03785056797438</v>
      </c>
      <c r="S35">
        <v>9.05341232624746</v>
      </c>
      <c r="T35">
        <v>9.05130850004345</v>
      </c>
      <c r="U35">
        <v>9.03702966302085</v>
      </c>
      <c r="V35">
        <v>5</v>
      </c>
      <c r="AF35" s="99" t="s">
        <v>277</v>
      </c>
      <c r="AH35">
        <v>1</v>
      </c>
      <c r="AI35">
        <v>1.00806756087954</v>
      </c>
      <c r="AJ35">
        <v>1.04840536527724</v>
      </c>
      <c r="AK35">
        <v>1.08732275330387</v>
      </c>
      <c r="AL35">
        <v>1.12354717901157</v>
      </c>
      <c r="AM35">
        <v>1.15782359835946</v>
      </c>
      <c r="AN35">
        <v>1.19166808768815</v>
      </c>
      <c r="AO35">
        <v>1.22608843109086</v>
      </c>
      <c r="AP35">
        <v>1.25818767846711</v>
      </c>
      <c r="AQ35">
        <v>1.28796306735902</v>
      </c>
      <c r="AR35">
        <v>1.31375846481219</v>
      </c>
      <c r="AS35">
        <v>1.33604222582596</v>
      </c>
      <c r="AT35">
        <v>1.35475878553354</v>
      </c>
      <c r="AU35">
        <v>1.36928268401038</v>
      </c>
      <c r="AV35">
        <v>1.37849007446916</v>
      </c>
      <c r="AW35">
        <v>1.38228774368874</v>
      </c>
      <c r="AX35">
        <v>1.3817633107947</v>
      </c>
      <c r="AY35">
        <v>1.37813032352762</v>
      </c>
      <c r="AZ35">
        <v>0</v>
      </c>
      <c r="BA35">
        <v>0</v>
      </c>
      <c r="BB35">
        <v>0</v>
      </c>
      <c r="BC35">
        <v>0</v>
      </c>
      <c r="BD35">
        <v>0</v>
      </c>
      <c r="BE35">
        <v>0</v>
      </c>
      <c r="BF35">
        <v>0</v>
      </c>
      <c r="BG35">
        <v>0</v>
      </c>
      <c r="BI35" t="s">
        <v>287</v>
      </c>
      <c r="BK35">
        <v>0.8</v>
      </c>
      <c r="BL35">
        <v>0.797560975609756</v>
      </c>
      <c r="BM35">
        <v>0.785365853658536</v>
      </c>
      <c r="BN35">
        <v>0.773170731707317</v>
      </c>
      <c r="BO35">
        <v>0.760975609756097</v>
      </c>
      <c r="BP35">
        <v>0.748780487804878</v>
      </c>
      <c r="BQ35">
        <v>0.736585365853658</v>
      </c>
      <c r="BR35">
        <v>0.724390243902439</v>
      </c>
      <c r="BS35">
        <v>0.71219512195122</v>
      </c>
      <c r="BT35">
        <v>0.699999999999999</v>
      </c>
      <c r="BU35">
        <v>0.687499999999999</v>
      </c>
      <c r="BV35">
        <v>0.675</v>
      </c>
      <c r="BW35">
        <v>0.6625</v>
      </c>
      <c r="BX35">
        <v>0.649999999999999</v>
      </c>
      <c r="BY35">
        <v>0.637499999999999</v>
      </c>
      <c r="BZ35">
        <v>0.625</v>
      </c>
      <c r="CA35">
        <v>0.6125</v>
      </c>
      <c r="CB35">
        <v>0.6</v>
      </c>
      <c r="CC35" t="e">
        <v>#VALUE!</v>
      </c>
      <c r="CD35" t="e">
        <v>#VALUE!</v>
      </c>
      <c r="CE35" t="e">
        <v>#VALUE!</v>
      </c>
      <c r="CF35" t="e">
        <v>#VALUE!</v>
      </c>
      <c r="CG35" t="e">
        <v>#VALUE!</v>
      </c>
      <c r="CH35" t="e">
        <v>#VALUE!</v>
      </c>
      <c r="CI35" t="e">
        <v>#VALUE!</v>
      </c>
      <c r="CJ35" t="e">
        <v>#VALUE!</v>
      </c>
    </row>
    <row r="36" spans="1:88">
      <c r="A36" t="s">
        <v>6</v>
      </c>
      <c r="B36" t="s">
        <v>283</v>
      </c>
      <c r="C36" t="s">
        <v>283</v>
      </c>
      <c r="D36">
        <v>242.172</v>
      </c>
      <c r="E36">
        <v>243.573612891857</v>
      </c>
      <c r="F36">
        <v>263.829853570693</v>
      </c>
      <c r="G36">
        <v>283.899264297911</v>
      </c>
      <c r="H36">
        <v>304.439246599583</v>
      </c>
      <c r="I36">
        <v>325.390163313964</v>
      </c>
      <c r="J36">
        <v>346.593714879194</v>
      </c>
      <c r="K36">
        <v>366.7672330622</v>
      </c>
      <c r="L36">
        <v>386.053778837822</v>
      </c>
      <c r="M36">
        <v>405.173342067379</v>
      </c>
      <c r="N36">
        <v>424.477977613716</v>
      </c>
      <c r="O36">
        <v>443.250698062686</v>
      </c>
      <c r="P36">
        <v>461.198987217964</v>
      </c>
      <c r="Q36">
        <v>478.306581903341</v>
      </c>
      <c r="R36">
        <v>494.774356421311</v>
      </c>
      <c r="S36">
        <v>510.745611134922</v>
      </c>
      <c r="T36">
        <v>526.176215384945</v>
      </c>
      <c r="U36">
        <v>540.865815707178</v>
      </c>
      <c r="V36">
        <v>5</v>
      </c>
      <c r="AF36" s="99" t="s">
        <v>284</v>
      </c>
      <c r="AH36">
        <v>1</v>
      </c>
      <c r="AI36">
        <v>1.00725671820965</v>
      </c>
      <c r="AJ36">
        <v>1.11391553664979</v>
      </c>
      <c r="AK36">
        <v>1.22350972901388</v>
      </c>
      <c r="AL36">
        <v>1.33983457541656</v>
      </c>
      <c r="AM36">
        <v>1.46297454841739</v>
      </c>
      <c r="AN36">
        <v>1.59239945951045</v>
      </c>
      <c r="AO36">
        <v>1.72034948891394</v>
      </c>
      <c r="AP36">
        <v>1.84737226835737</v>
      </c>
      <c r="AQ36">
        <v>1.97807556422504</v>
      </c>
      <c r="AR36">
        <v>2.11516087431393</v>
      </c>
      <c r="AS36">
        <v>2.25374442396418</v>
      </c>
      <c r="AT36">
        <v>2.3914946791284</v>
      </c>
      <c r="AU36">
        <v>2.52797079997079</v>
      </c>
      <c r="AV36">
        <v>2.66449838830749</v>
      </c>
      <c r="AW36">
        <v>2.80211387105471</v>
      </c>
      <c r="AX36">
        <v>2.94032976167389</v>
      </c>
      <c r="AY36">
        <v>3.07714156144632</v>
      </c>
      <c r="AZ36">
        <v>0</v>
      </c>
      <c r="BA36">
        <v>0</v>
      </c>
      <c r="BB36">
        <v>0</v>
      </c>
      <c r="BC36">
        <v>0</v>
      </c>
      <c r="BD36">
        <v>0</v>
      </c>
      <c r="BE36">
        <v>0</v>
      </c>
      <c r="BF36">
        <v>0</v>
      </c>
      <c r="BG36">
        <v>0</v>
      </c>
      <c r="BI36" t="s">
        <v>287</v>
      </c>
      <c r="BK36">
        <v>0.8</v>
      </c>
      <c r="BL36">
        <v>0.797560975609756</v>
      </c>
      <c r="BM36">
        <v>0.785365853658536</v>
      </c>
      <c r="BN36">
        <v>0.773170731707317</v>
      </c>
      <c r="BO36">
        <v>0.760975609756097</v>
      </c>
      <c r="BP36">
        <v>0.748780487804878</v>
      </c>
      <c r="BQ36">
        <v>0.736585365853658</v>
      </c>
      <c r="BR36">
        <v>0.724390243902439</v>
      </c>
      <c r="BS36">
        <v>0.71219512195122</v>
      </c>
      <c r="BT36">
        <v>0.699999999999999</v>
      </c>
      <c r="BU36">
        <v>0.687499999999999</v>
      </c>
      <c r="BV36">
        <v>0.675</v>
      </c>
      <c r="BW36">
        <v>0.6625</v>
      </c>
      <c r="BX36">
        <v>0.649999999999999</v>
      </c>
      <c r="BY36">
        <v>0.637499999999999</v>
      </c>
      <c r="BZ36">
        <v>0.625</v>
      </c>
      <c r="CA36">
        <v>0.6125</v>
      </c>
      <c r="CB36">
        <v>0.6</v>
      </c>
      <c r="CC36" t="e">
        <v>#VALUE!</v>
      </c>
      <c r="CD36" t="e">
        <v>#VALUE!</v>
      </c>
      <c r="CE36" t="e">
        <v>#VALUE!</v>
      </c>
      <c r="CF36" t="e">
        <v>#VALUE!</v>
      </c>
      <c r="CG36" t="e">
        <v>#VALUE!</v>
      </c>
      <c r="CH36" t="e">
        <v>#VALUE!</v>
      </c>
      <c r="CI36" t="e">
        <v>#VALUE!</v>
      </c>
      <c r="CJ36" t="e">
        <v>#VALUE!</v>
      </c>
    </row>
    <row r="37" spans="1:88">
      <c r="A37" t="s">
        <v>6</v>
      </c>
      <c r="B37" t="s">
        <v>285</v>
      </c>
      <c r="C37" t="s">
        <v>285</v>
      </c>
      <c r="D37">
        <v>51.1</v>
      </c>
      <c r="E37">
        <v>51.7269325835117</v>
      </c>
      <c r="F37">
        <v>57.8264100285185</v>
      </c>
      <c r="G37">
        <v>64.0481726602432</v>
      </c>
      <c r="H37">
        <v>70.4601618476892</v>
      </c>
      <c r="I37">
        <v>77.0665629493252</v>
      </c>
      <c r="J37">
        <v>83.8946211750688</v>
      </c>
      <c r="K37">
        <v>90.6741208445533</v>
      </c>
      <c r="L37">
        <v>97.2577289310377</v>
      </c>
      <c r="M37">
        <v>103.799614110601</v>
      </c>
      <c r="N37">
        <v>110.273482654212</v>
      </c>
      <c r="O37">
        <v>116.495643536256</v>
      </c>
      <c r="P37">
        <v>122.360104321629</v>
      </c>
      <c r="Q37">
        <v>127.800214002118</v>
      </c>
      <c r="R37">
        <v>132.777718617817</v>
      </c>
      <c r="S37">
        <v>137.304197073765</v>
      </c>
      <c r="T37">
        <v>141.418939666899</v>
      </c>
      <c r="U37">
        <v>145.133548242743</v>
      </c>
      <c r="V37">
        <v>5</v>
      </c>
      <c r="AF37" s="99" t="s">
        <v>272</v>
      </c>
      <c r="AH37">
        <v>1</v>
      </c>
      <c r="AI37">
        <v>1.01538282310513</v>
      </c>
      <c r="AJ37">
        <v>1.16783502508932</v>
      </c>
      <c r="AK37">
        <v>1.33034996724544</v>
      </c>
      <c r="AL37">
        <v>1.50536735755145</v>
      </c>
      <c r="AM37">
        <v>1.69386645595694</v>
      </c>
      <c r="AN37">
        <v>1.89761161875046</v>
      </c>
      <c r="AO37">
        <v>2.10930060579047</v>
      </c>
      <c r="AP37">
        <v>2.32434102558908</v>
      </c>
      <c r="AQ37">
        <v>2.54768827116721</v>
      </c>
      <c r="AR37">
        <v>2.77881050306947</v>
      </c>
      <c r="AS37">
        <v>3.01109771663594</v>
      </c>
      <c r="AT37">
        <v>3.23989842710592</v>
      </c>
      <c r="AU37">
        <v>3.46150664208387</v>
      </c>
      <c r="AV37">
        <v>3.67298458172093</v>
      </c>
      <c r="AW37">
        <v>3.87332766037914</v>
      </c>
      <c r="AX37">
        <v>4.06283978631873</v>
      </c>
      <c r="AY37">
        <v>4.24070209561629</v>
      </c>
      <c r="AZ37">
        <v>0</v>
      </c>
      <c r="BA37">
        <v>0</v>
      </c>
      <c r="BB37">
        <v>0</v>
      </c>
      <c r="BC37">
        <v>0</v>
      </c>
      <c r="BD37">
        <v>0</v>
      </c>
      <c r="BE37">
        <v>0</v>
      </c>
      <c r="BF37">
        <v>0</v>
      </c>
      <c r="BG37">
        <v>0</v>
      </c>
      <c r="BI37" t="s">
        <v>287</v>
      </c>
      <c r="BK37">
        <v>0.8</v>
      </c>
      <c r="BL37">
        <v>0.797560975609756</v>
      </c>
      <c r="BM37">
        <v>0.785365853658536</v>
      </c>
      <c r="BN37">
        <v>0.773170731707317</v>
      </c>
      <c r="BO37">
        <v>0.760975609756097</v>
      </c>
      <c r="BP37">
        <v>0.748780487804878</v>
      </c>
      <c r="BQ37">
        <v>0.736585365853658</v>
      </c>
      <c r="BR37">
        <v>0.724390243902439</v>
      </c>
      <c r="BS37">
        <v>0.71219512195122</v>
      </c>
      <c r="BT37">
        <v>0.699999999999999</v>
      </c>
      <c r="BU37">
        <v>0.687499999999999</v>
      </c>
      <c r="BV37">
        <v>0.675</v>
      </c>
      <c r="BW37">
        <v>0.6625</v>
      </c>
      <c r="BX37">
        <v>0.649999999999999</v>
      </c>
      <c r="BY37">
        <v>0.637499999999999</v>
      </c>
      <c r="BZ37">
        <v>0.625</v>
      </c>
      <c r="CA37">
        <v>0.6125</v>
      </c>
      <c r="CB37">
        <v>0.6</v>
      </c>
      <c r="CC37" t="e">
        <v>#VALUE!</v>
      </c>
      <c r="CD37" t="e">
        <v>#VALUE!</v>
      </c>
      <c r="CE37" t="e">
        <v>#VALUE!</v>
      </c>
      <c r="CF37" t="e">
        <v>#VALUE!</v>
      </c>
      <c r="CG37" t="e">
        <v>#VALUE!</v>
      </c>
      <c r="CH37" t="e">
        <v>#VALUE!</v>
      </c>
      <c r="CI37" t="e">
        <v>#VALUE!</v>
      </c>
      <c r="CJ37" t="e">
        <v>#VALUE!</v>
      </c>
    </row>
    <row r="38" spans="1:88">
      <c r="A38" t="s">
        <v>6</v>
      </c>
      <c r="B38" t="s">
        <v>286</v>
      </c>
      <c r="C38" t="s">
        <v>286</v>
      </c>
      <c r="D38">
        <v>64.16</v>
      </c>
      <c r="E38">
        <v>64.9471623201196</v>
      </c>
      <c r="F38">
        <v>72.6055277383512</v>
      </c>
      <c r="G38">
        <v>80.4174316610803</v>
      </c>
      <c r="H38">
        <v>88.4681797289185</v>
      </c>
      <c r="I38">
        <v>96.7630269829491</v>
      </c>
      <c r="J38">
        <v>105.336181890262</v>
      </c>
      <c r="K38">
        <v>113.848367776645</v>
      </c>
      <c r="L38">
        <v>122.114596638266</v>
      </c>
      <c r="M38">
        <v>130.328439165091</v>
      </c>
      <c r="N38">
        <v>138.456881547833</v>
      </c>
      <c r="O38">
        <v>146.269285504622</v>
      </c>
      <c r="P38">
        <v>153.632569340033</v>
      </c>
      <c r="Q38">
        <v>160.463047561172</v>
      </c>
      <c r="R38">
        <v>166.712689364366</v>
      </c>
      <c r="S38">
        <v>172.396032959937</v>
      </c>
      <c r="T38">
        <v>177.562410352803</v>
      </c>
      <c r="U38">
        <v>182.226388556838</v>
      </c>
      <c r="V38">
        <v>5</v>
      </c>
      <c r="AF38" s="99" t="s">
        <v>272</v>
      </c>
      <c r="AH38">
        <v>1</v>
      </c>
      <c r="AI38">
        <v>1.01538282310513</v>
      </c>
      <c r="AJ38">
        <v>1.16783502508932</v>
      </c>
      <c r="AK38">
        <v>1.33034996724544</v>
      </c>
      <c r="AL38">
        <v>1.50536735755145</v>
      </c>
      <c r="AM38">
        <v>1.69386645595694</v>
      </c>
      <c r="AN38">
        <v>1.89761161875046</v>
      </c>
      <c r="AO38">
        <v>2.10930060579047</v>
      </c>
      <c r="AP38">
        <v>2.32434102558908</v>
      </c>
      <c r="AQ38">
        <v>2.54768827116721</v>
      </c>
      <c r="AR38">
        <v>2.77881050306947</v>
      </c>
      <c r="AS38">
        <v>3.01109771663594</v>
      </c>
      <c r="AT38">
        <v>3.23989842710592</v>
      </c>
      <c r="AU38">
        <v>3.46150664208387</v>
      </c>
      <c r="AV38">
        <v>3.67298458172093</v>
      </c>
      <c r="AW38">
        <v>3.87332766037914</v>
      </c>
      <c r="AX38">
        <v>4.06283978631873</v>
      </c>
      <c r="AY38">
        <v>4.24070209561629</v>
      </c>
      <c r="AZ38">
        <v>0</v>
      </c>
      <c r="BA38">
        <v>0</v>
      </c>
      <c r="BB38">
        <v>0</v>
      </c>
      <c r="BC38">
        <v>0</v>
      </c>
      <c r="BD38">
        <v>0</v>
      </c>
      <c r="BE38">
        <v>0</v>
      </c>
      <c r="BF38">
        <v>0</v>
      </c>
      <c r="BG38">
        <v>0</v>
      </c>
      <c r="BI38" t="s">
        <v>287</v>
      </c>
      <c r="BK38">
        <v>0.8</v>
      </c>
      <c r="BL38">
        <v>0.797560975609756</v>
      </c>
      <c r="BM38">
        <v>0.785365853658536</v>
      </c>
      <c r="BN38">
        <v>0.773170731707317</v>
      </c>
      <c r="BO38">
        <v>0.760975609756097</v>
      </c>
      <c r="BP38">
        <v>0.748780487804878</v>
      </c>
      <c r="BQ38">
        <v>0.736585365853658</v>
      </c>
      <c r="BR38">
        <v>0.724390243902439</v>
      </c>
      <c r="BS38">
        <v>0.71219512195122</v>
      </c>
      <c r="BT38">
        <v>0.699999999999999</v>
      </c>
      <c r="BU38">
        <v>0.687499999999999</v>
      </c>
      <c r="BV38">
        <v>0.675</v>
      </c>
      <c r="BW38">
        <v>0.6625</v>
      </c>
      <c r="BX38">
        <v>0.649999999999999</v>
      </c>
      <c r="BY38">
        <v>0.637499999999999</v>
      </c>
      <c r="BZ38">
        <v>0.625</v>
      </c>
      <c r="CA38">
        <v>0.6125</v>
      </c>
      <c r="CB38">
        <v>0.6</v>
      </c>
      <c r="CC38" t="e">
        <v>#VALUE!</v>
      </c>
      <c r="CD38" t="e">
        <v>#VALUE!</v>
      </c>
      <c r="CE38" t="e">
        <v>#VALUE!</v>
      </c>
      <c r="CF38" t="e">
        <v>#VALUE!</v>
      </c>
      <c r="CG38" t="e">
        <v>#VALUE!</v>
      </c>
      <c r="CH38" t="e">
        <v>#VALUE!</v>
      </c>
      <c r="CI38" t="e">
        <v>#VALUE!</v>
      </c>
      <c r="CJ38" t="e">
        <v>#VALUE!</v>
      </c>
    </row>
    <row r="39" spans="1:88">
      <c r="A39" t="s">
        <v>7</v>
      </c>
      <c r="B39" t="s">
        <v>271</v>
      </c>
      <c r="C39" t="s">
        <v>271</v>
      </c>
      <c r="D39">
        <v>1.3079814408</v>
      </c>
      <c r="E39">
        <v>1.31029971791135</v>
      </c>
      <c r="F39">
        <v>1.42647720144573</v>
      </c>
      <c r="G39">
        <v>1.53678916315461</v>
      </c>
      <c r="H39">
        <v>1.61659190984193</v>
      </c>
      <c r="I39">
        <v>1.69373839870712</v>
      </c>
      <c r="J39">
        <v>1.76887302200733</v>
      </c>
      <c r="K39">
        <v>1.83847661471092</v>
      </c>
      <c r="L39">
        <v>1.9041611869923</v>
      </c>
      <c r="M39">
        <v>1.96906575817125</v>
      </c>
      <c r="N39">
        <v>2.03383686838873</v>
      </c>
      <c r="O39">
        <v>2.09611213516628</v>
      </c>
      <c r="P39">
        <v>2.15414023565813</v>
      </c>
      <c r="Q39">
        <v>2.20501906438083</v>
      </c>
      <c r="R39">
        <v>2.24774574448957</v>
      </c>
      <c r="S39">
        <v>2.28306224511822</v>
      </c>
      <c r="T39">
        <v>2.31239723394446</v>
      </c>
      <c r="U39">
        <v>2.336446217648</v>
      </c>
      <c r="V39">
        <v>5</v>
      </c>
      <c r="AF39" s="99" t="s">
        <v>272</v>
      </c>
      <c r="AH39">
        <v>1</v>
      </c>
      <c r="AI39">
        <v>1.00222228558761</v>
      </c>
      <c r="AJ39">
        <v>1.11536936759602</v>
      </c>
      <c r="AK39">
        <v>1.22692746022008</v>
      </c>
      <c r="AL39">
        <v>1.31065179378735</v>
      </c>
      <c r="AM39">
        <v>1.39418296511398</v>
      </c>
      <c r="AN39">
        <v>1.47814645193158</v>
      </c>
      <c r="AO39">
        <v>1.55843985617691</v>
      </c>
      <c r="AP39">
        <v>1.63661997352757</v>
      </c>
      <c r="AQ39">
        <v>1.71631319509662</v>
      </c>
      <c r="AR39">
        <v>1.79843244242615</v>
      </c>
      <c r="AS39">
        <v>1.88001359494246</v>
      </c>
      <c r="AT39">
        <v>1.95857313812296</v>
      </c>
      <c r="AU39">
        <v>2.0297419260483</v>
      </c>
      <c r="AV39">
        <v>2.09143656598008</v>
      </c>
      <c r="AW39">
        <v>2.14401348824332</v>
      </c>
      <c r="AX39">
        <v>2.18899039615736</v>
      </c>
      <c r="AY39">
        <v>2.22693297914124</v>
      </c>
      <c r="AZ39">
        <v>0</v>
      </c>
      <c r="BA39">
        <v>0</v>
      </c>
      <c r="BB39">
        <v>0</v>
      </c>
      <c r="BC39">
        <v>0</v>
      </c>
      <c r="BD39">
        <v>0</v>
      </c>
      <c r="BE39">
        <v>0</v>
      </c>
      <c r="BF39">
        <v>0</v>
      </c>
      <c r="BG39">
        <v>0</v>
      </c>
      <c r="BI39" t="s">
        <v>287</v>
      </c>
      <c r="BK39">
        <v>0.8</v>
      </c>
      <c r="BL39">
        <v>0.797560975609756</v>
      </c>
      <c r="BM39">
        <v>0.785365853658536</v>
      </c>
      <c r="BN39">
        <v>0.773170731707317</v>
      </c>
      <c r="BO39">
        <v>0.760975609756097</v>
      </c>
      <c r="BP39">
        <v>0.748780487804878</v>
      </c>
      <c r="BQ39">
        <v>0.736585365853658</v>
      </c>
      <c r="BR39">
        <v>0.724390243902439</v>
      </c>
      <c r="BS39">
        <v>0.71219512195122</v>
      </c>
      <c r="BT39">
        <v>0.699999999999999</v>
      </c>
      <c r="BU39">
        <v>0.687499999999999</v>
      </c>
      <c r="BV39">
        <v>0.675</v>
      </c>
      <c r="BW39">
        <v>0.6625</v>
      </c>
      <c r="BX39">
        <v>0.649999999999999</v>
      </c>
      <c r="BY39">
        <v>0.637499999999999</v>
      </c>
      <c r="BZ39">
        <v>0.625</v>
      </c>
      <c r="CA39">
        <v>0.6125</v>
      </c>
      <c r="CB39">
        <v>0.6</v>
      </c>
      <c r="CC39" t="e">
        <v>#VALUE!</v>
      </c>
      <c r="CD39" t="e">
        <v>#VALUE!</v>
      </c>
      <c r="CE39" t="e">
        <v>#VALUE!</v>
      </c>
      <c r="CF39" t="e">
        <v>#VALUE!</v>
      </c>
      <c r="CG39" t="e">
        <v>#VALUE!</v>
      </c>
      <c r="CH39" t="e">
        <v>#VALUE!</v>
      </c>
      <c r="CI39" t="e">
        <v>#VALUE!</v>
      </c>
      <c r="CJ39" t="e">
        <v>#VALUE!</v>
      </c>
    </row>
    <row r="40" spans="1:88">
      <c r="A40" t="s">
        <v>7</v>
      </c>
      <c r="B40" t="s">
        <v>274</v>
      </c>
      <c r="C40" t="s">
        <v>274</v>
      </c>
      <c r="D40">
        <v>39.6794089152</v>
      </c>
      <c r="E40">
        <v>39.7497370273663</v>
      </c>
      <c r="F40">
        <v>43.2741401512209</v>
      </c>
      <c r="G40">
        <v>46.6206046348513</v>
      </c>
      <c r="H40">
        <v>49.0415302837851</v>
      </c>
      <c r="I40">
        <v>51.3818747126645</v>
      </c>
      <c r="J40">
        <v>53.6611864434143</v>
      </c>
      <c r="K40">
        <v>55.7727067836138</v>
      </c>
      <c r="L40">
        <v>57.7653382703257</v>
      </c>
      <c r="M40">
        <v>59.7343073550095</v>
      </c>
      <c r="N40">
        <v>61.6992277185881</v>
      </c>
      <c r="O40">
        <v>63.5884332521607</v>
      </c>
      <c r="P40">
        <v>65.3487951779234</v>
      </c>
      <c r="Q40">
        <v>66.8922741502089</v>
      </c>
      <c r="R40">
        <v>68.1884465260084</v>
      </c>
      <c r="S40">
        <v>69.2598209554813</v>
      </c>
      <c r="T40">
        <v>70.149738029876</v>
      </c>
      <c r="U40">
        <v>70.8792968971515</v>
      </c>
      <c r="V40">
        <v>5</v>
      </c>
      <c r="AF40" s="99" t="s">
        <v>272</v>
      </c>
      <c r="AH40">
        <v>1</v>
      </c>
      <c r="AI40">
        <v>1.00222228558761</v>
      </c>
      <c r="AJ40">
        <v>1.11536936759602</v>
      </c>
      <c r="AK40">
        <v>1.22692746022008</v>
      </c>
      <c r="AL40">
        <v>1.31065179378735</v>
      </c>
      <c r="AM40">
        <v>1.39418296511398</v>
      </c>
      <c r="AN40">
        <v>1.47814645193158</v>
      </c>
      <c r="AO40">
        <v>1.55843985617691</v>
      </c>
      <c r="AP40">
        <v>1.63661997352757</v>
      </c>
      <c r="AQ40">
        <v>1.71631319509662</v>
      </c>
      <c r="AR40">
        <v>1.79843244242615</v>
      </c>
      <c r="AS40">
        <v>1.88001359494246</v>
      </c>
      <c r="AT40">
        <v>1.95857313812296</v>
      </c>
      <c r="AU40">
        <v>2.0297419260483</v>
      </c>
      <c r="AV40">
        <v>2.09143656598008</v>
      </c>
      <c r="AW40">
        <v>2.14401348824332</v>
      </c>
      <c r="AX40">
        <v>2.18899039615736</v>
      </c>
      <c r="AY40">
        <v>2.22693297914124</v>
      </c>
      <c r="AZ40">
        <v>0</v>
      </c>
      <c r="BA40">
        <v>0</v>
      </c>
      <c r="BB40">
        <v>0</v>
      </c>
      <c r="BC40">
        <v>0</v>
      </c>
      <c r="BD40">
        <v>0</v>
      </c>
      <c r="BE40">
        <v>0</v>
      </c>
      <c r="BF40">
        <v>0</v>
      </c>
      <c r="BG40">
        <v>0</v>
      </c>
      <c r="BI40" t="s">
        <v>287</v>
      </c>
      <c r="BK40">
        <v>0.8</v>
      </c>
      <c r="BL40">
        <v>0.797560975609756</v>
      </c>
      <c r="BM40">
        <v>0.785365853658536</v>
      </c>
      <c r="BN40">
        <v>0.773170731707317</v>
      </c>
      <c r="BO40">
        <v>0.760975609756097</v>
      </c>
      <c r="BP40">
        <v>0.748780487804878</v>
      </c>
      <c r="BQ40">
        <v>0.736585365853658</v>
      </c>
      <c r="BR40">
        <v>0.724390243902439</v>
      </c>
      <c r="BS40">
        <v>0.71219512195122</v>
      </c>
      <c r="BT40">
        <v>0.699999999999999</v>
      </c>
      <c r="BU40">
        <v>0.687499999999999</v>
      </c>
      <c r="BV40">
        <v>0.675</v>
      </c>
      <c r="BW40">
        <v>0.6625</v>
      </c>
      <c r="BX40">
        <v>0.649999999999999</v>
      </c>
      <c r="BY40">
        <v>0.637499999999999</v>
      </c>
      <c r="BZ40">
        <v>0.625</v>
      </c>
      <c r="CA40">
        <v>0.6125</v>
      </c>
      <c r="CB40">
        <v>0.6</v>
      </c>
      <c r="CC40" t="e">
        <v>#VALUE!</v>
      </c>
      <c r="CD40" t="e">
        <v>#VALUE!</v>
      </c>
      <c r="CE40" t="e">
        <v>#VALUE!</v>
      </c>
      <c r="CF40" t="e">
        <v>#VALUE!</v>
      </c>
      <c r="CG40" t="e">
        <v>#VALUE!</v>
      </c>
      <c r="CH40" t="e">
        <v>#VALUE!</v>
      </c>
      <c r="CI40" t="e">
        <v>#VALUE!</v>
      </c>
      <c r="CJ40" t="e">
        <v>#VALUE!</v>
      </c>
    </row>
    <row r="41" spans="1:88">
      <c r="A41" t="s">
        <v>7</v>
      </c>
      <c r="B41" t="s">
        <v>275</v>
      </c>
      <c r="C41" t="s">
        <v>275</v>
      </c>
      <c r="D41">
        <v>1.2678635232</v>
      </c>
      <c r="E41">
        <v>1.27011069498277</v>
      </c>
      <c r="F41">
        <v>1.38272482618964</v>
      </c>
      <c r="G41">
        <v>1.4896533406629</v>
      </c>
      <c r="H41">
        <v>1.56700840734804</v>
      </c>
      <c r="I41">
        <v>1.64178868795761</v>
      </c>
      <c r="J41">
        <v>1.71461881019042</v>
      </c>
      <c r="K41">
        <v>1.7820875475286</v>
      </c>
      <c r="L41">
        <v>1.84575746717334</v>
      </c>
      <c r="M41">
        <v>1.90867130961777</v>
      </c>
      <c r="N41">
        <v>1.97145578456543</v>
      </c>
      <c r="O41">
        <v>2.03182096764977</v>
      </c>
      <c r="P41">
        <v>2.08806925194439</v>
      </c>
      <c r="Q41">
        <v>2.13738754425991</v>
      </c>
      <c r="R41">
        <v>2.17880372761506</v>
      </c>
      <c r="S41">
        <v>2.21303701374391</v>
      </c>
      <c r="T41">
        <v>2.24147225076342</v>
      </c>
      <c r="U41">
        <v>2.26478361303252</v>
      </c>
      <c r="V41">
        <v>5</v>
      </c>
      <c r="AF41" s="99" t="s">
        <v>272</v>
      </c>
      <c r="AH41">
        <v>1</v>
      </c>
      <c r="AI41">
        <v>1.00222228558761</v>
      </c>
      <c r="AJ41">
        <v>1.11536936759602</v>
      </c>
      <c r="AK41">
        <v>1.22692746022008</v>
      </c>
      <c r="AL41">
        <v>1.31065179378735</v>
      </c>
      <c r="AM41">
        <v>1.39418296511398</v>
      </c>
      <c r="AN41">
        <v>1.47814645193158</v>
      </c>
      <c r="AO41">
        <v>1.55843985617691</v>
      </c>
      <c r="AP41">
        <v>1.63661997352757</v>
      </c>
      <c r="AQ41">
        <v>1.71631319509662</v>
      </c>
      <c r="AR41">
        <v>1.79843244242615</v>
      </c>
      <c r="AS41">
        <v>1.88001359494246</v>
      </c>
      <c r="AT41">
        <v>1.95857313812296</v>
      </c>
      <c r="AU41">
        <v>2.0297419260483</v>
      </c>
      <c r="AV41">
        <v>2.09143656598008</v>
      </c>
      <c r="AW41">
        <v>2.14401348824332</v>
      </c>
      <c r="AX41">
        <v>2.18899039615736</v>
      </c>
      <c r="AY41">
        <v>2.22693297914124</v>
      </c>
      <c r="AZ41">
        <v>0</v>
      </c>
      <c r="BA41">
        <v>0</v>
      </c>
      <c r="BB41">
        <v>0</v>
      </c>
      <c r="BC41">
        <v>0</v>
      </c>
      <c r="BD41">
        <v>0</v>
      </c>
      <c r="BE41">
        <v>0</v>
      </c>
      <c r="BF41">
        <v>0</v>
      </c>
      <c r="BG41">
        <v>0</v>
      </c>
      <c r="BI41" t="s">
        <v>287</v>
      </c>
      <c r="BK41">
        <v>0.8</v>
      </c>
      <c r="BL41">
        <v>0.797560975609756</v>
      </c>
      <c r="BM41">
        <v>0.785365853658536</v>
      </c>
      <c r="BN41">
        <v>0.773170731707317</v>
      </c>
      <c r="BO41">
        <v>0.760975609756097</v>
      </c>
      <c r="BP41">
        <v>0.748780487804878</v>
      </c>
      <c r="BQ41">
        <v>0.736585365853658</v>
      </c>
      <c r="BR41">
        <v>0.724390243902439</v>
      </c>
      <c r="BS41">
        <v>0.71219512195122</v>
      </c>
      <c r="BT41">
        <v>0.699999999999999</v>
      </c>
      <c r="BU41">
        <v>0.687499999999999</v>
      </c>
      <c r="BV41">
        <v>0.675</v>
      </c>
      <c r="BW41">
        <v>0.6625</v>
      </c>
      <c r="BX41">
        <v>0.649999999999999</v>
      </c>
      <c r="BY41">
        <v>0.637499999999999</v>
      </c>
      <c r="BZ41">
        <v>0.625</v>
      </c>
      <c r="CA41">
        <v>0.6125</v>
      </c>
      <c r="CB41">
        <v>0.6</v>
      </c>
      <c r="CC41" t="e">
        <v>#VALUE!</v>
      </c>
      <c r="CD41" t="e">
        <v>#VALUE!</v>
      </c>
      <c r="CE41" t="e">
        <v>#VALUE!</v>
      </c>
      <c r="CF41" t="e">
        <v>#VALUE!</v>
      </c>
      <c r="CG41" t="e">
        <v>#VALUE!</v>
      </c>
      <c r="CH41" t="e">
        <v>#VALUE!</v>
      </c>
      <c r="CI41" t="e">
        <v>#VALUE!</v>
      </c>
      <c r="CJ41" t="e">
        <v>#VALUE!</v>
      </c>
    </row>
    <row r="42" spans="1:88">
      <c r="A42" t="s">
        <v>7</v>
      </c>
      <c r="B42" t="s">
        <v>276</v>
      </c>
      <c r="C42" t="s">
        <v>276</v>
      </c>
      <c r="D42">
        <v>7.2926017344</v>
      </c>
      <c r="E42">
        <v>7.31143704140328</v>
      </c>
      <c r="F42">
        <v>7.40411296899034</v>
      </c>
      <c r="G42">
        <v>7.4427143557465</v>
      </c>
      <c r="H42">
        <v>7.4712788225843</v>
      </c>
      <c r="I42">
        <v>7.49446942090852</v>
      </c>
      <c r="J42">
        <v>7.51874662865098</v>
      </c>
      <c r="K42">
        <v>7.53994546338287</v>
      </c>
      <c r="L42">
        <v>7.54848138770402</v>
      </c>
      <c r="M42">
        <v>7.54652112197853</v>
      </c>
      <c r="N42">
        <v>7.53506054515471</v>
      </c>
      <c r="O42">
        <v>7.52232307260213</v>
      </c>
      <c r="P42">
        <v>7.50615845200981</v>
      </c>
      <c r="Q42">
        <v>7.47902911284716</v>
      </c>
      <c r="R42">
        <v>7.4374871681356</v>
      </c>
      <c r="S42">
        <v>7.38442163430704</v>
      </c>
      <c r="T42">
        <v>7.32441417983518</v>
      </c>
      <c r="U42">
        <v>7.26035151569322</v>
      </c>
      <c r="V42">
        <v>5</v>
      </c>
      <c r="AF42" s="99" t="s">
        <v>277</v>
      </c>
      <c r="AH42">
        <v>1</v>
      </c>
      <c r="AI42">
        <v>1.00323836883231</v>
      </c>
      <c r="AJ42">
        <v>1.01943021299387</v>
      </c>
      <c r="AK42">
        <v>1.02630425158199</v>
      </c>
      <c r="AL42">
        <v>1.03148032182615</v>
      </c>
      <c r="AM42">
        <v>1.03575618143882</v>
      </c>
      <c r="AN42">
        <v>1.04031122243802</v>
      </c>
      <c r="AO42">
        <v>1.04436031057323</v>
      </c>
      <c r="AP42">
        <v>1.0460204085313</v>
      </c>
      <c r="AQ42">
        <v>1.04563234978531</v>
      </c>
      <c r="AR42">
        <v>1.0433225943739</v>
      </c>
      <c r="AS42">
        <v>1.04070976316582</v>
      </c>
      <c r="AT42">
        <v>1.03733411418462</v>
      </c>
      <c r="AU42">
        <v>1.03156609374183</v>
      </c>
      <c r="AV42">
        <v>1.02257818882174</v>
      </c>
      <c r="AW42">
        <v>1.01090464236831</v>
      </c>
      <c r="AX42">
        <v>0.997492664866922</v>
      </c>
      <c r="AY42">
        <v>0.982951789195398</v>
      </c>
      <c r="AZ42">
        <v>0</v>
      </c>
      <c r="BA42">
        <v>0</v>
      </c>
      <c r="BB42">
        <v>0</v>
      </c>
      <c r="BC42">
        <v>0</v>
      </c>
      <c r="BD42">
        <v>0</v>
      </c>
      <c r="BE42">
        <v>0</v>
      </c>
      <c r="BF42">
        <v>0</v>
      </c>
      <c r="BG42">
        <v>0</v>
      </c>
      <c r="BI42" t="s">
        <v>287</v>
      </c>
      <c r="BK42">
        <v>0.8</v>
      </c>
      <c r="BL42">
        <v>0.797560975609756</v>
      </c>
      <c r="BM42">
        <v>0.785365853658536</v>
      </c>
      <c r="BN42">
        <v>0.773170731707317</v>
      </c>
      <c r="BO42">
        <v>0.760975609756097</v>
      </c>
      <c r="BP42">
        <v>0.748780487804878</v>
      </c>
      <c r="BQ42">
        <v>0.736585365853658</v>
      </c>
      <c r="BR42">
        <v>0.724390243902439</v>
      </c>
      <c r="BS42">
        <v>0.71219512195122</v>
      </c>
      <c r="BT42">
        <v>0.699999999999999</v>
      </c>
      <c r="BU42">
        <v>0.687499999999999</v>
      </c>
      <c r="BV42">
        <v>0.675</v>
      </c>
      <c r="BW42">
        <v>0.6625</v>
      </c>
      <c r="BX42">
        <v>0.649999999999999</v>
      </c>
      <c r="BY42">
        <v>0.637499999999999</v>
      </c>
      <c r="BZ42">
        <v>0.625</v>
      </c>
      <c r="CA42">
        <v>0.6125</v>
      </c>
      <c r="CB42">
        <v>0.6</v>
      </c>
      <c r="CC42" t="e">
        <v>#VALUE!</v>
      </c>
      <c r="CD42" t="e">
        <v>#VALUE!</v>
      </c>
      <c r="CE42" t="e">
        <v>#VALUE!</v>
      </c>
      <c r="CF42" t="e">
        <v>#VALUE!</v>
      </c>
      <c r="CG42" t="e">
        <v>#VALUE!</v>
      </c>
      <c r="CH42" t="e">
        <v>#VALUE!</v>
      </c>
      <c r="CI42" t="e">
        <v>#VALUE!</v>
      </c>
      <c r="CJ42" t="e">
        <v>#VALUE!</v>
      </c>
    </row>
    <row r="43" spans="1:88">
      <c r="A43" t="s">
        <v>7</v>
      </c>
      <c r="B43" t="s">
        <v>278</v>
      </c>
      <c r="C43" t="s">
        <v>278</v>
      </c>
      <c r="D43">
        <v>1.1377042848</v>
      </c>
      <c r="E43">
        <v>1.13972076127334</v>
      </c>
      <c r="F43">
        <v>1.24077389298559</v>
      </c>
      <c r="G43">
        <v>1.33672509503333</v>
      </c>
      <c r="H43">
        <v>1.40613886805249</v>
      </c>
      <c r="I43">
        <v>1.47324218328418</v>
      </c>
      <c r="J43">
        <v>1.53859554396581</v>
      </c>
      <c r="K43">
        <v>1.59913792108694</v>
      </c>
      <c r="L43">
        <v>1.65627146824497</v>
      </c>
      <c r="M43">
        <v>1.71272655730819</v>
      </c>
      <c r="N43">
        <v>1.76906555977952</v>
      </c>
      <c r="O43">
        <v>1.82323363559453</v>
      </c>
      <c r="P43">
        <v>1.87370745464811</v>
      </c>
      <c r="Q43">
        <v>1.91796271671668</v>
      </c>
      <c r="R43">
        <v>1.95512710263125</v>
      </c>
      <c r="S43">
        <v>1.98584598963991</v>
      </c>
      <c r="T43">
        <v>2.01136205694875</v>
      </c>
      <c r="U43">
        <v>2.03228026798076</v>
      </c>
      <c r="V43">
        <v>5</v>
      </c>
      <c r="AF43" s="99" t="s">
        <v>272</v>
      </c>
      <c r="AH43">
        <v>1</v>
      </c>
      <c r="AI43">
        <v>1.00222228558761</v>
      </c>
      <c r="AJ43">
        <v>1.11536936759602</v>
      </c>
      <c r="AK43">
        <v>1.22692746022008</v>
      </c>
      <c r="AL43">
        <v>1.31065179378735</v>
      </c>
      <c r="AM43">
        <v>1.39418296511398</v>
      </c>
      <c r="AN43">
        <v>1.47814645193158</v>
      </c>
      <c r="AO43">
        <v>1.55843985617691</v>
      </c>
      <c r="AP43">
        <v>1.63661997352757</v>
      </c>
      <c r="AQ43">
        <v>1.71631319509662</v>
      </c>
      <c r="AR43">
        <v>1.79843244242615</v>
      </c>
      <c r="AS43">
        <v>1.88001359494246</v>
      </c>
      <c r="AT43">
        <v>1.95857313812296</v>
      </c>
      <c r="AU43">
        <v>2.0297419260483</v>
      </c>
      <c r="AV43">
        <v>2.09143656598008</v>
      </c>
      <c r="AW43">
        <v>2.14401348824332</v>
      </c>
      <c r="AX43">
        <v>2.18899039615736</v>
      </c>
      <c r="AY43">
        <v>2.22693297914124</v>
      </c>
      <c r="AZ43">
        <v>0</v>
      </c>
      <c r="BA43">
        <v>0</v>
      </c>
      <c r="BB43">
        <v>0</v>
      </c>
      <c r="BC43">
        <v>0</v>
      </c>
      <c r="BD43">
        <v>0</v>
      </c>
      <c r="BE43">
        <v>0</v>
      </c>
      <c r="BF43">
        <v>0</v>
      </c>
      <c r="BG43">
        <v>0</v>
      </c>
      <c r="BI43" t="s">
        <v>287</v>
      </c>
      <c r="BK43">
        <v>0.8</v>
      </c>
      <c r="BL43">
        <v>0.797560975609756</v>
      </c>
      <c r="BM43">
        <v>0.785365853658536</v>
      </c>
      <c r="BN43">
        <v>0.773170731707317</v>
      </c>
      <c r="BO43">
        <v>0.760975609756097</v>
      </c>
      <c r="BP43">
        <v>0.748780487804878</v>
      </c>
      <c r="BQ43">
        <v>0.736585365853658</v>
      </c>
      <c r="BR43">
        <v>0.724390243902439</v>
      </c>
      <c r="BS43">
        <v>0.71219512195122</v>
      </c>
      <c r="BT43">
        <v>0.699999999999999</v>
      </c>
      <c r="BU43">
        <v>0.687499999999999</v>
      </c>
      <c r="BV43">
        <v>0.675</v>
      </c>
      <c r="BW43">
        <v>0.6625</v>
      </c>
      <c r="BX43">
        <v>0.649999999999999</v>
      </c>
      <c r="BY43">
        <v>0.637499999999999</v>
      </c>
      <c r="BZ43">
        <v>0.625</v>
      </c>
      <c r="CA43">
        <v>0.6125</v>
      </c>
      <c r="CB43">
        <v>0.6</v>
      </c>
      <c r="CC43" t="e">
        <v>#VALUE!</v>
      </c>
      <c r="CD43" t="e">
        <v>#VALUE!</v>
      </c>
      <c r="CE43" t="e">
        <v>#VALUE!</v>
      </c>
      <c r="CF43" t="e">
        <v>#VALUE!</v>
      </c>
      <c r="CG43" t="e">
        <v>#VALUE!</v>
      </c>
      <c r="CH43" t="e">
        <v>#VALUE!</v>
      </c>
      <c r="CI43" t="e">
        <v>#VALUE!</v>
      </c>
      <c r="CJ43" t="e">
        <v>#VALUE!</v>
      </c>
    </row>
    <row r="44" spans="1:88">
      <c r="A44" t="s">
        <v>7</v>
      </c>
      <c r="B44" t="s">
        <v>279</v>
      </c>
      <c r="C44" t="s">
        <v>279</v>
      </c>
      <c r="D44">
        <v>0.6130145088</v>
      </c>
      <c r="E44">
        <v>0.614101020779717</v>
      </c>
      <c r="F44">
        <v>0.668550174858605</v>
      </c>
      <c r="G44">
        <v>0.720250322056702</v>
      </c>
      <c r="H44">
        <v>0.757651649044564</v>
      </c>
      <c r="I44">
        <v>0.793808061897345</v>
      </c>
      <c r="J44">
        <v>0.829021569336778</v>
      </c>
      <c r="K44">
        <v>0.861642836627701</v>
      </c>
      <c r="L44">
        <v>0.892427368087246</v>
      </c>
      <c r="M44">
        <v>0.922846334732373</v>
      </c>
      <c r="N44">
        <v>0.953202751938196</v>
      </c>
      <c r="O44">
        <v>0.982389436766598</v>
      </c>
      <c r="P44">
        <v>1.00958559292754</v>
      </c>
      <c r="Q44">
        <v>1.0334310843274</v>
      </c>
      <c r="R44">
        <v>1.05345589049245</v>
      </c>
      <c r="S44">
        <v>1.07000775171165</v>
      </c>
      <c r="T44">
        <v>1.08375624477511</v>
      </c>
      <c r="U44">
        <v>1.09502733431224</v>
      </c>
      <c r="V44">
        <v>5</v>
      </c>
      <c r="AF44" s="99" t="s">
        <v>272</v>
      </c>
      <c r="AH44">
        <v>1</v>
      </c>
      <c r="AI44">
        <v>1.00222228558761</v>
      </c>
      <c r="AJ44">
        <v>1.11536936759602</v>
      </c>
      <c r="AK44">
        <v>1.22692746022008</v>
      </c>
      <c r="AL44">
        <v>1.31065179378735</v>
      </c>
      <c r="AM44">
        <v>1.39418296511398</v>
      </c>
      <c r="AN44">
        <v>1.47814645193158</v>
      </c>
      <c r="AO44">
        <v>1.55843985617691</v>
      </c>
      <c r="AP44">
        <v>1.63661997352757</v>
      </c>
      <c r="AQ44">
        <v>1.71631319509662</v>
      </c>
      <c r="AR44">
        <v>1.79843244242615</v>
      </c>
      <c r="AS44">
        <v>1.88001359494246</v>
      </c>
      <c r="AT44">
        <v>1.95857313812296</v>
      </c>
      <c r="AU44">
        <v>2.0297419260483</v>
      </c>
      <c r="AV44">
        <v>2.09143656598008</v>
      </c>
      <c r="AW44">
        <v>2.14401348824332</v>
      </c>
      <c r="AX44">
        <v>2.18899039615736</v>
      </c>
      <c r="AY44">
        <v>2.22693297914124</v>
      </c>
      <c r="AZ44">
        <v>0</v>
      </c>
      <c r="BA44">
        <v>0</v>
      </c>
      <c r="BB44">
        <v>0</v>
      </c>
      <c r="BC44">
        <v>0</v>
      </c>
      <c r="BD44">
        <v>0</v>
      </c>
      <c r="BE44">
        <v>0</v>
      </c>
      <c r="BF44">
        <v>0</v>
      </c>
      <c r="BG44">
        <v>0</v>
      </c>
      <c r="BI44" t="s">
        <v>287</v>
      </c>
      <c r="BK44">
        <v>0.8</v>
      </c>
      <c r="BL44">
        <v>0.797560975609756</v>
      </c>
      <c r="BM44">
        <v>0.785365853658536</v>
      </c>
      <c r="BN44">
        <v>0.773170731707317</v>
      </c>
      <c r="BO44">
        <v>0.760975609756097</v>
      </c>
      <c r="BP44">
        <v>0.748780487804878</v>
      </c>
      <c r="BQ44">
        <v>0.736585365853658</v>
      </c>
      <c r="BR44">
        <v>0.724390243902439</v>
      </c>
      <c r="BS44">
        <v>0.71219512195122</v>
      </c>
      <c r="BT44">
        <v>0.699999999999999</v>
      </c>
      <c r="BU44">
        <v>0.687499999999999</v>
      </c>
      <c r="BV44">
        <v>0.675</v>
      </c>
      <c r="BW44">
        <v>0.6625</v>
      </c>
      <c r="BX44">
        <v>0.649999999999999</v>
      </c>
      <c r="BY44">
        <v>0.637499999999999</v>
      </c>
      <c r="BZ44">
        <v>0.625</v>
      </c>
      <c r="CA44">
        <v>0.6125</v>
      </c>
      <c r="CB44">
        <v>0.6</v>
      </c>
      <c r="CC44" t="e">
        <v>#VALUE!</v>
      </c>
      <c r="CD44" t="e">
        <v>#VALUE!</v>
      </c>
      <c r="CE44" t="e">
        <v>#VALUE!</v>
      </c>
      <c r="CF44" t="e">
        <v>#VALUE!</v>
      </c>
      <c r="CG44" t="e">
        <v>#VALUE!</v>
      </c>
      <c r="CH44" t="e">
        <v>#VALUE!</v>
      </c>
      <c r="CI44" t="e">
        <v>#VALUE!</v>
      </c>
      <c r="CJ44" t="e">
        <v>#VALUE!</v>
      </c>
    </row>
    <row r="45" spans="1:88">
      <c r="A45" t="s">
        <v>7</v>
      </c>
      <c r="B45" t="s">
        <v>280</v>
      </c>
      <c r="C45" t="s">
        <v>280</v>
      </c>
      <c r="D45">
        <v>0.329</v>
      </c>
      <c r="E45">
        <v>0.329849740083138</v>
      </c>
      <c r="F45">
        <v>0.334030741773154</v>
      </c>
      <c r="G45">
        <v>0.335772213021045</v>
      </c>
      <c r="H45">
        <v>0.337060876509318</v>
      </c>
      <c r="I45">
        <v>0.33810710213997</v>
      </c>
      <c r="J45">
        <v>0.339202349301157</v>
      </c>
      <c r="K45">
        <v>0.340158718081574</v>
      </c>
      <c r="L45">
        <v>0.340543809603631</v>
      </c>
      <c r="M45">
        <v>0.340455373754921</v>
      </c>
      <c r="N45">
        <v>0.339938338832083</v>
      </c>
      <c r="O45">
        <v>0.339363697761251</v>
      </c>
      <c r="P45">
        <v>0.33863444359812</v>
      </c>
      <c r="Q45">
        <v>0.337410524767833</v>
      </c>
      <c r="R45">
        <v>0.335536392557153</v>
      </c>
      <c r="S45">
        <v>0.333142382673514</v>
      </c>
      <c r="T45">
        <v>0.330435193491893</v>
      </c>
      <c r="U45">
        <v>0.327545056710765</v>
      </c>
      <c r="V45">
        <v>5</v>
      </c>
      <c r="AF45" s="99" t="s">
        <v>277</v>
      </c>
      <c r="AH45">
        <v>1</v>
      </c>
      <c r="AI45">
        <v>1.00323836883231</v>
      </c>
      <c r="AJ45">
        <v>1.01943021299387</v>
      </c>
      <c r="AK45">
        <v>1.02630425158199</v>
      </c>
      <c r="AL45">
        <v>1.03148032182615</v>
      </c>
      <c r="AM45">
        <v>1.03575618143882</v>
      </c>
      <c r="AN45">
        <v>1.04031122243802</v>
      </c>
      <c r="AO45">
        <v>1.04436031057323</v>
      </c>
      <c r="AP45">
        <v>1.0460204085313</v>
      </c>
      <c r="AQ45">
        <v>1.04563234978531</v>
      </c>
      <c r="AR45">
        <v>1.0433225943739</v>
      </c>
      <c r="AS45">
        <v>1.04070976316582</v>
      </c>
      <c r="AT45">
        <v>1.03733411418462</v>
      </c>
      <c r="AU45">
        <v>1.03156609374183</v>
      </c>
      <c r="AV45">
        <v>1.02257818882174</v>
      </c>
      <c r="AW45">
        <v>1.01090464236831</v>
      </c>
      <c r="AX45">
        <v>0.997492664866922</v>
      </c>
      <c r="AY45">
        <v>0.982951789195398</v>
      </c>
      <c r="AZ45">
        <v>0</v>
      </c>
      <c r="BA45">
        <v>0</v>
      </c>
      <c r="BB45">
        <v>0</v>
      </c>
      <c r="BC45">
        <v>0</v>
      </c>
      <c r="BD45">
        <v>0</v>
      </c>
      <c r="BE45">
        <v>0</v>
      </c>
      <c r="BF45">
        <v>0</v>
      </c>
      <c r="BG45">
        <v>0</v>
      </c>
      <c r="BI45" t="s">
        <v>287</v>
      </c>
      <c r="BK45">
        <v>0.8</v>
      </c>
      <c r="BL45">
        <v>0.797560975609756</v>
      </c>
      <c r="BM45">
        <v>0.785365853658536</v>
      </c>
      <c r="BN45">
        <v>0.773170731707317</v>
      </c>
      <c r="BO45">
        <v>0.760975609756097</v>
      </c>
      <c r="BP45">
        <v>0.748780487804878</v>
      </c>
      <c r="BQ45">
        <v>0.736585365853658</v>
      </c>
      <c r="BR45">
        <v>0.724390243902439</v>
      </c>
      <c r="BS45">
        <v>0.71219512195122</v>
      </c>
      <c r="BT45">
        <v>0.699999999999999</v>
      </c>
      <c r="BU45">
        <v>0.687499999999999</v>
      </c>
      <c r="BV45">
        <v>0.675</v>
      </c>
      <c r="BW45">
        <v>0.6625</v>
      </c>
      <c r="BX45">
        <v>0.649999999999999</v>
      </c>
      <c r="BY45">
        <v>0.637499999999999</v>
      </c>
      <c r="BZ45">
        <v>0.625</v>
      </c>
      <c r="CA45">
        <v>0.6125</v>
      </c>
      <c r="CB45">
        <v>0.6</v>
      </c>
      <c r="CC45" t="e">
        <v>#VALUE!</v>
      </c>
      <c r="CD45" t="e">
        <v>#VALUE!</v>
      </c>
      <c r="CE45" t="e">
        <v>#VALUE!</v>
      </c>
      <c r="CF45" t="e">
        <v>#VALUE!</v>
      </c>
      <c r="CG45" t="e">
        <v>#VALUE!</v>
      </c>
      <c r="CH45" t="e">
        <v>#VALUE!</v>
      </c>
      <c r="CI45" t="e">
        <v>#VALUE!</v>
      </c>
      <c r="CJ45" t="e">
        <v>#VALUE!</v>
      </c>
    </row>
    <row r="46" spans="1:88">
      <c r="A46" t="s">
        <v>7</v>
      </c>
      <c r="B46" t="s">
        <v>281</v>
      </c>
      <c r="C46" t="s">
        <v>281</v>
      </c>
      <c r="D46">
        <v>0.195</v>
      </c>
      <c r="E46">
        <v>0.19550364533803</v>
      </c>
      <c r="F46">
        <v>0.197981746643663</v>
      </c>
      <c r="G46">
        <v>0.199013925650771</v>
      </c>
      <c r="H46">
        <v>0.199777723159018</v>
      </c>
      <c r="I46">
        <v>0.200397826496335</v>
      </c>
      <c r="J46">
        <v>0.201046985148102</v>
      </c>
      <c r="K46">
        <v>0.201613829865978</v>
      </c>
      <c r="L46">
        <v>0.201842075600936</v>
      </c>
      <c r="M46">
        <v>0.201789659216442</v>
      </c>
      <c r="N46">
        <v>0.201483209946067</v>
      </c>
      <c r="O46">
        <v>0.201142617214116</v>
      </c>
      <c r="P46">
        <v>0.200710384503445</v>
      </c>
      <c r="Q46">
        <v>0.199984961488533</v>
      </c>
      <c r="R46">
        <v>0.198874153643297</v>
      </c>
      <c r="S46">
        <v>0.197455211615001</v>
      </c>
      <c r="T46">
        <v>0.195850646598538</v>
      </c>
      <c r="U46">
        <v>0.194137647594526</v>
      </c>
      <c r="V46">
        <v>5</v>
      </c>
      <c r="AF46" s="99" t="s">
        <v>277</v>
      </c>
      <c r="AH46">
        <v>1</v>
      </c>
      <c r="AI46">
        <v>1.00323836883231</v>
      </c>
      <c r="AJ46">
        <v>1.01943021299387</v>
      </c>
      <c r="AK46">
        <v>1.02630425158199</v>
      </c>
      <c r="AL46">
        <v>1.03148032182615</v>
      </c>
      <c r="AM46">
        <v>1.03575618143882</v>
      </c>
      <c r="AN46">
        <v>1.04031122243802</v>
      </c>
      <c r="AO46">
        <v>1.04436031057323</v>
      </c>
      <c r="AP46">
        <v>1.0460204085313</v>
      </c>
      <c r="AQ46">
        <v>1.04563234978531</v>
      </c>
      <c r="AR46">
        <v>1.0433225943739</v>
      </c>
      <c r="AS46">
        <v>1.04070976316582</v>
      </c>
      <c r="AT46">
        <v>1.03733411418462</v>
      </c>
      <c r="AU46">
        <v>1.03156609374183</v>
      </c>
      <c r="AV46">
        <v>1.02257818882174</v>
      </c>
      <c r="AW46">
        <v>1.01090464236831</v>
      </c>
      <c r="AX46">
        <v>0.997492664866922</v>
      </c>
      <c r="AY46">
        <v>0.982951789195398</v>
      </c>
      <c r="AZ46">
        <v>0</v>
      </c>
      <c r="BA46">
        <v>0</v>
      </c>
      <c r="BB46">
        <v>0</v>
      </c>
      <c r="BC46">
        <v>0</v>
      </c>
      <c r="BD46">
        <v>0</v>
      </c>
      <c r="BE46">
        <v>0</v>
      </c>
      <c r="BF46">
        <v>0</v>
      </c>
      <c r="BG46">
        <v>0</v>
      </c>
      <c r="BI46" t="s">
        <v>287</v>
      </c>
      <c r="BK46">
        <v>0.8</v>
      </c>
      <c r="BL46">
        <v>0.797560975609756</v>
      </c>
      <c r="BM46">
        <v>0.785365853658536</v>
      </c>
      <c r="BN46">
        <v>0.773170731707317</v>
      </c>
      <c r="BO46">
        <v>0.760975609756097</v>
      </c>
      <c r="BP46">
        <v>0.748780487804878</v>
      </c>
      <c r="BQ46">
        <v>0.736585365853658</v>
      </c>
      <c r="BR46">
        <v>0.724390243902439</v>
      </c>
      <c r="BS46">
        <v>0.71219512195122</v>
      </c>
      <c r="BT46">
        <v>0.699999999999999</v>
      </c>
      <c r="BU46">
        <v>0.687499999999999</v>
      </c>
      <c r="BV46">
        <v>0.675</v>
      </c>
      <c r="BW46">
        <v>0.6625</v>
      </c>
      <c r="BX46">
        <v>0.649999999999999</v>
      </c>
      <c r="BY46">
        <v>0.637499999999999</v>
      </c>
      <c r="BZ46">
        <v>0.625</v>
      </c>
      <c r="CA46">
        <v>0.6125</v>
      </c>
      <c r="CB46">
        <v>0.6</v>
      </c>
      <c r="CC46" t="e">
        <v>#VALUE!</v>
      </c>
      <c r="CD46" t="e">
        <v>#VALUE!</v>
      </c>
      <c r="CE46" t="e">
        <v>#VALUE!</v>
      </c>
      <c r="CF46" t="e">
        <v>#VALUE!</v>
      </c>
      <c r="CG46" t="e">
        <v>#VALUE!</v>
      </c>
      <c r="CH46" t="e">
        <v>#VALUE!</v>
      </c>
      <c r="CI46" t="e">
        <v>#VALUE!</v>
      </c>
      <c r="CJ46" t="e">
        <v>#VALUE!</v>
      </c>
    </row>
    <row r="47" spans="1:88">
      <c r="A47" t="s">
        <v>7</v>
      </c>
      <c r="B47" t="s">
        <v>282</v>
      </c>
      <c r="C47" t="s">
        <v>282</v>
      </c>
      <c r="D47">
        <v>0.77</v>
      </c>
      <c r="E47">
        <v>0.771988753386067</v>
      </c>
      <c r="F47">
        <v>0.78177407649036</v>
      </c>
      <c r="G47">
        <v>0.78584986026202</v>
      </c>
      <c r="H47">
        <v>0.78886588119202</v>
      </c>
      <c r="I47">
        <v>0.791314494370143</v>
      </c>
      <c r="J47">
        <v>0.793877838789942</v>
      </c>
      <c r="K47">
        <v>0.796116148701556</v>
      </c>
      <c r="L47">
        <v>0.797017426731902</v>
      </c>
      <c r="M47">
        <v>0.796810449213644</v>
      </c>
      <c r="N47">
        <v>0.795600367479342</v>
      </c>
      <c r="O47">
        <v>0.794255462845482</v>
      </c>
      <c r="P47">
        <v>0.792548697782834</v>
      </c>
      <c r="Q47">
        <v>0.78968420690344</v>
      </c>
      <c r="R47">
        <v>0.785297940027379</v>
      </c>
      <c r="S47">
        <v>0.779694938172054</v>
      </c>
      <c r="T47">
        <v>0.773358963491663</v>
      </c>
      <c r="U47">
        <v>0.766594813578386</v>
      </c>
      <c r="V47">
        <v>5</v>
      </c>
      <c r="AF47" s="99" t="s">
        <v>277</v>
      </c>
      <c r="AH47">
        <v>1</v>
      </c>
      <c r="AI47">
        <v>1.00323836883231</v>
      </c>
      <c r="AJ47">
        <v>1.01943021299387</v>
      </c>
      <c r="AK47">
        <v>1.02630425158199</v>
      </c>
      <c r="AL47">
        <v>1.03148032182615</v>
      </c>
      <c r="AM47">
        <v>1.03575618143882</v>
      </c>
      <c r="AN47">
        <v>1.04031122243802</v>
      </c>
      <c r="AO47">
        <v>1.04436031057323</v>
      </c>
      <c r="AP47">
        <v>1.0460204085313</v>
      </c>
      <c r="AQ47">
        <v>1.04563234978531</v>
      </c>
      <c r="AR47">
        <v>1.0433225943739</v>
      </c>
      <c r="AS47">
        <v>1.04070976316582</v>
      </c>
      <c r="AT47">
        <v>1.03733411418462</v>
      </c>
      <c r="AU47">
        <v>1.03156609374183</v>
      </c>
      <c r="AV47">
        <v>1.02257818882174</v>
      </c>
      <c r="AW47">
        <v>1.01090464236831</v>
      </c>
      <c r="AX47">
        <v>0.997492664866922</v>
      </c>
      <c r="AY47">
        <v>0.982951789195398</v>
      </c>
      <c r="AZ47">
        <v>0</v>
      </c>
      <c r="BA47">
        <v>0</v>
      </c>
      <c r="BB47">
        <v>0</v>
      </c>
      <c r="BC47">
        <v>0</v>
      </c>
      <c r="BD47">
        <v>0</v>
      </c>
      <c r="BE47">
        <v>0</v>
      </c>
      <c r="BF47">
        <v>0</v>
      </c>
      <c r="BG47">
        <v>0</v>
      </c>
      <c r="BI47" t="s">
        <v>287</v>
      </c>
      <c r="BK47">
        <v>0.8</v>
      </c>
      <c r="BL47">
        <v>0.797560975609756</v>
      </c>
      <c r="BM47">
        <v>0.785365853658536</v>
      </c>
      <c r="BN47">
        <v>0.773170731707317</v>
      </c>
      <c r="BO47">
        <v>0.760975609756097</v>
      </c>
      <c r="BP47">
        <v>0.748780487804878</v>
      </c>
      <c r="BQ47">
        <v>0.736585365853658</v>
      </c>
      <c r="BR47">
        <v>0.724390243902439</v>
      </c>
      <c r="BS47">
        <v>0.71219512195122</v>
      </c>
      <c r="BT47">
        <v>0.699999999999999</v>
      </c>
      <c r="BU47">
        <v>0.687499999999999</v>
      </c>
      <c r="BV47">
        <v>0.675</v>
      </c>
      <c r="BW47">
        <v>0.6625</v>
      </c>
      <c r="BX47">
        <v>0.649999999999999</v>
      </c>
      <c r="BY47">
        <v>0.637499999999999</v>
      </c>
      <c r="BZ47">
        <v>0.625</v>
      </c>
      <c r="CA47">
        <v>0.6125</v>
      </c>
      <c r="CB47">
        <v>0.6</v>
      </c>
      <c r="CC47" t="e">
        <v>#VALUE!</v>
      </c>
      <c r="CD47" t="e">
        <v>#VALUE!</v>
      </c>
      <c r="CE47" t="e">
        <v>#VALUE!</v>
      </c>
      <c r="CF47" t="e">
        <v>#VALUE!</v>
      </c>
      <c r="CG47" t="e">
        <v>#VALUE!</v>
      </c>
      <c r="CH47" t="e">
        <v>#VALUE!</v>
      </c>
      <c r="CI47" t="e">
        <v>#VALUE!</v>
      </c>
      <c r="CJ47" t="e">
        <v>#VALUE!</v>
      </c>
    </row>
    <row r="48" spans="1:88">
      <c r="A48" t="s">
        <v>7</v>
      </c>
      <c r="B48" t="s">
        <v>283</v>
      </c>
      <c r="C48" t="s">
        <v>283</v>
      </c>
      <c r="D48">
        <v>60.552</v>
      </c>
      <c r="E48">
        <v>60.5030877608683</v>
      </c>
      <c r="F48">
        <v>65.0276530408567</v>
      </c>
      <c r="G48">
        <v>69.6859216382221</v>
      </c>
      <c r="H48">
        <v>73.0203234250387</v>
      </c>
      <c r="I48">
        <v>76.2648737855567</v>
      </c>
      <c r="J48">
        <v>79.3872210176143</v>
      </c>
      <c r="K48">
        <v>82.2759651766126</v>
      </c>
      <c r="L48">
        <v>85.1178360916168</v>
      </c>
      <c r="M48">
        <v>88.0423220356544</v>
      </c>
      <c r="N48">
        <v>91.0788293341822</v>
      </c>
      <c r="O48">
        <v>94.0289767594457</v>
      </c>
      <c r="P48">
        <v>96.8432309401162</v>
      </c>
      <c r="Q48">
        <v>99.4953449667202</v>
      </c>
      <c r="R48">
        <v>101.997712843937</v>
      </c>
      <c r="S48">
        <v>104.354947803445</v>
      </c>
      <c r="T48">
        <v>106.573243303633</v>
      </c>
      <c r="U48">
        <v>108.643930898978</v>
      </c>
      <c r="V48">
        <v>5</v>
      </c>
      <c r="AF48" s="99" t="s">
        <v>284</v>
      </c>
      <c r="AH48">
        <v>1</v>
      </c>
      <c r="AI48">
        <v>0.998987196586309</v>
      </c>
      <c r="AJ48">
        <v>1.09411056625485</v>
      </c>
      <c r="AK48">
        <v>1.19548122141055</v>
      </c>
      <c r="AL48">
        <v>1.27065128248589</v>
      </c>
      <c r="AM48">
        <v>1.34605324119548</v>
      </c>
      <c r="AN48">
        <v>1.42086946680001</v>
      </c>
      <c r="AO48">
        <v>1.49224347229503</v>
      </c>
      <c r="AP48">
        <v>1.56461571894714</v>
      </c>
      <c r="AQ48">
        <v>1.64141172128905</v>
      </c>
      <c r="AR48">
        <v>1.72375490775736</v>
      </c>
      <c r="AS48">
        <v>1.80647252623392</v>
      </c>
      <c r="AT48">
        <v>1.88808322346794</v>
      </c>
      <c r="AU48">
        <v>1.96763148610842</v>
      </c>
      <c r="AV48">
        <v>2.04525833705677</v>
      </c>
      <c r="AW48">
        <v>2.12088598507216</v>
      </c>
      <c r="AX48">
        <v>2.1944927248657</v>
      </c>
      <c r="AY48">
        <v>2.26555666678637</v>
      </c>
      <c r="AZ48">
        <v>0</v>
      </c>
      <c r="BA48">
        <v>0</v>
      </c>
      <c r="BB48">
        <v>0</v>
      </c>
      <c r="BC48">
        <v>0</v>
      </c>
      <c r="BD48">
        <v>0</v>
      </c>
      <c r="BE48">
        <v>0</v>
      </c>
      <c r="BF48">
        <v>0</v>
      </c>
      <c r="BG48">
        <v>0</v>
      </c>
      <c r="BI48" t="s">
        <v>287</v>
      </c>
      <c r="BK48">
        <v>0.8</v>
      </c>
      <c r="BL48">
        <v>0.797560975609756</v>
      </c>
      <c r="BM48">
        <v>0.785365853658536</v>
      </c>
      <c r="BN48">
        <v>0.773170731707317</v>
      </c>
      <c r="BO48">
        <v>0.760975609756097</v>
      </c>
      <c r="BP48">
        <v>0.748780487804878</v>
      </c>
      <c r="BQ48">
        <v>0.736585365853658</v>
      </c>
      <c r="BR48">
        <v>0.724390243902439</v>
      </c>
      <c r="BS48">
        <v>0.71219512195122</v>
      </c>
      <c r="BT48">
        <v>0.699999999999999</v>
      </c>
      <c r="BU48">
        <v>0.687499999999999</v>
      </c>
      <c r="BV48">
        <v>0.675</v>
      </c>
      <c r="BW48">
        <v>0.6625</v>
      </c>
      <c r="BX48">
        <v>0.649999999999999</v>
      </c>
      <c r="BY48">
        <v>0.637499999999999</v>
      </c>
      <c r="BZ48">
        <v>0.625</v>
      </c>
      <c r="CA48">
        <v>0.6125</v>
      </c>
      <c r="CB48">
        <v>0.6</v>
      </c>
      <c r="CC48" t="e">
        <v>#VALUE!</v>
      </c>
      <c r="CD48" t="e">
        <v>#VALUE!</v>
      </c>
      <c r="CE48" t="e">
        <v>#VALUE!</v>
      </c>
      <c r="CF48" t="e">
        <v>#VALUE!</v>
      </c>
      <c r="CG48" t="e">
        <v>#VALUE!</v>
      </c>
      <c r="CH48" t="e">
        <v>#VALUE!</v>
      </c>
      <c r="CI48" t="e">
        <v>#VALUE!</v>
      </c>
      <c r="CJ48" t="e">
        <v>#VALUE!</v>
      </c>
    </row>
    <row r="49" spans="1:88">
      <c r="A49" t="s">
        <v>7</v>
      </c>
      <c r="B49" t="s">
        <v>285</v>
      </c>
      <c r="C49" t="s">
        <v>285</v>
      </c>
      <c r="D49">
        <v>24.7</v>
      </c>
      <c r="E49">
        <v>24.743778484055</v>
      </c>
      <c r="F49">
        <v>26.9376810531496</v>
      </c>
      <c r="G49">
        <v>29.0208187561915</v>
      </c>
      <c r="H49">
        <v>30.5278186123753</v>
      </c>
      <c r="I49">
        <v>31.9846575364848</v>
      </c>
      <c r="J49">
        <v>33.4035042705639</v>
      </c>
      <c r="K49">
        <v>34.7179026910239</v>
      </c>
      <c r="L49">
        <v>35.9582940947106</v>
      </c>
      <c r="M49">
        <v>37.1839559107832</v>
      </c>
      <c r="N49">
        <v>38.4070974420523</v>
      </c>
      <c r="O49">
        <v>39.5831073160645</v>
      </c>
      <c r="P49">
        <v>40.6789134471302</v>
      </c>
      <c r="Q49">
        <v>41.639712301189</v>
      </c>
      <c r="R49">
        <v>42.4465654917359</v>
      </c>
      <c r="S49">
        <v>43.1134844084097</v>
      </c>
      <c r="T49">
        <v>43.6674480973478</v>
      </c>
      <c r="U49">
        <v>44.1215905484165</v>
      </c>
      <c r="V49">
        <v>5</v>
      </c>
      <c r="AF49" s="99" t="s">
        <v>272</v>
      </c>
      <c r="AH49">
        <v>1</v>
      </c>
      <c r="AI49">
        <v>1.00222228558761</v>
      </c>
      <c r="AJ49">
        <v>1.11536936759602</v>
      </c>
      <c r="AK49">
        <v>1.22692746022008</v>
      </c>
      <c r="AL49">
        <v>1.31065179378735</v>
      </c>
      <c r="AM49">
        <v>1.39418296511398</v>
      </c>
      <c r="AN49">
        <v>1.47814645193158</v>
      </c>
      <c r="AO49">
        <v>1.55843985617691</v>
      </c>
      <c r="AP49">
        <v>1.63661997352757</v>
      </c>
      <c r="AQ49">
        <v>1.71631319509662</v>
      </c>
      <c r="AR49">
        <v>1.79843244242615</v>
      </c>
      <c r="AS49">
        <v>1.88001359494246</v>
      </c>
      <c r="AT49">
        <v>1.95857313812296</v>
      </c>
      <c r="AU49">
        <v>2.0297419260483</v>
      </c>
      <c r="AV49">
        <v>2.09143656598008</v>
      </c>
      <c r="AW49">
        <v>2.14401348824332</v>
      </c>
      <c r="AX49">
        <v>2.18899039615736</v>
      </c>
      <c r="AY49">
        <v>2.22693297914124</v>
      </c>
      <c r="AZ49">
        <v>0</v>
      </c>
      <c r="BA49">
        <v>0</v>
      </c>
      <c r="BB49">
        <v>0</v>
      </c>
      <c r="BC49">
        <v>0</v>
      </c>
      <c r="BD49">
        <v>0</v>
      </c>
      <c r="BE49">
        <v>0</v>
      </c>
      <c r="BF49">
        <v>0</v>
      </c>
      <c r="BG49">
        <v>0</v>
      </c>
      <c r="BI49" t="s">
        <v>287</v>
      </c>
      <c r="BK49">
        <v>0.8</v>
      </c>
      <c r="BL49">
        <v>0.797560975609756</v>
      </c>
      <c r="BM49">
        <v>0.785365853658536</v>
      </c>
      <c r="BN49">
        <v>0.773170731707317</v>
      </c>
      <c r="BO49">
        <v>0.760975609756097</v>
      </c>
      <c r="BP49">
        <v>0.748780487804878</v>
      </c>
      <c r="BQ49">
        <v>0.736585365853658</v>
      </c>
      <c r="BR49">
        <v>0.724390243902439</v>
      </c>
      <c r="BS49">
        <v>0.71219512195122</v>
      </c>
      <c r="BT49">
        <v>0.699999999999999</v>
      </c>
      <c r="BU49">
        <v>0.687499999999999</v>
      </c>
      <c r="BV49">
        <v>0.675</v>
      </c>
      <c r="BW49">
        <v>0.6625</v>
      </c>
      <c r="BX49">
        <v>0.649999999999999</v>
      </c>
      <c r="BY49">
        <v>0.637499999999999</v>
      </c>
      <c r="BZ49">
        <v>0.625</v>
      </c>
      <c r="CA49">
        <v>0.6125</v>
      </c>
      <c r="CB49">
        <v>0.6</v>
      </c>
      <c r="CC49" t="e">
        <v>#VALUE!</v>
      </c>
      <c r="CD49" t="e">
        <v>#VALUE!</v>
      </c>
      <c r="CE49" t="e">
        <v>#VALUE!</v>
      </c>
      <c r="CF49" t="e">
        <v>#VALUE!</v>
      </c>
      <c r="CG49" t="e">
        <v>#VALUE!</v>
      </c>
      <c r="CH49" t="e">
        <v>#VALUE!</v>
      </c>
      <c r="CI49" t="e">
        <v>#VALUE!</v>
      </c>
      <c r="CJ49" t="e">
        <v>#VALUE!</v>
      </c>
    </row>
    <row r="50" spans="1:88">
      <c r="A50" t="s">
        <v>7</v>
      </c>
      <c r="B50" t="s">
        <v>286</v>
      </c>
      <c r="C50" t="s">
        <v>286</v>
      </c>
      <c r="D50">
        <v>13.36</v>
      </c>
      <c r="E50">
        <v>13.3836793743715</v>
      </c>
      <c r="F50">
        <v>14.5703408449424</v>
      </c>
      <c r="G50">
        <v>15.6970906308793</v>
      </c>
      <c r="H50">
        <v>16.5122128202969</v>
      </c>
      <c r="I50">
        <v>17.3002034286411</v>
      </c>
      <c r="J50">
        <v>18.0676444151714</v>
      </c>
      <c r="K50">
        <v>18.7785902814607</v>
      </c>
      <c r="L50">
        <v>19.4495064415115</v>
      </c>
      <c r="M50">
        <v>20.1124555047799</v>
      </c>
      <c r="N50">
        <v>20.7740413694664</v>
      </c>
      <c r="O50">
        <v>21.4101341596203</v>
      </c>
      <c r="P50">
        <v>22.002845492051</v>
      </c>
      <c r="Q50">
        <v>22.5225326455014</v>
      </c>
      <c r="R50">
        <v>22.9589520230604</v>
      </c>
      <c r="S50">
        <v>23.3196822549131</v>
      </c>
      <c r="T50">
        <v>23.6193160558934</v>
      </c>
      <c r="U50">
        <v>23.8649574788196</v>
      </c>
      <c r="V50">
        <v>5</v>
      </c>
      <c r="AF50" s="99" t="s">
        <v>272</v>
      </c>
      <c r="AH50">
        <v>1</v>
      </c>
      <c r="AI50">
        <v>1.00222228558761</v>
      </c>
      <c r="AJ50">
        <v>1.11536936759602</v>
      </c>
      <c r="AK50">
        <v>1.22692746022008</v>
      </c>
      <c r="AL50">
        <v>1.31065179378735</v>
      </c>
      <c r="AM50">
        <v>1.39418296511398</v>
      </c>
      <c r="AN50">
        <v>1.47814645193158</v>
      </c>
      <c r="AO50">
        <v>1.55843985617691</v>
      </c>
      <c r="AP50">
        <v>1.63661997352757</v>
      </c>
      <c r="AQ50">
        <v>1.71631319509662</v>
      </c>
      <c r="AR50">
        <v>1.79843244242615</v>
      </c>
      <c r="AS50">
        <v>1.88001359494246</v>
      </c>
      <c r="AT50">
        <v>1.95857313812296</v>
      </c>
      <c r="AU50">
        <v>2.0297419260483</v>
      </c>
      <c r="AV50">
        <v>2.09143656598008</v>
      </c>
      <c r="AW50">
        <v>2.14401348824332</v>
      </c>
      <c r="AX50">
        <v>2.18899039615736</v>
      </c>
      <c r="AY50">
        <v>2.22693297914124</v>
      </c>
      <c r="AZ50">
        <v>0</v>
      </c>
      <c r="BA50">
        <v>0</v>
      </c>
      <c r="BB50">
        <v>0</v>
      </c>
      <c r="BC50">
        <v>0</v>
      </c>
      <c r="BD50">
        <v>0</v>
      </c>
      <c r="BE50">
        <v>0</v>
      </c>
      <c r="BF50">
        <v>0</v>
      </c>
      <c r="BG50">
        <v>0</v>
      </c>
      <c r="BI50" t="s">
        <v>287</v>
      </c>
      <c r="BK50">
        <v>0.8</v>
      </c>
      <c r="BL50">
        <v>0.797560975609756</v>
      </c>
      <c r="BM50">
        <v>0.785365853658536</v>
      </c>
      <c r="BN50">
        <v>0.773170731707317</v>
      </c>
      <c r="BO50">
        <v>0.760975609756097</v>
      </c>
      <c r="BP50">
        <v>0.748780487804878</v>
      </c>
      <c r="BQ50">
        <v>0.736585365853658</v>
      </c>
      <c r="BR50">
        <v>0.724390243902439</v>
      </c>
      <c r="BS50">
        <v>0.71219512195122</v>
      </c>
      <c r="BT50">
        <v>0.699999999999999</v>
      </c>
      <c r="BU50">
        <v>0.687499999999999</v>
      </c>
      <c r="BV50">
        <v>0.675</v>
      </c>
      <c r="BW50">
        <v>0.6625</v>
      </c>
      <c r="BX50">
        <v>0.649999999999999</v>
      </c>
      <c r="BY50">
        <v>0.637499999999999</v>
      </c>
      <c r="BZ50">
        <v>0.625</v>
      </c>
      <c r="CA50">
        <v>0.6125</v>
      </c>
      <c r="CB50">
        <v>0.6</v>
      </c>
      <c r="CC50" t="e">
        <v>#VALUE!</v>
      </c>
      <c r="CD50" t="e">
        <v>#VALUE!</v>
      </c>
      <c r="CE50" t="e">
        <v>#VALUE!</v>
      </c>
      <c r="CF50" t="e">
        <v>#VALUE!</v>
      </c>
      <c r="CG50" t="e">
        <v>#VALUE!</v>
      </c>
      <c r="CH50" t="e">
        <v>#VALUE!</v>
      </c>
      <c r="CI50" t="e">
        <v>#VALUE!</v>
      </c>
      <c r="CJ50" t="e">
        <v>#VALUE!</v>
      </c>
    </row>
    <row r="51" spans="1:88">
      <c r="A51" t="s">
        <v>8</v>
      </c>
      <c r="B51" t="s">
        <v>271</v>
      </c>
      <c r="C51" t="s">
        <v>271</v>
      </c>
      <c r="D51">
        <v>0.0886638636</v>
      </c>
      <c r="E51">
        <v>0.0904007668523383</v>
      </c>
      <c r="F51">
        <v>0.0993876441872506</v>
      </c>
      <c r="G51">
        <v>0.109757235511201</v>
      </c>
      <c r="H51">
        <v>0.115586079303733</v>
      </c>
      <c r="I51">
        <v>0.119284367498746</v>
      </c>
      <c r="J51">
        <v>0.121522260048043</v>
      </c>
      <c r="K51">
        <v>0.12288542350417</v>
      </c>
      <c r="L51">
        <v>0.123850502849819</v>
      </c>
      <c r="M51">
        <v>0.124887454802685</v>
      </c>
      <c r="N51">
        <v>0.126083333439388</v>
      </c>
      <c r="O51">
        <v>0.127252853733859</v>
      </c>
      <c r="P51">
        <v>0.128221677591349</v>
      </c>
      <c r="Q51">
        <v>0.128998099322602</v>
      </c>
      <c r="R51">
        <v>0.129655313570806</v>
      </c>
      <c r="S51">
        <v>0.130297867053084</v>
      </c>
      <c r="T51">
        <v>0.130973972509403</v>
      </c>
      <c r="U51">
        <v>0.131605638499868</v>
      </c>
      <c r="V51">
        <v>5</v>
      </c>
      <c r="AF51" s="99" t="s">
        <v>272</v>
      </c>
      <c r="AH51">
        <v>1</v>
      </c>
      <c r="AI51">
        <v>1.02456207653745</v>
      </c>
      <c r="AJ51">
        <v>1.15425102266182</v>
      </c>
      <c r="AK51">
        <v>1.31001036569329</v>
      </c>
      <c r="AL51">
        <v>1.40143289909313</v>
      </c>
      <c r="AM51">
        <v>1.46131720335972</v>
      </c>
      <c r="AN51">
        <v>1.49853726680739</v>
      </c>
      <c r="AO51">
        <v>1.52174255958907</v>
      </c>
      <c r="AP51">
        <v>1.53852305748937</v>
      </c>
      <c r="AQ51">
        <v>1.55692513386698</v>
      </c>
      <c r="AR51">
        <v>1.5786103282771</v>
      </c>
      <c r="AS51">
        <v>1.60030340974207</v>
      </c>
      <c r="AT51">
        <v>1.61869391843923</v>
      </c>
      <c r="AU51">
        <v>1.63377344151007</v>
      </c>
      <c r="AV51">
        <v>1.64683019791355</v>
      </c>
      <c r="AW51">
        <v>1.65988853172799</v>
      </c>
      <c r="AX51">
        <v>1.6739506247231</v>
      </c>
      <c r="AY51">
        <v>1.68740594029836</v>
      </c>
      <c r="AZ51">
        <v>0</v>
      </c>
      <c r="BA51">
        <v>0</v>
      </c>
      <c r="BB51">
        <v>0</v>
      </c>
      <c r="BC51">
        <v>0</v>
      </c>
      <c r="BD51">
        <v>0</v>
      </c>
      <c r="BE51">
        <v>0</v>
      </c>
      <c r="BF51">
        <v>0</v>
      </c>
      <c r="BG51">
        <v>0</v>
      </c>
      <c r="BI51" t="s">
        <v>287</v>
      </c>
      <c r="BK51">
        <v>0.8</v>
      </c>
      <c r="BL51">
        <v>0.797560975609756</v>
      </c>
      <c r="BM51">
        <v>0.785365853658536</v>
      </c>
      <c r="BN51">
        <v>0.773170731707317</v>
      </c>
      <c r="BO51">
        <v>0.760975609756097</v>
      </c>
      <c r="BP51">
        <v>0.748780487804878</v>
      </c>
      <c r="BQ51">
        <v>0.736585365853658</v>
      </c>
      <c r="BR51">
        <v>0.724390243902439</v>
      </c>
      <c r="BS51">
        <v>0.71219512195122</v>
      </c>
      <c r="BT51">
        <v>0.699999999999999</v>
      </c>
      <c r="BU51">
        <v>0.687499999999999</v>
      </c>
      <c r="BV51">
        <v>0.675</v>
      </c>
      <c r="BW51">
        <v>0.6625</v>
      </c>
      <c r="BX51">
        <v>0.649999999999999</v>
      </c>
      <c r="BY51">
        <v>0.637499999999999</v>
      </c>
      <c r="BZ51">
        <v>0.625</v>
      </c>
      <c r="CA51">
        <v>0.6125</v>
      </c>
      <c r="CB51">
        <v>0.6</v>
      </c>
      <c r="CC51" t="e">
        <v>#VALUE!</v>
      </c>
      <c r="CD51" t="e">
        <v>#VALUE!</v>
      </c>
      <c r="CE51" t="e">
        <v>#VALUE!</v>
      </c>
      <c r="CF51" t="e">
        <v>#VALUE!</v>
      </c>
      <c r="CG51" t="e">
        <v>#VALUE!</v>
      </c>
      <c r="CH51" t="e">
        <v>#VALUE!</v>
      </c>
      <c r="CI51" t="e">
        <v>#VALUE!</v>
      </c>
      <c r="CJ51" t="e">
        <v>#VALUE!</v>
      </c>
    </row>
    <row r="52" spans="1:88">
      <c r="A52" t="s">
        <v>8</v>
      </c>
      <c r="B52" t="s">
        <v>274</v>
      </c>
      <c r="C52" t="s">
        <v>274</v>
      </c>
      <c r="D52">
        <v>14.5334462472</v>
      </c>
      <c r="E52">
        <v>14.8181528799758</v>
      </c>
      <c r="F52">
        <v>16.291247931037</v>
      </c>
      <c r="G52">
        <v>17.9909922461726</v>
      </c>
      <c r="H52">
        <v>18.9464343451575</v>
      </c>
      <c r="I52">
        <v>19.5526438030643</v>
      </c>
      <c r="J52">
        <v>19.9194707126038</v>
      </c>
      <c r="K52">
        <v>20.1429153270315</v>
      </c>
      <c r="L52">
        <v>20.3011074948976</v>
      </c>
      <c r="M52">
        <v>20.4710807495698</v>
      </c>
      <c r="N52">
        <v>20.6671046670827</v>
      </c>
      <c r="O52">
        <v>20.8588080245111</v>
      </c>
      <c r="P52">
        <v>21.0176139786411</v>
      </c>
      <c r="Q52">
        <v>21.1448821016188</v>
      </c>
      <c r="R52">
        <v>21.2526101834024</v>
      </c>
      <c r="S52">
        <v>21.3579351277086</v>
      </c>
      <c r="T52">
        <v>21.4687597851044</v>
      </c>
      <c r="U52">
        <v>21.5723000927998</v>
      </c>
      <c r="V52">
        <v>5</v>
      </c>
      <c r="AF52" s="99" t="s">
        <v>272</v>
      </c>
      <c r="AH52">
        <v>1</v>
      </c>
      <c r="AI52">
        <v>1.02456207653745</v>
      </c>
      <c r="AJ52">
        <v>1.15425102266182</v>
      </c>
      <c r="AK52">
        <v>1.31001036569329</v>
      </c>
      <c r="AL52">
        <v>1.40143289909313</v>
      </c>
      <c r="AM52">
        <v>1.46131720335972</v>
      </c>
      <c r="AN52">
        <v>1.49853726680739</v>
      </c>
      <c r="AO52">
        <v>1.52174255958907</v>
      </c>
      <c r="AP52">
        <v>1.53852305748937</v>
      </c>
      <c r="AQ52">
        <v>1.55692513386698</v>
      </c>
      <c r="AR52">
        <v>1.5786103282771</v>
      </c>
      <c r="AS52">
        <v>1.60030340974207</v>
      </c>
      <c r="AT52">
        <v>1.61869391843923</v>
      </c>
      <c r="AU52">
        <v>1.63377344151007</v>
      </c>
      <c r="AV52">
        <v>1.64683019791355</v>
      </c>
      <c r="AW52">
        <v>1.65988853172799</v>
      </c>
      <c r="AX52">
        <v>1.6739506247231</v>
      </c>
      <c r="AY52">
        <v>1.68740594029836</v>
      </c>
      <c r="AZ52">
        <v>0</v>
      </c>
      <c r="BA52">
        <v>0</v>
      </c>
      <c r="BB52">
        <v>0</v>
      </c>
      <c r="BC52">
        <v>0</v>
      </c>
      <c r="BD52">
        <v>0</v>
      </c>
      <c r="BE52">
        <v>0</v>
      </c>
      <c r="BF52">
        <v>0</v>
      </c>
      <c r="BG52">
        <v>0</v>
      </c>
      <c r="BI52" t="s">
        <v>287</v>
      </c>
      <c r="BK52">
        <v>0.8</v>
      </c>
      <c r="BL52">
        <v>0.797560975609756</v>
      </c>
      <c r="BM52">
        <v>0.785365853658536</v>
      </c>
      <c r="BN52">
        <v>0.773170731707317</v>
      </c>
      <c r="BO52">
        <v>0.760975609756097</v>
      </c>
      <c r="BP52">
        <v>0.748780487804878</v>
      </c>
      <c r="BQ52">
        <v>0.736585365853658</v>
      </c>
      <c r="BR52">
        <v>0.724390243902439</v>
      </c>
      <c r="BS52">
        <v>0.71219512195122</v>
      </c>
      <c r="BT52">
        <v>0.699999999999999</v>
      </c>
      <c r="BU52">
        <v>0.687499999999999</v>
      </c>
      <c r="BV52">
        <v>0.675</v>
      </c>
      <c r="BW52">
        <v>0.6625</v>
      </c>
      <c r="BX52">
        <v>0.649999999999999</v>
      </c>
      <c r="BY52">
        <v>0.637499999999999</v>
      </c>
      <c r="BZ52">
        <v>0.625</v>
      </c>
      <c r="CA52">
        <v>0.6125</v>
      </c>
      <c r="CB52">
        <v>0.6</v>
      </c>
      <c r="CC52" t="e">
        <v>#VALUE!</v>
      </c>
      <c r="CD52" t="e">
        <v>#VALUE!</v>
      </c>
      <c r="CE52" t="e">
        <v>#VALUE!</v>
      </c>
      <c r="CF52" t="e">
        <v>#VALUE!</v>
      </c>
      <c r="CG52" t="e">
        <v>#VALUE!</v>
      </c>
      <c r="CH52" t="e">
        <v>#VALUE!</v>
      </c>
      <c r="CI52" t="e">
        <v>#VALUE!</v>
      </c>
      <c r="CJ52" t="e">
        <v>#VALUE!</v>
      </c>
    </row>
    <row r="53" spans="1:88">
      <c r="A53" t="s">
        <v>8</v>
      </c>
      <c r="B53" t="s">
        <v>275</v>
      </c>
      <c r="C53" t="s">
        <v>275</v>
      </c>
      <c r="D53">
        <v>4.3332710112</v>
      </c>
      <c r="E53">
        <v>4.41815872313833</v>
      </c>
      <c r="F53">
        <v>4.85737458240059</v>
      </c>
      <c r="G53">
        <v>5.36416785372454</v>
      </c>
      <c r="H53">
        <v>5.64904106823887</v>
      </c>
      <c r="I53">
        <v>5.82978759084491</v>
      </c>
      <c r="J53">
        <v>5.93916016402531</v>
      </c>
      <c r="K53">
        <v>6.00578208244984</v>
      </c>
      <c r="L53">
        <v>6.05294842713874</v>
      </c>
      <c r="M53">
        <v>6.10362740338586</v>
      </c>
      <c r="N53">
        <v>6.16207360704687</v>
      </c>
      <c r="O53">
        <v>6.21923159885178</v>
      </c>
      <c r="P53">
        <v>6.26658094915263</v>
      </c>
      <c r="Q53">
        <v>6.30452702598595</v>
      </c>
      <c r="R53">
        <v>6.33664707280383</v>
      </c>
      <c r="S53">
        <v>6.36805060367704</v>
      </c>
      <c r="T53">
        <v>6.40109392093649</v>
      </c>
      <c r="U53">
        <v>6.43196534717608</v>
      </c>
      <c r="V53">
        <v>5</v>
      </c>
      <c r="AF53" s="99" t="s">
        <v>272</v>
      </c>
      <c r="AH53">
        <v>1</v>
      </c>
      <c r="AI53">
        <v>1.02456207653745</v>
      </c>
      <c r="AJ53">
        <v>1.15425102266182</v>
      </c>
      <c r="AK53">
        <v>1.31001036569329</v>
      </c>
      <c r="AL53">
        <v>1.40143289909313</v>
      </c>
      <c r="AM53">
        <v>1.46131720335972</v>
      </c>
      <c r="AN53">
        <v>1.49853726680739</v>
      </c>
      <c r="AO53">
        <v>1.52174255958907</v>
      </c>
      <c r="AP53">
        <v>1.53852305748937</v>
      </c>
      <c r="AQ53">
        <v>1.55692513386698</v>
      </c>
      <c r="AR53">
        <v>1.5786103282771</v>
      </c>
      <c r="AS53">
        <v>1.60030340974207</v>
      </c>
      <c r="AT53">
        <v>1.61869391843923</v>
      </c>
      <c r="AU53">
        <v>1.63377344151007</v>
      </c>
      <c r="AV53">
        <v>1.64683019791355</v>
      </c>
      <c r="AW53">
        <v>1.65988853172799</v>
      </c>
      <c r="AX53">
        <v>1.6739506247231</v>
      </c>
      <c r="AY53">
        <v>1.68740594029836</v>
      </c>
      <c r="AZ53">
        <v>0</v>
      </c>
      <c r="BA53">
        <v>0</v>
      </c>
      <c r="BB53">
        <v>0</v>
      </c>
      <c r="BC53">
        <v>0</v>
      </c>
      <c r="BD53">
        <v>0</v>
      </c>
      <c r="BE53">
        <v>0</v>
      </c>
      <c r="BF53">
        <v>0</v>
      </c>
      <c r="BG53">
        <v>0</v>
      </c>
      <c r="BI53" t="s">
        <v>287</v>
      </c>
      <c r="BK53">
        <v>0.8</v>
      </c>
      <c r="BL53">
        <v>0.797560975609756</v>
      </c>
      <c r="BM53">
        <v>0.785365853658536</v>
      </c>
      <c r="BN53">
        <v>0.773170731707317</v>
      </c>
      <c r="BO53">
        <v>0.760975609756097</v>
      </c>
      <c r="BP53">
        <v>0.748780487804878</v>
      </c>
      <c r="BQ53">
        <v>0.736585365853658</v>
      </c>
      <c r="BR53">
        <v>0.724390243902439</v>
      </c>
      <c r="BS53">
        <v>0.71219512195122</v>
      </c>
      <c r="BT53">
        <v>0.699999999999999</v>
      </c>
      <c r="BU53">
        <v>0.687499999999999</v>
      </c>
      <c r="BV53">
        <v>0.675</v>
      </c>
      <c r="BW53">
        <v>0.6625</v>
      </c>
      <c r="BX53">
        <v>0.649999999999999</v>
      </c>
      <c r="BY53">
        <v>0.637499999999999</v>
      </c>
      <c r="BZ53">
        <v>0.625</v>
      </c>
      <c r="CA53">
        <v>0.6125</v>
      </c>
      <c r="CB53">
        <v>0.6</v>
      </c>
      <c r="CC53" t="e">
        <v>#VALUE!</v>
      </c>
      <c r="CD53" t="e">
        <v>#VALUE!</v>
      </c>
      <c r="CE53" t="e">
        <v>#VALUE!</v>
      </c>
      <c r="CF53" t="e">
        <v>#VALUE!</v>
      </c>
      <c r="CG53" t="e">
        <v>#VALUE!</v>
      </c>
      <c r="CH53" t="e">
        <v>#VALUE!</v>
      </c>
      <c r="CI53" t="e">
        <v>#VALUE!</v>
      </c>
      <c r="CJ53" t="e">
        <v>#VALUE!</v>
      </c>
    </row>
    <row r="54" spans="1:88">
      <c r="A54" t="s">
        <v>8</v>
      </c>
      <c r="B54" t="s">
        <v>276</v>
      </c>
      <c r="C54" t="s">
        <v>276</v>
      </c>
      <c r="D54">
        <v>0.7464771324</v>
      </c>
      <c r="E54">
        <v>0.743295306072797</v>
      </c>
      <c r="F54">
        <v>0.727612393229897</v>
      </c>
      <c r="G54">
        <v>0.701212296642695</v>
      </c>
      <c r="H54">
        <v>0.677223548832968</v>
      </c>
      <c r="I54">
        <v>0.656209277870055</v>
      </c>
      <c r="J54">
        <v>0.638251931412895</v>
      </c>
      <c r="K54">
        <v>0.62247470653344</v>
      </c>
      <c r="L54">
        <v>0.607597679224593</v>
      </c>
      <c r="M54">
        <v>0.593476899560186</v>
      </c>
      <c r="N54">
        <v>0.580711477427196</v>
      </c>
      <c r="O54">
        <v>0.569428327276469</v>
      </c>
      <c r="P54">
        <v>0.559566088094775</v>
      </c>
      <c r="Q54">
        <v>0.550934774315308</v>
      </c>
      <c r="R54">
        <v>0.543253186437011</v>
      </c>
      <c r="S54">
        <v>0.536374596510922</v>
      </c>
      <c r="T54">
        <v>0.530212566624801</v>
      </c>
      <c r="U54">
        <v>0.524452135498622</v>
      </c>
      <c r="V54">
        <v>5</v>
      </c>
      <c r="AF54" s="99" t="s">
        <v>277</v>
      </c>
      <c r="AH54">
        <v>1</v>
      </c>
      <c r="AI54">
        <v>0.994655635543914</v>
      </c>
      <c r="AJ54">
        <v>0.967933813263484</v>
      </c>
      <c r="AK54">
        <v>0.922510826864744</v>
      </c>
      <c r="AL54">
        <v>0.881038463024037</v>
      </c>
      <c r="AM54">
        <v>0.844527555633293</v>
      </c>
      <c r="AN54">
        <v>0.813152064438621</v>
      </c>
      <c r="AO54">
        <v>0.78540368309147</v>
      </c>
      <c r="AP54">
        <v>0.759047143517085</v>
      </c>
      <c r="AQ54">
        <v>0.733846404289723</v>
      </c>
      <c r="AR54">
        <v>0.71088683007766</v>
      </c>
      <c r="AS54">
        <v>0.690423954971224</v>
      </c>
      <c r="AT54">
        <v>0.672374402783251</v>
      </c>
      <c r="AU54">
        <v>0.656418428293023</v>
      </c>
      <c r="AV54">
        <v>0.642061835122001</v>
      </c>
      <c r="AW54">
        <v>0.629054330904787</v>
      </c>
      <c r="AX54">
        <v>0.617255535695606</v>
      </c>
      <c r="AY54">
        <v>0.606078703910127</v>
      </c>
      <c r="AZ54">
        <v>0</v>
      </c>
      <c r="BA54">
        <v>0</v>
      </c>
      <c r="BB54">
        <v>0</v>
      </c>
      <c r="BC54">
        <v>0</v>
      </c>
      <c r="BD54">
        <v>0</v>
      </c>
      <c r="BE54">
        <v>0</v>
      </c>
      <c r="BF54">
        <v>0</v>
      </c>
      <c r="BG54">
        <v>0</v>
      </c>
      <c r="BI54" t="s">
        <v>287</v>
      </c>
      <c r="BK54">
        <v>0.8</v>
      </c>
      <c r="BL54">
        <v>0.797560975609756</v>
      </c>
      <c r="BM54">
        <v>0.785365853658536</v>
      </c>
      <c r="BN54">
        <v>0.773170731707317</v>
      </c>
      <c r="BO54">
        <v>0.760975609756097</v>
      </c>
      <c r="BP54">
        <v>0.748780487804878</v>
      </c>
      <c r="BQ54">
        <v>0.736585365853658</v>
      </c>
      <c r="BR54">
        <v>0.724390243902439</v>
      </c>
      <c r="BS54">
        <v>0.71219512195122</v>
      </c>
      <c r="BT54">
        <v>0.699999999999999</v>
      </c>
      <c r="BU54">
        <v>0.687499999999999</v>
      </c>
      <c r="BV54">
        <v>0.675</v>
      </c>
      <c r="BW54">
        <v>0.6625</v>
      </c>
      <c r="BX54">
        <v>0.649999999999999</v>
      </c>
      <c r="BY54">
        <v>0.637499999999999</v>
      </c>
      <c r="BZ54">
        <v>0.625</v>
      </c>
      <c r="CA54">
        <v>0.6125</v>
      </c>
      <c r="CB54">
        <v>0.6</v>
      </c>
      <c r="CC54" t="e">
        <v>#VALUE!</v>
      </c>
      <c r="CD54" t="e">
        <v>#VALUE!</v>
      </c>
      <c r="CE54" t="e">
        <v>#VALUE!</v>
      </c>
      <c r="CF54" t="e">
        <v>#VALUE!</v>
      </c>
      <c r="CG54" t="e">
        <v>#VALUE!</v>
      </c>
      <c r="CH54" t="e">
        <v>#VALUE!</v>
      </c>
      <c r="CI54" t="e">
        <v>#VALUE!</v>
      </c>
      <c r="CJ54" t="e">
        <v>#VALUE!</v>
      </c>
    </row>
    <row r="55" spans="1:88">
      <c r="A55" t="s">
        <v>8</v>
      </c>
      <c r="B55" t="s">
        <v>278</v>
      </c>
      <c r="C55" t="s">
        <v>278</v>
      </c>
      <c r="D55">
        <v>0.5212021716</v>
      </c>
      <c r="E55">
        <v>0.53141239378321</v>
      </c>
      <c r="F55">
        <v>0.584240905791107</v>
      </c>
      <c r="G55">
        <v>0.645197571756285</v>
      </c>
      <c r="H55">
        <v>0.679461881016376</v>
      </c>
      <c r="I55">
        <v>0.701201919857225</v>
      </c>
      <c r="J55">
        <v>0.714357160438247</v>
      </c>
      <c r="K55">
        <v>0.722370388429129</v>
      </c>
      <c r="L55">
        <v>0.728043516469066</v>
      </c>
      <c r="M55">
        <v>0.734139140861401</v>
      </c>
      <c r="N55">
        <v>0.741169000796577</v>
      </c>
      <c r="O55">
        <v>0.748043915699432</v>
      </c>
      <c r="P55">
        <v>0.753739055499566</v>
      </c>
      <c r="Q55">
        <v>0.7583031775215</v>
      </c>
      <c r="R55">
        <v>0.762166549581569</v>
      </c>
      <c r="S55">
        <v>0.765943739709931</v>
      </c>
      <c r="T55">
        <v>0.769918161957693</v>
      </c>
      <c r="U55">
        <v>0.773631350990845</v>
      </c>
      <c r="V55">
        <v>5</v>
      </c>
      <c r="AF55" s="99" t="s">
        <v>272</v>
      </c>
      <c r="AH55">
        <v>1</v>
      </c>
      <c r="AI55">
        <v>1.02456207653745</v>
      </c>
      <c r="AJ55">
        <v>1.15425102266182</v>
      </c>
      <c r="AK55">
        <v>1.31001036569329</v>
      </c>
      <c r="AL55">
        <v>1.40143289909313</v>
      </c>
      <c r="AM55">
        <v>1.46131720335972</v>
      </c>
      <c r="AN55">
        <v>1.49853726680739</v>
      </c>
      <c r="AO55">
        <v>1.52174255958907</v>
      </c>
      <c r="AP55">
        <v>1.53852305748937</v>
      </c>
      <c r="AQ55">
        <v>1.55692513386698</v>
      </c>
      <c r="AR55">
        <v>1.5786103282771</v>
      </c>
      <c r="AS55">
        <v>1.60030340974207</v>
      </c>
      <c r="AT55">
        <v>1.61869391843923</v>
      </c>
      <c r="AU55">
        <v>1.63377344151007</v>
      </c>
      <c r="AV55">
        <v>1.64683019791355</v>
      </c>
      <c r="AW55">
        <v>1.65988853172799</v>
      </c>
      <c r="AX55">
        <v>1.6739506247231</v>
      </c>
      <c r="AY55">
        <v>1.68740594029836</v>
      </c>
      <c r="AZ55">
        <v>0</v>
      </c>
      <c r="BA55">
        <v>0</v>
      </c>
      <c r="BB55">
        <v>0</v>
      </c>
      <c r="BC55">
        <v>0</v>
      </c>
      <c r="BD55">
        <v>0</v>
      </c>
      <c r="BE55">
        <v>0</v>
      </c>
      <c r="BF55">
        <v>0</v>
      </c>
      <c r="BG55">
        <v>0</v>
      </c>
      <c r="BI55" t="s">
        <v>287</v>
      </c>
      <c r="BK55">
        <v>0.8</v>
      </c>
      <c r="BL55">
        <v>0.797560975609756</v>
      </c>
      <c r="BM55">
        <v>0.785365853658536</v>
      </c>
      <c r="BN55">
        <v>0.773170731707317</v>
      </c>
      <c r="BO55">
        <v>0.760975609756097</v>
      </c>
      <c r="BP55">
        <v>0.748780487804878</v>
      </c>
      <c r="BQ55">
        <v>0.736585365853658</v>
      </c>
      <c r="BR55">
        <v>0.724390243902439</v>
      </c>
      <c r="BS55">
        <v>0.71219512195122</v>
      </c>
      <c r="BT55">
        <v>0.699999999999999</v>
      </c>
      <c r="BU55">
        <v>0.687499999999999</v>
      </c>
      <c r="BV55">
        <v>0.675</v>
      </c>
      <c r="BW55">
        <v>0.6625</v>
      </c>
      <c r="BX55">
        <v>0.649999999999999</v>
      </c>
      <c r="BY55">
        <v>0.637499999999999</v>
      </c>
      <c r="BZ55">
        <v>0.625</v>
      </c>
      <c r="CA55">
        <v>0.6125</v>
      </c>
      <c r="CB55">
        <v>0.6</v>
      </c>
      <c r="CC55" t="e">
        <v>#VALUE!</v>
      </c>
      <c r="CD55" t="e">
        <v>#VALUE!</v>
      </c>
      <c r="CE55" t="e">
        <v>#VALUE!</v>
      </c>
      <c r="CF55" t="e">
        <v>#VALUE!</v>
      </c>
      <c r="CG55" t="e">
        <v>#VALUE!</v>
      </c>
      <c r="CH55" t="e">
        <v>#VALUE!</v>
      </c>
      <c r="CI55" t="e">
        <v>#VALUE!</v>
      </c>
      <c r="CJ55" t="e">
        <v>#VALUE!</v>
      </c>
    </row>
    <row r="56" spans="1:88">
      <c r="A56" t="s">
        <v>8</v>
      </c>
      <c r="B56" t="s">
        <v>279</v>
      </c>
      <c r="C56" t="s">
        <v>279</v>
      </c>
      <c r="D56">
        <v>28.1848384044</v>
      </c>
      <c r="E56">
        <v>28.7369724475552</v>
      </c>
      <c r="F56">
        <v>31.5937584611603</v>
      </c>
      <c r="G56">
        <v>34.8900873590723</v>
      </c>
      <c r="H56">
        <v>36.7429845113796</v>
      </c>
      <c r="I56">
        <v>37.9186117727812</v>
      </c>
      <c r="J56">
        <v>38.6300023811682</v>
      </c>
      <c r="K56">
        <v>39.0633304606106</v>
      </c>
      <c r="L56">
        <v>39.3701139042832</v>
      </c>
      <c r="M56">
        <v>39.6997445118159</v>
      </c>
      <c r="N56">
        <v>40.0798953958198</v>
      </c>
      <c r="O56">
        <v>40.4516673801654</v>
      </c>
      <c r="P56">
        <v>40.759641144865</v>
      </c>
      <c r="Q56">
        <v>41.0064533199779</v>
      </c>
      <c r="R56">
        <v>41.2153713236671</v>
      </c>
      <c r="S56">
        <v>41.4196289019956</v>
      </c>
      <c r="T56">
        <v>41.6345521216363</v>
      </c>
      <c r="U56">
        <v>41.8353487387016</v>
      </c>
      <c r="V56">
        <v>5</v>
      </c>
      <c r="AF56" s="99" t="s">
        <v>272</v>
      </c>
      <c r="AH56">
        <v>1</v>
      </c>
      <c r="AI56">
        <v>1.02456207653745</v>
      </c>
      <c r="AJ56">
        <v>1.15425102266182</v>
      </c>
      <c r="AK56">
        <v>1.31001036569329</v>
      </c>
      <c r="AL56">
        <v>1.40143289909313</v>
      </c>
      <c r="AM56">
        <v>1.46131720335972</v>
      </c>
      <c r="AN56">
        <v>1.49853726680739</v>
      </c>
      <c r="AO56">
        <v>1.52174255958907</v>
      </c>
      <c r="AP56">
        <v>1.53852305748937</v>
      </c>
      <c r="AQ56">
        <v>1.55692513386698</v>
      </c>
      <c r="AR56">
        <v>1.5786103282771</v>
      </c>
      <c r="AS56">
        <v>1.60030340974207</v>
      </c>
      <c r="AT56">
        <v>1.61869391843923</v>
      </c>
      <c r="AU56">
        <v>1.63377344151007</v>
      </c>
      <c r="AV56">
        <v>1.64683019791355</v>
      </c>
      <c r="AW56">
        <v>1.65988853172799</v>
      </c>
      <c r="AX56">
        <v>1.6739506247231</v>
      </c>
      <c r="AY56">
        <v>1.68740594029836</v>
      </c>
      <c r="AZ56">
        <v>0</v>
      </c>
      <c r="BA56">
        <v>0</v>
      </c>
      <c r="BB56">
        <v>0</v>
      </c>
      <c r="BC56">
        <v>0</v>
      </c>
      <c r="BD56">
        <v>0</v>
      </c>
      <c r="BE56">
        <v>0</v>
      </c>
      <c r="BF56">
        <v>0</v>
      </c>
      <c r="BG56">
        <v>0</v>
      </c>
      <c r="BI56" t="s">
        <v>287</v>
      </c>
      <c r="BK56">
        <v>0.8</v>
      </c>
      <c r="BL56">
        <v>0.797560975609756</v>
      </c>
      <c r="BM56">
        <v>0.785365853658536</v>
      </c>
      <c r="BN56">
        <v>0.773170731707317</v>
      </c>
      <c r="BO56">
        <v>0.760975609756097</v>
      </c>
      <c r="BP56">
        <v>0.748780487804878</v>
      </c>
      <c r="BQ56">
        <v>0.736585365853658</v>
      </c>
      <c r="BR56">
        <v>0.724390243902439</v>
      </c>
      <c r="BS56">
        <v>0.71219512195122</v>
      </c>
      <c r="BT56">
        <v>0.699999999999999</v>
      </c>
      <c r="BU56">
        <v>0.687499999999999</v>
      </c>
      <c r="BV56">
        <v>0.675</v>
      </c>
      <c r="BW56">
        <v>0.6625</v>
      </c>
      <c r="BX56">
        <v>0.649999999999999</v>
      </c>
      <c r="BY56">
        <v>0.637499999999999</v>
      </c>
      <c r="BZ56">
        <v>0.625</v>
      </c>
      <c r="CA56">
        <v>0.6125</v>
      </c>
      <c r="CB56">
        <v>0.6</v>
      </c>
      <c r="CC56" t="e">
        <v>#VALUE!</v>
      </c>
      <c r="CD56" t="e">
        <v>#VALUE!</v>
      </c>
      <c r="CE56" t="e">
        <v>#VALUE!</v>
      </c>
      <c r="CF56" t="e">
        <v>#VALUE!</v>
      </c>
      <c r="CG56" t="e">
        <v>#VALUE!</v>
      </c>
      <c r="CH56" t="e">
        <v>#VALUE!</v>
      </c>
      <c r="CI56" t="e">
        <v>#VALUE!</v>
      </c>
      <c r="CJ56" t="e">
        <v>#VALUE!</v>
      </c>
    </row>
    <row r="57" spans="1:88">
      <c r="A57" t="s">
        <v>8</v>
      </c>
      <c r="B57" t="s">
        <v>280</v>
      </c>
      <c r="C57" t="s">
        <v>280</v>
      </c>
      <c r="D57">
        <v>0.301</v>
      </c>
      <c r="E57">
        <v>0.299717000584587</v>
      </c>
      <c r="F57">
        <v>0.293393221113225</v>
      </c>
      <c r="G57">
        <v>0.282747979982797</v>
      </c>
      <c r="H57">
        <v>0.273075060642974</v>
      </c>
      <c r="I57">
        <v>0.264601531735933</v>
      </c>
      <c r="J57">
        <v>0.25736063841315</v>
      </c>
      <c r="K57">
        <v>0.2509988297487</v>
      </c>
      <c r="L57">
        <v>0.245000005370027</v>
      </c>
      <c r="M57">
        <v>0.239306120729086</v>
      </c>
      <c r="N57">
        <v>0.234158753321223</v>
      </c>
      <c r="O57">
        <v>0.229609078524824</v>
      </c>
      <c r="P57">
        <v>0.225632353900795</v>
      </c>
      <c r="Q57">
        <v>0.222151972071459</v>
      </c>
      <c r="R57">
        <v>0.219054545705653</v>
      </c>
      <c r="S57">
        <v>0.216280910080545</v>
      </c>
      <c r="T57">
        <v>0.213796211065374</v>
      </c>
      <c r="U57">
        <v>0.211473447656124</v>
      </c>
      <c r="V57">
        <v>5</v>
      </c>
      <c r="AF57" s="99" t="s">
        <v>277</v>
      </c>
      <c r="AH57">
        <v>1</v>
      </c>
      <c r="AI57">
        <v>0.994655635543914</v>
      </c>
      <c r="AJ57">
        <v>0.967933813263484</v>
      </c>
      <c r="AK57">
        <v>0.922510826864744</v>
      </c>
      <c r="AL57">
        <v>0.881038463024037</v>
      </c>
      <c r="AM57">
        <v>0.844527555633293</v>
      </c>
      <c r="AN57">
        <v>0.813152064438621</v>
      </c>
      <c r="AO57">
        <v>0.78540368309147</v>
      </c>
      <c r="AP57">
        <v>0.759047143517085</v>
      </c>
      <c r="AQ57">
        <v>0.733846404289723</v>
      </c>
      <c r="AR57">
        <v>0.71088683007766</v>
      </c>
      <c r="AS57">
        <v>0.690423954971224</v>
      </c>
      <c r="AT57">
        <v>0.672374402783251</v>
      </c>
      <c r="AU57">
        <v>0.656418428293023</v>
      </c>
      <c r="AV57">
        <v>0.642061835122001</v>
      </c>
      <c r="AW57">
        <v>0.629054330904787</v>
      </c>
      <c r="AX57">
        <v>0.617255535695606</v>
      </c>
      <c r="AY57">
        <v>0.606078703910127</v>
      </c>
      <c r="AZ57">
        <v>0</v>
      </c>
      <c r="BA57">
        <v>0</v>
      </c>
      <c r="BB57">
        <v>0</v>
      </c>
      <c r="BC57">
        <v>0</v>
      </c>
      <c r="BD57">
        <v>0</v>
      </c>
      <c r="BE57">
        <v>0</v>
      </c>
      <c r="BF57">
        <v>0</v>
      </c>
      <c r="BG57">
        <v>0</v>
      </c>
      <c r="BI57" t="s">
        <v>287</v>
      </c>
      <c r="BK57">
        <v>0.8</v>
      </c>
      <c r="BL57">
        <v>0.797560975609756</v>
      </c>
      <c r="BM57">
        <v>0.785365853658536</v>
      </c>
      <c r="BN57">
        <v>0.773170731707317</v>
      </c>
      <c r="BO57">
        <v>0.760975609756097</v>
      </c>
      <c r="BP57">
        <v>0.748780487804878</v>
      </c>
      <c r="BQ57">
        <v>0.736585365853658</v>
      </c>
      <c r="BR57">
        <v>0.724390243902439</v>
      </c>
      <c r="BS57">
        <v>0.71219512195122</v>
      </c>
      <c r="BT57">
        <v>0.699999999999999</v>
      </c>
      <c r="BU57">
        <v>0.687499999999999</v>
      </c>
      <c r="BV57">
        <v>0.675</v>
      </c>
      <c r="BW57">
        <v>0.6625</v>
      </c>
      <c r="BX57">
        <v>0.649999999999999</v>
      </c>
      <c r="BY57">
        <v>0.637499999999999</v>
      </c>
      <c r="BZ57">
        <v>0.625</v>
      </c>
      <c r="CA57">
        <v>0.6125</v>
      </c>
      <c r="CB57">
        <v>0.6</v>
      </c>
      <c r="CC57" t="e">
        <v>#VALUE!</v>
      </c>
      <c r="CD57" t="e">
        <v>#VALUE!</v>
      </c>
      <c r="CE57" t="e">
        <v>#VALUE!</v>
      </c>
      <c r="CF57" t="e">
        <v>#VALUE!</v>
      </c>
      <c r="CG57" t="e">
        <v>#VALUE!</v>
      </c>
      <c r="CH57" t="e">
        <v>#VALUE!</v>
      </c>
      <c r="CI57" t="e">
        <v>#VALUE!</v>
      </c>
      <c r="CJ57" t="e">
        <v>#VALUE!</v>
      </c>
    </row>
    <row r="58" spans="1:88">
      <c r="A58" t="s">
        <v>8</v>
      </c>
      <c r="B58" t="s">
        <v>281</v>
      </c>
      <c r="C58" t="s">
        <v>281</v>
      </c>
      <c r="D58">
        <v>0.06</v>
      </c>
      <c r="E58">
        <v>0.0597442526082234</v>
      </c>
      <c r="F58">
        <v>0.0584836985607757</v>
      </c>
      <c r="G58">
        <v>0.0563617235846107</v>
      </c>
      <c r="H58">
        <v>0.0544335669055762</v>
      </c>
      <c r="I58">
        <v>0.0527444913759334</v>
      </c>
      <c r="J58">
        <v>0.051301123936176</v>
      </c>
      <c r="K58">
        <v>0.0500329893186777</v>
      </c>
      <c r="L58">
        <v>0.0488372103727629</v>
      </c>
      <c r="M58">
        <v>0.0477022167566283</v>
      </c>
      <c r="N58">
        <v>0.0466761634527356</v>
      </c>
      <c r="O58">
        <v>0.0457692515331876</v>
      </c>
      <c r="P58">
        <v>0.0449765489503246</v>
      </c>
      <c r="Q58">
        <v>0.0442827851305234</v>
      </c>
      <c r="R58">
        <v>0.0436653579479707</v>
      </c>
      <c r="S58">
        <v>0.0431124737702083</v>
      </c>
      <c r="T58">
        <v>0.0426171849299748</v>
      </c>
      <c r="U58">
        <v>0.0421541756125165</v>
      </c>
      <c r="V58">
        <v>5</v>
      </c>
      <c r="AF58" s="99" t="s">
        <v>277</v>
      </c>
      <c r="AH58">
        <v>1</v>
      </c>
      <c r="AI58">
        <v>0.994655635543914</v>
      </c>
      <c r="AJ58">
        <v>0.967933813263484</v>
      </c>
      <c r="AK58">
        <v>0.922510826864744</v>
      </c>
      <c r="AL58">
        <v>0.881038463024037</v>
      </c>
      <c r="AM58">
        <v>0.844527555633293</v>
      </c>
      <c r="AN58">
        <v>0.813152064438621</v>
      </c>
      <c r="AO58">
        <v>0.78540368309147</v>
      </c>
      <c r="AP58">
        <v>0.759047143517085</v>
      </c>
      <c r="AQ58">
        <v>0.733846404289723</v>
      </c>
      <c r="AR58">
        <v>0.71088683007766</v>
      </c>
      <c r="AS58">
        <v>0.690423954971224</v>
      </c>
      <c r="AT58">
        <v>0.672374402783251</v>
      </c>
      <c r="AU58">
        <v>0.656418428293023</v>
      </c>
      <c r="AV58">
        <v>0.642061835122001</v>
      </c>
      <c r="AW58">
        <v>0.629054330904787</v>
      </c>
      <c r="AX58">
        <v>0.617255535695606</v>
      </c>
      <c r="AY58">
        <v>0.606078703910127</v>
      </c>
      <c r="AZ58">
        <v>0</v>
      </c>
      <c r="BA58">
        <v>0</v>
      </c>
      <c r="BB58">
        <v>0</v>
      </c>
      <c r="BC58">
        <v>0</v>
      </c>
      <c r="BD58">
        <v>0</v>
      </c>
      <c r="BE58">
        <v>0</v>
      </c>
      <c r="BF58">
        <v>0</v>
      </c>
      <c r="BG58">
        <v>0</v>
      </c>
      <c r="BI58" t="s">
        <v>287</v>
      </c>
      <c r="BK58">
        <v>0.8</v>
      </c>
      <c r="BL58">
        <v>0.797560975609756</v>
      </c>
      <c r="BM58">
        <v>0.785365853658536</v>
      </c>
      <c r="BN58">
        <v>0.773170731707317</v>
      </c>
      <c r="BO58">
        <v>0.760975609756097</v>
      </c>
      <c r="BP58">
        <v>0.748780487804878</v>
      </c>
      <c r="BQ58">
        <v>0.736585365853658</v>
      </c>
      <c r="BR58">
        <v>0.724390243902439</v>
      </c>
      <c r="BS58">
        <v>0.71219512195122</v>
      </c>
      <c r="BT58">
        <v>0.699999999999999</v>
      </c>
      <c r="BU58">
        <v>0.687499999999999</v>
      </c>
      <c r="BV58">
        <v>0.675</v>
      </c>
      <c r="BW58">
        <v>0.6625</v>
      </c>
      <c r="BX58">
        <v>0.649999999999999</v>
      </c>
      <c r="BY58">
        <v>0.637499999999999</v>
      </c>
      <c r="BZ58">
        <v>0.625</v>
      </c>
      <c r="CA58">
        <v>0.6125</v>
      </c>
      <c r="CB58">
        <v>0.6</v>
      </c>
      <c r="CC58" t="e">
        <v>#VALUE!</v>
      </c>
      <c r="CD58" t="e">
        <v>#VALUE!</v>
      </c>
      <c r="CE58" t="e">
        <v>#VALUE!</v>
      </c>
      <c r="CF58" t="e">
        <v>#VALUE!</v>
      </c>
      <c r="CG58" t="e">
        <v>#VALUE!</v>
      </c>
      <c r="CH58" t="e">
        <v>#VALUE!</v>
      </c>
      <c r="CI58" t="e">
        <v>#VALUE!</v>
      </c>
      <c r="CJ58" t="e">
        <v>#VALUE!</v>
      </c>
    </row>
    <row r="59" spans="1:88">
      <c r="A59" t="s">
        <v>8</v>
      </c>
      <c r="B59" t="s">
        <v>282</v>
      </c>
      <c r="C59" t="s">
        <v>282</v>
      </c>
      <c r="D59">
        <v>1.015</v>
      </c>
      <c r="E59">
        <v>1.01067360662245</v>
      </c>
      <c r="F59">
        <v>0.989349233986455</v>
      </c>
      <c r="G59">
        <v>0.953452490639665</v>
      </c>
      <c r="H59">
        <v>0.920834506819331</v>
      </c>
      <c r="I59">
        <v>0.89226097910954</v>
      </c>
      <c r="J59">
        <v>0.867844013253645</v>
      </c>
      <c r="K59">
        <v>0.846391402640965</v>
      </c>
      <c r="L59">
        <v>0.826162808805906</v>
      </c>
      <c r="M59">
        <v>0.806962500132963</v>
      </c>
      <c r="N59">
        <v>0.789605098408777</v>
      </c>
      <c r="O59">
        <v>0.774263171769757</v>
      </c>
      <c r="P59">
        <v>0.760853286409657</v>
      </c>
      <c r="Q59">
        <v>0.749117115124688</v>
      </c>
      <c r="R59">
        <v>0.738672305286504</v>
      </c>
      <c r="S59">
        <v>0.729319347946025</v>
      </c>
      <c r="T59">
        <v>0.720940711732074</v>
      </c>
      <c r="U59">
        <v>0.713108137445071</v>
      </c>
      <c r="V59">
        <v>5</v>
      </c>
      <c r="AF59" s="99" t="s">
        <v>277</v>
      </c>
      <c r="AH59">
        <v>1</v>
      </c>
      <c r="AI59">
        <v>0.994655635543914</v>
      </c>
      <c r="AJ59">
        <v>0.967933813263484</v>
      </c>
      <c r="AK59">
        <v>0.922510826864744</v>
      </c>
      <c r="AL59">
        <v>0.881038463024037</v>
      </c>
      <c r="AM59">
        <v>0.844527555633293</v>
      </c>
      <c r="AN59">
        <v>0.813152064438621</v>
      </c>
      <c r="AO59">
        <v>0.78540368309147</v>
      </c>
      <c r="AP59">
        <v>0.759047143517085</v>
      </c>
      <c r="AQ59">
        <v>0.733846404289723</v>
      </c>
      <c r="AR59">
        <v>0.71088683007766</v>
      </c>
      <c r="AS59">
        <v>0.690423954971224</v>
      </c>
      <c r="AT59">
        <v>0.672374402783251</v>
      </c>
      <c r="AU59">
        <v>0.656418428293023</v>
      </c>
      <c r="AV59">
        <v>0.642061835122001</v>
      </c>
      <c r="AW59">
        <v>0.629054330904787</v>
      </c>
      <c r="AX59">
        <v>0.617255535695606</v>
      </c>
      <c r="AY59">
        <v>0.606078703910127</v>
      </c>
      <c r="AZ59">
        <v>0</v>
      </c>
      <c r="BA59">
        <v>0</v>
      </c>
      <c r="BB59">
        <v>0</v>
      </c>
      <c r="BC59">
        <v>0</v>
      </c>
      <c r="BD59">
        <v>0</v>
      </c>
      <c r="BE59">
        <v>0</v>
      </c>
      <c r="BF59">
        <v>0</v>
      </c>
      <c r="BG59">
        <v>0</v>
      </c>
      <c r="BI59" t="s">
        <v>287</v>
      </c>
      <c r="BK59">
        <v>0.8</v>
      </c>
      <c r="BL59">
        <v>0.797560975609756</v>
      </c>
      <c r="BM59">
        <v>0.785365853658536</v>
      </c>
      <c r="BN59">
        <v>0.773170731707317</v>
      </c>
      <c r="BO59">
        <v>0.760975609756097</v>
      </c>
      <c r="BP59">
        <v>0.748780487804878</v>
      </c>
      <c r="BQ59">
        <v>0.736585365853658</v>
      </c>
      <c r="BR59">
        <v>0.724390243902439</v>
      </c>
      <c r="BS59">
        <v>0.71219512195122</v>
      </c>
      <c r="BT59">
        <v>0.699999999999999</v>
      </c>
      <c r="BU59">
        <v>0.687499999999999</v>
      </c>
      <c r="BV59">
        <v>0.675</v>
      </c>
      <c r="BW59">
        <v>0.6625</v>
      </c>
      <c r="BX59">
        <v>0.649999999999999</v>
      </c>
      <c r="BY59">
        <v>0.637499999999999</v>
      </c>
      <c r="BZ59">
        <v>0.625</v>
      </c>
      <c r="CA59">
        <v>0.6125</v>
      </c>
      <c r="CB59">
        <v>0.6</v>
      </c>
      <c r="CC59" t="e">
        <v>#VALUE!</v>
      </c>
      <c r="CD59" t="e">
        <v>#VALUE!</v>
      </c>
      <c r="CE59" t="e">
        <v>#VALUE!</v>
      </c>
      <c r="CF59" t="e">
        <v>#VALUE!</v>
      </c>
      <c r="CG59" t="e">
        <v>#VALUE!</v>
      </c>
      <c r="CH59" t="e">
        <v>#VALUE!</v>
      </c>
      <c r="CI59" t="e">
        <v>#VALUE!</v>
      </c>
      <c r="CJ59" t="e">
        <v>#VALUE!</v>
      </c>
    </row>
    <row r="60" spans="1:88">
      <c r="A60" t="s">
        <v>8</v>
      </c>
      <c r="B60" t="s">
        <v>283</v>
      </c>
      <c r="C60" t="s">
        <v>283</v>
      </c>
      <c r="D60">
        <v>14.676</v>
      </c>
      <c r="E60">
        <v>15.0279359114907</v>
      </c>
      <c r="F60">
        <v>16.8889599183515</v>
      </c>
      <c r="G60">
        <v>19.3807876412468</v>
      </c>
      <c r="H60">
        <v>21.1527204765845</v>
      </c>
      <c r="I60">
        <v>22.543527989314</v>
      </c>
      <c r="J60">
        <v>23.6234992372747</v>
      </c>
      <c r="K60">
        <v>24.5024464883538</v>
      </c>
      <c r="L60">
        <v>25.3074958134495</v>
      </c>
      <c r="M60">
        <v>26.1350145681235</v>
      </c>
      <c r="N60">
        <v>26.9736653362655</v>
      </c>
      <c r="O60">
        <v>27.7709105010172</v>
      </c>
      <c r="P60">
        <v>28.4819078040894</v>
      </c>
      <c r="Q60">
        <v>29.1085797201388</v>
      </c>
      <c r="R60">
        <v>29.6751278254503</v>
      </c>
      <c r="S60">
        <v>30.2087461262979</v>
      </c>
      <c r="T60">
        <v>30.7221740134875</v>
      </c>
      <c r="U60">
        <v>31.2130070740177</v>
      </c>
      <c r="V60">
        <v>5</v>
      </c>
      <c r="AF60" s="99" t="s">
        <v>284</v>
      </c>
      <c r="AH60">
        <v>1</v>
      </c>
      <c r="AI60">
        <v>1.03006713069814</v>
      </c>
      <c r="AJ60">
        <v>1.19248961741522</v>
      </c>
      <c r="AK60">
        <v>1.42004877075048</v>
      </c>
      <c r="AL60">
        <v>1.59066029226795</v>
      </c>
      <c r="AM60">
        <v>1.73033691276527</v>
      </c>
      <c r="AN60">
        <v>1.84287457702262</v>
      </c>
      <c r="AO60">
        <v>1.93752918702806</v>
      </c>
      <c r="AP60">
        <v>2.02691370441175</v>
      </c>
      <c r="AQ60">
        <v>2.1215953703199</v>
      </c>
      <c r="AR60">
        <v>2.22062114739789</v>
      </c>
      <c r="AS60">
        <v>2.31785614942744</v>
      </c>
      <c r="AT60">
        <v>2.40742941988682</v>
      </c>
      <c r="AU60">
        <v>2.48892074184846</v>
      </c>
      <c r="AV60">
        <v>2.56490902873962</v>
      </c>
      <c r="AW60">
        <v>2.63870456044794</v>
      </c>
      <c r="AX60">
        <v>2.7119248478455</v>
      </c>
      <c r="AY60">
        <v>2.78413666312977</v>
      </c>
      <c r="AZ60">
        <v>0</v>
      </c>
      <c r="BA60">
        <v>0</v>
      </c>
      <c r="BB60">
        <v>0</v>
      </c>
      <c r="BC60">
        <v>0</v>
      </c>
      <c r="BD60">
        <v>0</v>
      </c>
      <c r="BE60">
        <v>0</v>
      </c>
      <c r="BF60">
        <v>0</v>
      </c>
      <c r="BG60">
        <v>0</v>
      </c>
      <c r="BI60" t="s">
        <v>287</v>
      </c>
      <c r="BK60">
        <v>0.8</v>
      </c>
      <c r="BL60">
        <v>0.797560975609756</v>
      </c>
      <c r="BM60">
        <v>0.785365853658536</v>
      </c>
      <c r="BN60">
        <v>0.773170731707317</v>
      </c>
      <c r="BO60">
        <v>0.760975609756097</v>
      </c>
      <c r="BP60">
        <v>0.748780487804878</v>
      </c>
      <c r="BQ60">
        <v>0.736585365853658</v>
      </c>
      <c r="BR60">
        <v>0.724390243902439</v>
      </c>
      <c r="BS60">
        <v>0.71219512195122</v>
      </c>
      <c r="BT60">
        <v>0.699999999999999</v>
      </c>
      <c r="BU60">
        <v>0.687499999999999</v>
      </c>
      <c r="BV60">
        <v>0.675</v>
      </c>
      <c r="BW60">
        <v>0.6625</v>
      </c>
      <c r="BX60">
        <v>0.649999999999999</v>
      </c>
      <c r="BY60">
        <v>0.637499999999999</v>
      </c>
      <c r="BZ60">
        <v>0.625</v>
      </c>
      <c r="CA60">
        <v>0.6125</v>
      </c>
      <c r="CB60">
        <v>0.6</v>
      </c>
      <c r="CC60" t="e">
        <v>#VALUE!</v>
      </c>
      <c r="CD60" t="e">
        <v>#VALUE!</v>
      </c>
      <c r="CE60" t="e">
        <v>#VALUE!</v>
      </c>
      <c r="CF60" t="e">
        <v>#VALUE!</v>
      </c>
      <c r="CG60" t="e">
        <v>#VALUE!</v>
      </c>
      <c r="CH60" t="e">
        <v>#VALUE!</v>
      </c>
      <c r="CI60" t="e">
        <v>#VALUE!</v>
      </c>
      <c r="CJ60" t="e">
        <v>#VALUE!</v>
      </c>
    </row>
    <row r="61" spans="1:88">
      <c r="A61" t="s">
        <v>8</v>
      </c>
      <c r="B61" t="s">
        <v>285</v>
      </c>
      <c r="C61" t="s">
        <v>285</v>
      </c>
      <c r="D61">
        <v>13.8</v>
      </c>
      <c r="E61">
        <v>14.0703386014217</v>
      </c>
      <c r="F61">
        <v>15.4690923009141</v>
      </c>
      <c r="G61">
        <v>17.0830571616842</v>
      </c>
      <c r="H61">
        <v>17.9902818310245</v>
      </c>
      <c r="I61">
        <v>18.5658982661647</v>
      </c>
      <c r="J61">
        <v>18.9142128548411</v>
      </c>
      <c r="K61">
        <v>19.1263810926186</v>
      </c>
      <c r="L61">
        <v>19.2765899198589</v>
      </c>
      <c r="M61">
        <v>19.4379852884852</v>
      </c>
      <c r="N61">
        <v>19.6241166447833</v>
      </c>
      <c r="O61">
        <v>19.8061454827833</v>
      </c>
      <c r="P61">
        <v>19.9569371208929</v>
      </c>
      <c r="Q61">
        <v>20.0777825189643</v>
      </c>
      <c r="R61">
        <v>20.1800739853741</v>
      </c>
      <c r="S61">
        <v>20.2800835912654</v>
      </c>
      <c r="T61">
        <v>20.3853153612151</v>
      </c>
      <c r="U61">
        <v>20.4836303941326</v>
      </c>
      <c r="V61">
        <v>5</v>
      </c>
      <c r="AF61" s="99" t="s">
        <v>272</v>
      </c>
      <c r="AH61">
        <v>1</v>
      </c>
      <c r="AI61">
        <v>1.02456207653745</v>
      </c>
      <c r="AJ61">
        <v>1.15425102266182</v>
      </c>
      <c r="AK61">
        <v>1.31001036569329</v>
      </c>
      <c r="AL61">
        <v>1.40143289909313</v>
      </c>
      <c r="AM61">
        <v>1.46131720335972</v>
      </c>
      <c r="AN61">
        <v>1.49853726680739</v>
      </c>
      <c r="AO61">
        <v>1.52174255958907</v>
      </c>
      <c r="AP61">
        <v>1.53852305748937</v>
      </c>
      <c r="AQ61">
        <v>1.55692513386698</v>
      </c>
      <c r="AR61">
        <v>1.5786103282771</v>
      </c>
      <c r="AS61">
        <v>1.60030340974207</v>
      </c>
      <c r="AT61">
        <v>1.61869391843923</v>
      </c>
      <c r="AU61">
        <v>1.63377344151007</v>
      </c>
      <c r="AV61">
        <v>1.64683019791355</v>
      </c>
      <c r="AW61">
        <v>1.65988853172799</v>
      </c>
      <c r="AX61">
        <v>1.6739506247231</v>
      </c>
      <c r="AY61">
        <v>1.68740594029836</v>
      </c>
      <c r="AZ61">
        <v>0</v>
      </c>
      <c r="BA61">
        <v>0</v>
      </c>
      <c r="BB61">
        <v>0</v>
      </c>
      <c r="BC61">
        <v>0</v>
      </c>
      <c r="BD61">
        <v>0</v>
      </c>
      <c r="BE61">
        <v>0</v>
      </c>
      <c r="BF61">
        <v>0</v>
      </c>
      <c r="BG61">
        <v>0</v>
      </c>
      <c r="BI61" t="s">
        <v>287</v>
      </c>
      <c r="BK61">
        <v>0.8</v>
      </c>
      <c r="BL61">
        <v>0.797560975609756</v>
      </c>
      <c r="BM61">
        <v>0.785365853658536</v>
      </c>
      <c r="BN61">
        <v>0.773170731707317</v>
      </c>
      <c r="BO61">
        <v>0.760975609756097</v>
      </c>
      <c r="BP61">
        <v>0.748780487804878</v>
      </c>
      <c r="BQ61">
        <v>0.736585365853658</v>
      </c>
      <c r="BR61">
        <v>0.724390243902439</v>
      </c>
      <c r="BS61">
        <v>0.71219512195122</v>
      </c>
      <c r="BT61">
        <v>0.699999999999999</v>
      </c>
      <c r="BU61">
        <v>0.687499999999999</v>
      </c>
      <c r="BV61">
        <v>0.675</v>
      </c>
      <c r="BW61">
        <v>0.6625</v>
      </c>
      <c r="BX61">
        <v>0.649999999999999</v>
      </c>
      <c r="BY61">
        <v>0.637499999999999</v>
      </c>
      <c r="BZ61">
        <v>0.625</v>
      </c>
      <c r="CA61">
        <v>0.6125</v>
      </c>
      <c r="CB61">
        <v>0.6</v>
      </c>
      <c r="CC61" t="e">
        <v>#VALUE!</v>
      </c>
      <c r="CD61" t="e">
        <v>#VALUE!</v>
      </c>
      <c r="CE61" t="e">
        <v>#VALUE!</v>
      </c>
      <c r="CF61" t="e">
        <v>#VALUE!</v>
      </c>
      <c r="CG61" t="e">
        <v>#VALUE!</v>
      </c>
      <c r="CH61" t="e">
        <v>#VALUE!</v>
      </c>
      <c r="CI61" t="e">
        <v>#VALUE!</v>
      </c>
      <c r="CJ61" t="e">
        <v>#VALUE!</v>
      </c>
    </row>
    <row r="62" spans="1:88">
      <c r="A62" t="s">
        <v>8</v>
      </c>
      <c r="B62" t="s">
        <v>286</v>
      </c>
      <c r="C62" t="s">
        <v>286</v>
      </c>
      <c r="D62">
        <v>7.68</v>
      </c>
      <c r="E62">
        <v>7.83044930861729</v>
      </c>
      <c r="F62">
        <v>8.60888615007394</v>
      </c>
      <c r="G62">
        <v>9.50709268128512</v>
      </c>
      <c r="H62">
        <v>10.0119829320484</v>
      </c>
      <c r="I62">
        <v>10.3323259916047</v>
      </c>
      <c r="J62">
        <v>10.5261706322594</v>
      </c>
      <c r="K62">
        <v>10.6442468689356</v>
      </c>
      <c r="L62">
        <v>10.7278413467041</v>
      </c>
      <c r="M62">
        <v>10.8176613779396</v>
      </c>
      <c r="N62">
        <v>10.9212475240533</v>
      </c>
      <c r="O62">
        <v>11.0225505295489</v>
      </c>
      <c r="P62">
        <v>11.106469354236</v>
      </c>
      <c r="Q62">
        <v>11.1737224453366</v>
      </c>
      <c r="R62">
        <v>11.2306498701212</v>
      </c>
      <c r="S62">
        <v>11.2863073899216</v>
      </c>
      <c r="T62">
        <v>11.3448711575458</v>
      </c>
      <c r="U62">
        <v>11.3995856106477</v>
      </c>
      <c r="V62">
        <v>5</v>
      </c>
      <c r="AF62" s="99" t="s">
        <v>272</v>
      </c>
      <c r="AH62">
        <v>1</v>
      </c>
      <c r="AI62">
        <v>1.02456207653745</v>
      </c>
      <c r="AJ62">
        <v>1.15425102266182</v>
      </c>
      <c r="AK62">
        <v>1.31001036569329</v>
      </c>
      <c r="AL62">
        <v>1.40143289909313</v>
      </c>
      <c r="AM62">
        <v>1.46131720335972</v>
      </c>
      <c r="AN62">
        <v>1.49853726680739</v>
      </c>
      <c r="AO62">
        <v>1.52174255958907</v>
      </c>
      <c r="AP62">
        <v>1.53852305748937</v>
      </c>
      <c r="AQ62">
        <v>1.55692513386698</v>
      </c>
      <c r="AR62">
        <v>1.5786103282771</v>
      </c>
      <c r="AS62">
        <v>1.60030340974207</v>
      </c>
      <c r="AT62">
        <v>1.61869391843923</v>
      </c>
      <c r="AU62">
        <v>1.63377344151007</v>
      </c>
      <c r="AV62">
        <v>1.64683019791355</v>
      </c>
      <c r="AW62">
        <v>1.65988853172799</v>
      </c>
      <c r="AX62">
        <v>1.6739506247231</v>
      </c>
      <c r="AY62">
        <v>1.68740594029836</v>
      </c>
      <c r="AZ62">
        <v>0</v>
      </c>
      <c r="BA62">
        <v>0</v>
      </c>
      <c r="BB62">
        <v>0</v>
      </c>
      <c r="BC62">
        <v>0</v>
      </c>
      <c r="BD62">
        <v>0</v>
      </c>
      <c r="BE62">
        <v>0</v>
      </c>
      <c r="BF62">
        <v>0</v>
      </c>
      <c r="BG62">
        <v>0</v>
      </c>
      <c r="BI62" t="s">
        <v>287</v>
      </c>
      <c r="BK62">
        <v>0.8</v>
      </c>
      <c r="BL62">
        <v>0.797560975609756</v>
      </c>
      <c r="BM62">
        <v>0.785365853658536</v>
      </c>
      <c r="BN62">
        <v>0.773170731707317</v>
      </c>
      <c r="BO62">
        <v>0.760975609756097</v>
      </c>
      <c r="BP62">
        <v>0.748780487804878</v>
      </c>
      <c r="BQ62">
        <v>0.736585365853658</v>
      </c>
      <c r="BR62">
        <v>0.724390243902439</v>
      </c>
      <c r="BS62">
        <v>0.71219512195122</v>
      </c>
      <c r="BT62">
        <v>0.699999999999999</v>
      </c>
      <c r="BU62">
        <v>0.687499999999999</v>
      </c>
      <c r="BV62">
        <v>0.675</v>
      </c>
      <c r="BW62">
        <v>0.6625</v>
      </c>
      <c r="BX62">
        <v>0.649999999999999</v>
      </c>
      <c r="BY62">
        <v>0.637499999999999</v>
      </c>
      <c r="BZ62">
        <v>0.625</v>
      </c>
      <c r="CA62">
        <v>0.6125</v>
      </c>
      <c r="CB62">
        <v>0.6</v>
      </c>
      <c r="CC62" t="e">
        <v>#VALUE!</v>
      </c>
      <c r="CD62" t="e">
        <v>#VALUE!</v>
      </c>
      <c r="CE62" t="e">
        <v>#VALUE!</v>
      </c>
      <c r="CF62" t="e">
        <v>#VALUE!</v>
      </c>
      <c r="CG62" t="e">
        <v>#VALUE!</v>
      </c>
      <c r="CH62" t="e">
        <v>#VALUE!</v>
      </c>
      <c r="CI62" t="e">
        <v>#VALUE!</v>
      </c>
      <c r="CJ62" t="e">
        <v>#VALUE!</v>
      </c>
    </row>
    <row r="63" spans="1:88">
      <c r="A63" t="s">
        <v>9</v>
      </c>
      <c r="B63" t="s">
        <v>271</v>
      </c>
      <c r="C63" t="s">
        <v>271</v>
      </c>
      <c r="D63">
        <v>0.552531996</v>
      </c>
      <c r="E63">
        <v>0.556097471395552</v>
      </c>
      <c r="F63">
        <v>0.614979485617115</v>
      </c>
      <c r="G63">
        <v>0.659246016722347</v>
      </c>
      <c r="H63">
        <v>0.694237132509562</v>
      </c>
      <c r="I63">
        <v>0.725561300297776</v>
      </c>
      <c r="J63">
        <v>0.754192429687007</v>
      </c>
      <c r="K63">
        <v>0.780686035887525</v>
      </c>
      <c r="L63">
        <v>0.805324880138729</v>
      </c>
      <c r="M63">
        <v>0.829317187164018</v>
      </c>
      <c r="N63">
        <v>0.852914656063869</v>
      </c>
      <c r="O63">
        <v>0.875030642944615</v>
      </c>
      <c r="P63">
        <v>0.895363625075283</v>
      </c>
      <c r="Q63">
        <v>0.913261120385339</v>
      </c>
      <c r="R63">
        <v>0.928326216433208</v>
      </c>
      <c r="S63">
        <v>0.940620428524813</v>
      </c>
      <c r="T63">
        <v>0.950370843296591</v>
      </c>
      <c r="U63">
        <v>0.957670106115208</v>
      </c>
      <c r="V63">
        <v>5</v>
      </c>
      <c r="AF63" s="99" t="s">
        <v>272</v>
      </c>
      <c r="AH63">
        <v>1</v>
      </c>
      <c r="AI63">
        <v>1.00809088662721</v>
      </c>
      <c r="AJ63">
        <v>1.14400338979557</v>
      </c>
      <c r="AK63">
        <v>1.25050759781859</v>
      </c>
      <c r="AL63">
        <v>1.33772956440188</v>
      </c>
      <c r="AM63">
        <v>1.41833893109734</v>
      </c>
      <c r="AN63">
        <v>1.49432278315945</v>
      </c>
      <c r="AO63">
        <v>1.56678818974415</v>
      </c>
      <c r="AP63">
        <v>1.63621947674348</v>
      </c>
      <c r="AQ63">
        <v>1.70585717561322</v>
      </c>
      <c r="AR63">
        <v>1.77645880442683</v>
      </c>
      <c r="AS63">
        <v>1.84470086225119</v>
      </c>
      <c r="AT63">
        <v>1.90940288904307</v>
      </c>
      <c r="AU63">
        <v>1.96812166978731</v>
      </c>
      <c r="AV63">
        <v>2.01904873969769</v>
      </c>
      <c r="AW63">
        <v>2.06183130985843</v>
      </c>
      <c r="AX63">
        <v>2.09672570873607</v>
      </c>
      <c r="AY63">
        <v>2.12356532282736</v>
      </c>
      <c r="AZ63">
        <v>0</v>
      </c>
      <c r="BA63">
        <v>0</v>
      </c>
      <c r="BB63">
        <v>0</v>
      </c>
      <c r="BC63">
        <v>0</v>
      </c>
      <c r="BD63">
        <v>0</v>
      </c>
      <c r="BE63">
        <v>0</v>
      </c>
      <c r="BF63">
        <v>0</v>
      </c>
      <c r="BG63">
        <v>0</v>
      </c>
      <c r="BI63" t="s">
        <v>287</v>
      </c>
      <c r="BK63">
        <v>0.8</v>
      </c>
      <c r="BL63">
        <v>0.797560975609756</v>
      </c>
      <c r="BM63">
        <v>0.785365853658536</v>
      </c>
      <c r="BN63">
        <v>0.773170731707317</v>
      </c>
      <c r="BO63">
        <v>0.760975609756097</v>
      </c>
      <c r="BP63">
        <v>0.748780487804878</v>
      </c>
      <c r="BQ63">
        <v>0.736585365853658</v>
      </c>
      <c r="BR63">
        <v>0.724390243902439</v>
      </c>
      <c r="BS63">
        <v>0.71219512195122</v>
      </c>
      <c r="BT63">
        <v>0.699999999999999</v>
      </c>
      <c r="BU63">
        <v>0.687499999999999</v>
      </c>
      <c r="BV63">
        <v>0.675</v>
      </c>
      <c r="BW63">
        <v>0.6625</v>
      </c>
      <c r="BX63">
        <v>0.649999999999999</v>
      </c>
      <c r="BY63">
        <v>0.637499999999999</v>
      </c>
      <c r="BZ63">
        <v>0.625</v>
      </c>
      <c r="CA63">
        <v>0.6125</v>
      </c>
      <c r="CB63">
        <v>0.6</v>
      </c>
      <c r="CC63" t="e">
        <v>#VALUE!</v>
      </c>
      <c r="CD63" t="e">
        <v>#VALUE!</v>
      </c>
      <c r="CE63" t="e">
        <v>#VALUE!</v>
      </c>
      <c r="CF63" t="e">
        <v>#VALUE!</v>
      </c>
      <c r="CG63" t="e">
        <v>#VALUE!</v>
      </c>
      <c r="CH63" t="e">
        <v>#VALUE!</v>
      </c>
      <c r="CI63" t="e">
        <v>#VALUE!</v>
      </c>
      <c r="CJ63" t="e">
        <v>#VALUE!</v>
      </c>
    </row>
    <row r="64" spans="1:88">
      <c r="A64" t="s">
        <v>9</v>
      </c>
      <c r="B64" t="s">
        <v>274</v>
      </c>
      <c r="C64" t="s">
        <v>274</v>
      </c>
      <c r="D64">
        <v>260.8231662324</v>
      </c>
      <c r="E64">
        <v>262.50625171618</v>
      </c>
      <c r="F64">
        <v>290.301553154993</v>
      </c>
      <c r="G64">
        <v>311.197604215522</v>
      </c>
      <c r="H64">
        <v>327.715188130474</v>
      </c>
      <c r="I64">
        <v>342.501786338837</v>
      </c>
      <c r="J64">
        <v>356.017133638487</v>
      </c>
      <c r="K64">
        <v>368.523461424314</v>
      </c>
      <c r="L64">
        <v>380.154247363281</v>
      </c>
      <c r="M64">
        <v>391.479834892796</v>
      </c>
      <c r="N64">
        <v>402.619038772547</v>
      </c>
      <c r="O64">
        <v>413.058907892073</v>
      </c>
      <c r="P64">
        <v>422.657108207458</v>
      </c>
      <c r="Q64">
        <v>431.105635040641</v>
      </c>
      <c r="R64">
        <v>438.217125559284</v>
      </c>
      <c r="S64">
        <v>444.020618112256</v>
      </c>
      <c r="T64">
        <v>448.623309126107</v>
      </c>
      <c r="U64">
        <v>452.068931919532</v>
      </c>
      <c r="V64">
        <v>5</v>
      </c>
      <c r="AF64" s="99" t="s">
        <v>272</v>
      </c>
      <c r="AH64">
        <v>1</v>
      </c>
      <c r="AI64">
        <v>1.00809088662721</v>
      </c>
      <c r="AJ64">
        <v>1.14400338979557</v>
      </c>
      <c r="AK64">
        <v>1.25050759781859</v>
      </c>
      <c r="AL64">
        <v>1.33772956440188</v>
      </c>
      <c r="AM64">
        <v>1.41833893109734</v>
      </c>
      <c r="AN64">
        <v>1.49432278315945</v>
      </c>
      <c r="AO64">
        <v>1.56678818974415</v>
      </c>
      <c r="AP64">
        <v>1.63621947674348</v>
      </c>
      <c r="AQ64">
        <v>1.70585717561322</v>
      </c>
      <c r="AR64">
        <v>1.77645880442683</v>
      </c>
      <c r="AS64">
        <v>1.84470086225119</v>
      </c>
      <c r="AT64">
        <v>1.90940288904307</v>
      </c>
      <c r="AU64">
        <v>1.96812166978731</v>
      </c>
      <c r="AV64">
        <v>2.01904873969769</v>
      </c>
      <c r="AW64">
        <v>2.06183130985843</v>
      </c>
      <c r="AX64">
        <v>2.09672570873607</v>
      </c>
      <c r="AY64">
        <v>2.12356532282736</v>
      </c>
      <c r="AZ64">
        <v>0</v>
      </c>
      <c r="BA64">
        <v>0</v>
      </c>
      <c r="BB64">
        <v>0</v>
      </c>
      <c r="BC64">
        <v>0</v>
      </c>
      <c r="BD64">
        <v>0</v>
      </c>
      <c r="BE64">
        <v>0</v>
      </c>
      <c r="BF64">
        <v>0</v>
      </c>
      <c r="BG64">
        <v>0</v>
      </c>
      <c r="BI64" t="s">
        <v>287</v>
      </c>
      <c r="BK64">
        <v>0.8</v>
      </c>
      <c r="BL64">
        <v>0.797560975609756</v>
      </c>
      <c r="BM64">
        <v>0.785365853658536</v>
      </c>
      <c r="BN64">
        <v>0.773170731707317</v>
      </c>
      <c r="BO64">
        <v>0.760975609756097</v>
      </c>
      <c r="BP64">
        <v>0.748780487804878</v>
      </c>
      <c r="BQ64">
        <v>0.736585365853658</v>
      </c>
      <c r="BR64">
        <v>0.724390243902439</v>
      </c>
      <c r="BS64">
        <v>0.71219512195122</v>
      </c>
      <c r="BT64">
        <v>0.699999999999999</v>
      </c>
      <c r="BU64">
        <v>0.687499999999999</v>
      </c>
      <c r="BV64">
        <v>0.675</v>
      </c>
      <c r="BW64">
        <v>0.6625</v>
      </c>
      <c r="BX64">
        <v>0.649999999999999</v>
      </c>
      <c r="BY64">
        <v>0.637499999999999</v>
      </c>
      <c r="BZ64">
        <v>0.625</v>
      </c>
      <c r="CA64">
        <v>0.6125</v>
      </c>
      <c r="CB64">
        <v>0.6</v>
      </c>
      <c r="CC64" t="e">
        <v>#VALUE!</v>
      </c>
      <c r="CD64" t="e">
        <v>#VALUE!</v>
      </c>
      <c r="CE64" t="e">
        <v>#VALUE!</v>
      </c>
      <c r="CF64" t="e">
        <v>#VALUE!</v>
      </c>
      <c r="CG64" t="e">
        <v>#VALUE!</v>
      </c>
      <c r="CH64" t="e">
        <v>#VALUE!</v>
      </c>
      <c r="CI64" t="e">
        <v>#VALUE!</v>
      </c>
      <c r="CJ64" t="e">
        <v>#VALUE!</v>
      </c>
    </row>
    <row r="65" spans="1:88">
      <c r="A65" t="s">
        <v>9</v>
      </c>
      <c r="B65" t="s">
        <v>275</v>
      </c>
      <c r="C65" t="s">
        <v>275</v>
      </c>
      <c r="D65">
        <v>1.77212715804</v>
      </c>
      <c r="E65">
        <v>1.78356265105312</v>
      </c>
      <c r="F65">
        <v>1.97241400677104</v>
      </c>
      <c r="G65">
        <v>2.11438935395764</v>
      </c>
      <c r="H65">
        <v>2.22661580785633</v>
      </c>
      <c r="I65">
        <v>2.32708131726095</v>
      </c>
      <c r="J65">
        <v>2.41890948707433</v>
      </c>
      <c r="K65">
        <v>2.50388201247059</v>
      </c>
      <c r="L65">
        <v>2.58290578911407</v>
      </c>
      <c r="M65">
        <v>2.65985593710794</v>
      </c>
      <c r="N65">
        <v>2.73553972700818</v>
      </c>
      <c r="O65">
        <v>2.80647198298966</v>
      </c>
      <c r="P65">
        <v>2.87168563595194</v>
      </c>
      <c r="Q65">
        <v>2.92908799043901</v>
      </c>
      <c r="R65">
        <v>2.97740603543583</v>
      </c>
      <c r="S65">
        <v>3.01683706801306</v>
      </c>
      <c r="T65">
        <v>3.04810941955887</v>
      </c>
      <c r="U65">
        <v>3.07152023009688</v>
      </c>
      <c r="V65">
        <v>5</v>
      </c>
      <c r="AF65" s="99" t="s">
        <v>272</v>
      </c>
      <c r="AH65">
        <v>1</v>
      </c>
      <c r="AI65">
        <v>1.00809088662721</v>
      </c>
      <c r="AJ65">
        <v>1.14400338979557</v>
      </c>
      <c r="AK65">
        <v>1.25050759781859</v>
      </c>
      <c r="AL65">
        <v>1.33772956440188</v>
      </c>
      <c r="AM65">
        <v>1.41833893109734</v>
      </c>
      <c r="AN65">
        <v>1.49432278315945</v>
      </c>
      <c r="AO65">
        <v>1.56678818974415</v>
      </c>
      <c r="AP65">
        <v>1.63621947674348</v>
      </c>
      <c r="AQ65">
        <v>1.70585717561322</v>
      </c>
      <c r="AR65">
        <v>1.77645880442683</v>
      </c>
      <c r="AS65">
        <v>1.84470086225119</v>
      </c>
      <c r="AT65">
        <v>1.90940288904307</v>
      </c>
      <c r="AU65">
        <v>1.96812166978731</v>
      </c>
      <c r="AV65">
        <v>2.01904873969769</v>
      </c>
      <c r="AW65">
        <v>2.06183130985843</v>
      </c>
      <c r="AX65">
        <v>2.09672570873607</v>
      </c>
      <c r="AY65">
        <v>2.12356532282736</v>
      </c>
      <c r="AZ65">
        <v>0</v>
      </c>
      <c r="BA65">
        <v>0</v>
      </c>
      <c r="BB65">
        <v>0</v>
      </c>
      <c r="BC65">
        <v>0</v>
      </c>
      <c r="BD65">
        <v>0</v>
      </c>
      <c r="BE65">
        <v>0</v>
      </c>
      <c r="BF65">
        <v>0</v>
      </c>
      <c r="BG65">
        <v>0</v>
      </c>
      <c r="BI65" t="s">
        <v>287</v>
      </c>
      <c r="BK65">
        <v>0.8</v>
      </c>
      <c r="BL65">
        <v>0.797560975609756</v>
      </c>
      <c r="BM65">
        <v>0.785365853658536</v>
      </c>
      <c r="BN65">
        <v>0.773170731707317</v>
      </c>
      <c r="BO65">
        <v>0.760975609756097</v>
      </c>
      <c r="BP65">
        <v>0.748780487804878</v>
      </c>
      <c r="BQ65">
        <v>0.736585365853658</v>
      </c>
      <c r="BR65">
        <v>0.724390243902439</v>
      </c>
      <c r="BS65">
        <v>0.71219512195122</v>
      </c>
      <c r="BT65">
        <v>0.699999999999999</v>
      </c>
      <c r="BU65">
        <v>0.687499999999999</v>
      </c>
      <c r="BV65">
        <v>0.675</v>
      </c>
      <c r="BW65">
        <v>0.6625</v>
      </c>
      <c r="BX65">
        <v>0.649999999999999</v>
      </c>
      <c r="BY65">
        <v>0.637499999999999</v>
      </c>
      <c r="BZ65">
        <v>0.625</v>
      </c>
      <c r="CA65">
        <v>0.6125</v>
      </c>
      <c r="CB65">
        <v>0.6</v>
      </c>
      <c r="CC65" t="e">
        <v>#VALUE!</v>
      </c>
      <c r="CD65" t="e">
        <v>#VALUE!</v>
      </c>
      <c r="CE65" t="e">
        <v>#VALUE!</v>
      </c>
      <c r="CF65" t="e">
        <v>#VALUE!</v>
      </c>
      <c r="CG65" t="e">
        <v>#VALUE!</v>
      </c>
      <c r="CH65" t="e">
        <v>#VALUE!</v>
      </c>
      <c r="CI65" t="e">
        <v>#VALUE!</v>
      </c>
      <c r="CJ65" t="e">
        <v>#VALUE!</v>
      </c>
    </row>
    <row r="66" spans="1:88">
      <c r="A66" t="s">
        <v>9</v>
      </c>
      <c r="B66" t="s">
        <v>276</v>
      </c>
      <c r="C66" t="s">
        <v>276</v>
      </c>
      <c r="D66">
        <v>12.35651414436</v>
      </c>
      <c r="E66">
        <v>12.3807603168204</v>
      </c>
      <c r="F66">
        <v>12.5000781856963</v>
      </c>
      <c r="G66">
        <v>12.5881051984527</v>
      </c>
      <c r="H66">
        <v>12.6644810306856</v>
      </c>
      <c r="I66">
        <v>12.7260322944271</v>
      </c>
      <c r="J66">
        <v>12.7757924661586</v>
      </c>
      <c r="K66">
        <v>12.8232854254518</v>
      </c>
      <c r="L66">
        <v>12.8524395786892</v>
      </c>
      <c r="M66">
        <v>12.8743176630374</v>
      </c>
      <c r="N66">
        <v>12.8933707681294</v>
      </c>
      <c r="O66">
        <v>12.917578590307</v>
      </c>
      <c r="P66">
        <v>12.943694887125</v>
      </c>
      <c r="Q66">
        <v>12.9591133718418</v>
      </c>
      <c r="R66">
        <v>12.9532420610464</v>
      </c>
      <c r="S66">
        <v>12.9256287880481</v>
      </c>
      <c r="T66">
        <v>12.8822097244</v>
      </c>
      <c r="U66">
        <v>12.828033432102</v>
      </c>
      <c r="V66">
        <v>5</v>
      </c>
      <c r="AF66" s="99" t="s">
        <v>277</v>
      </c>
      <c r="AH66">
        <v>1</v>
      </c>
      <c r="AI66">
        <v>1.00246027312928</v>
      </c>
      <c r="AJ66">
        <v>1.01476163877566</v>
      </c>
      <c r="AK66">
        <v>1.02400419008678</v>
      </c>
      <c r="AL66">
        <v>1.03216863359442</v>
      </c>
      <c r="AM66">
        <v>1.03886818486006</v>
      </c>
      <c r="AN66">
        <v>1.04438293968798</v>
      </c>
      <c r="AO66">
        <v>1.04974249255609</v>
      </c>
      <c r="AP66">
        <v>1.05309357340416</v>
      </c>
      <c r="AQ66">
        <v>1.05565447354461</v>
      </c>
      <c r="AR66">
        <v>1.0579269041621</v>
      </c>
      <c r="AS66">
        <v>1.06086957129022</v>
      </c>
      <c r="AT66">
        <v>1.06410704755827</v>
      </c>
      <c r="AU66">
        <v>1.06605714085946</v>
      </c>
      <c r="AV66">
        <v>1.06529950577906</v>
      </c>
      <c r="AW66">
        <v>1.06166595600804</v>
      </c>
      <c r="AX66">
        <v>1.05584344159268</v>
      </c>
      <c r="AY66">
        <v>1.04844283717563</v>
      </c>
      <c r="AZ66">
        <v>0</v>
      </c>
      <c r="BA66">
        <v>0</v>
      </c>
      <c r="BB66">
        <v>0</v>
      </c>
      <c r="BC66">
        <v>0</v>
      </c>
      <c r="BD66">
        <v>0</v>
      </c>
      <c r="BE66">
        <v>0</v>
      </c>
      <c r="BF66">
        <v>0</v>
      </c>
      <c r="BG66">
        <v>0</v>
      </c>
      <c r="BI66" t="s">
        <v>287</v>
      </c>
      <c r="BK66">
        <v>0.8</v>
      </c>
      <c r="BL66">
        <v>0.797560975609756</v>
      </c>
      <c r="BM66">
        <v>0.785365853658536</v>
      </c>
      <c r="BN66">
        <v>0.773170731707317</v>
      </c>
      <c r="BO66">
        <v>0.760975609756097</v>
      </c>
      <c r="BP66">
        <v>0.748780487804878</v>
      </c>
      <c r="BQ66">
        <v>0.736585365853658</v>
      </c>
      <c r="BR66">
        <v>0.724390243902439</v>
      </c>
      <c r="BS66">
        <v>0.71219512195122</v>
      </c>
      <c r="BT66">
        <v>0.699999999999999</v>
      </c>
      <c r="BU66">
        <v>0.687499999999999</v>
      </c>
      <c r="BV66">
        <v>0.675</v>
      </c>
      <c r="BW66">
        <v>0.6625</v>
      </c>
      <c r="BX66">
        <v>0.649999999999999</v>
      </c>
      <c r="BY66">
        <v>0.637499999999999</v>
      </c>
      <c r="BZ66">
        <v>0.625</v>
      </c>
      <c r="CA66">
        <v>0.6125</v>
      </c>
      <c r="CB66">
        <v>0.6</v>
      </c>
      <c r="CC66" t="e">
        <v>#VALUE!</v>
      </c>
      <c r="CD66" t="e">
        <v>#VALUE!</v>
      </c>
      <c r="CE66" t="e">
        <v>#VALUE!</v>
      </c>
      <c r="CF66" t="e">
        <v>#VALUE!</v>
      </c>
      <c r="CG66" t="e">
        <v>#VALUE!</v>
      </c>
      <c r="CH66" t="e">
        <v>#VALUE!</v>
      </c>
      <c r="CI66" t="e">
        <v>#VALUE!</v>
      </c>
      <c r="CJ66" t="e">
        <v>#VALUE!</v>
      </c>
    </row>
    <row r="67" spans="1:88">
      <c r="A67" t="s">
        <v>9</v>
      </c>
      <c r="B67" t="s">
        <v>278</v>
      </c>
      <c r="C67" t="s">
        <v>278</v>
      </c>
      <c r="D67">
        <v>17.9581774716</v>
      </c>
      <c r="E67">
        <v>18.0740611496268</v>
      </c>
      <c r="F67">
        <v>19.9878212014086</v>
      </c>
      <c r="G67">
        <v>21.426554573222</v>
      </c>
      <c r="H67">
        <v>22.5638220469343</v>
      </c>
      <c r="I67">
        <v>23.5819078199995</v>
      </c>
      <c r="J67">
        <v>24.5124655189316</v>
      </c>
      <c r="K67">
        <v>25.3735502804584</v>
      </c>
      <c r="L67">
        <v>26.1743522990953</v>
      </c>
      <c r="M67">
        <v>26.9541408192758</v>
      </c>
      <c r="N67">
        <v>27.7210964661015</v>
      </c>
      <c r="O67">
        <v>28.4399015674155</v>
      </c>
      <c r="P67">
        <v>29.1007561500874</v>
      </c>
      <c r="Q67">
        <v>29.6824534986607</v>
      </c>
      <c r="R67">
        <v>30.1720933211739</v>
      </c>
      <c r="S67">
        <v>30.5716749638894</v>
      </c>
      <c r="T67">
        <v>30.8885791072891</v>
      </c>
      <c r="U67">
        <v>31.1258168746175</v>
      </c>
      <c r="V67">
        <v>5</v>
      </c>
      <c r="AF67" s="99" t="s">
        <v>272</v>
      </c>
      <c r="AH67">
        <v>1</v>
      </c>
      <c r="AI67">
        <v>1.00809088662721</v>
      </c>
      <c r="AJ67">
        <v>1.14400338979557</v>
      </c>
      <c r="AK67">
        <v>1.25050759781859</v>
      </c>
      <c r="AL67">
        <v>1.33772956440188</v>
      </c>
      <c r="AM67">
        <v>1.41833893109734</v>
      </c>
      <c r="AN67">
        <v>1.49432278315945</v>
      </c>
      <c r="AO67">
        <v>1.56678818974415</v>
      </c>
      <c r="AP67">
        <v>1.63621947674348</v>
      </c>
      <c r="AQ67">
        <v>1.70585717561322</v>
      </c>
      <c r="AR67">
        <v>1.77645880442683</v>
      </c>
      <c r="AS67">
        <v>1.84470086225119</v>
      </c>
      <c r="AT67">
        <v>1.90940288904307</v>
      </c>
      <c r="AU67">
        <v>1.96812166978731</v>
      </c>
      <c r="AV67">
        <v>2.01904873969769</v>
      </c>
      <c r="AW67">
        <v>2.06183130985843</v>
      </c>
      <c r="AX67">
        <v>2.09672570873607</v>
      </c>
      <c r="AY67">
        <v>2.12356532282736</v>
      </c>
      <c r="AZ67">
        <v>0</v>
      </c>
      <c r="BA67">
        <v>0</v>
      </c>
      <c r="BB67">
        <v>0</v>
      </c>
      <c r="BC67">
        <v>0</v>
      </c>
      <c r="BD67">
        <v>0</v>
      </c>
      <c r="BE67">
        <v>0</v>
      </c>
      <c r="BF67">
        <v>0</v>
      </c>
      <c r="BG67">
        <v>0</v>
      </c>
      <c r="BI67" t="s">
        <v>287</v>
      </c>
      <c r="BK67">
        <v>0.8</v>
      </c>
      <c r="BL67">
        <v>0.797560975609756</v>
      </c>
      <c r="BM67">
        <v>0.785365853658536</v>
      </c>
      <c r="BN67">
        <v>0.773170731707317</v>
      </c>
      <c r="BO67">
        <v>0.760975609756097</v>
      </c>
      <c r="BP67">
        <v>0.748780487804878</v>
      </c>
      <c r="BQ67">
        <v>0.736585365853658</v>
      </c>
      <c r="BR67">
        <v>0.724390243902439</v>
      </c>
      <c r="BS67">
        <v>0.71219512195122</v>
      </c>
      <c r="BT67">
        <v>0.699999999999999</v>
      </c>
      <c r="BU67">
        <v>0.687499999999999</v>
      </c>
      <c r="BV67">
        <v>0.675</v>
      </c>
      <c r="BW67">
        <v>0.6625</v>
      </c>
      <c r="BX67">
        <v>0.649999999999999</v>
      </c>
      <c r="BY67">
        <v>0.637499999999999</v>
      </c>
      <c r="BZ67">
        <v>0.625</v>
      </c>
      <c r="CA67">
        <v>0.6125</v>
      </c>
      <c r="CB67">
        <v>0.6</v>
      </c>
      <c r="CC67" t="e">
        <v>#VALUE!</v>
      </c>
      <c r="CD67" t="e">
        <v>#VALUE!</v>
      </c>
      <c r="CE67" t="e">
        <v>#VALUE!</v>
      </c>
      <c r="CF67" t="e">
        <v>#VALUE!</v>
      </c>
      <c r="CG67" t="e">
        <v>#VALUE!</v>
      </c>
      <c r="CH67" t="e">
        <v>#VALUE!</v>
      </c>
      <c r="CI67" t="e">
        <v>#VALUE!</v>
      </c>
      <c r="CJ67" t="e">
        <v>#VALUE!</v>
      </c>
    </row>
    <row r="68" spans="1:88">
      <c r="A68" t="s">
        <v>9</v>
      </c>
      <c r="B68" t="s">
        <v>279</v>
      </c>
      <c r="C68" t="s">
        <v>279</v>
      </c>
      <c r="D68">
        <v>811.0212724404</v>
      </c>
      <c r="E68">
        <v>816.254772786243</v>
      </c>
      <c r="F68">
        <v>902.683371389655</v>
      </c>
      <c r="G68">
        <v>967.658972157376</v>
      </c>
      <c r="H68">
        <v>1019.01986972584</v>
      </c>
      <c r="I68">
        <v>1064.9983227415</v>
      </c>
      <c r="J68">
        <v>1107.02386181754</v>
      </c>
      <c r="K68">
        <v>1145.91188706826</v>
      </c>
      <c r="L68">
        <v>1182.07744301929</v>
      </c>
      <c r="M68">
        <v>1217.29399430193</v>
      </c>
      <c r="N68">
        <v>1251.93099160177</v>
      </c>
      <c r="O68">
        <v>1284.39342988796</v>
      </c>
      <c r="P68">
        <v>1314.23872601471</v>
      </c>
      <c r="Q68">
        <v>1340.50914931135</v>
      </c>
      <c r="R68">
        <v>1362.62210105828</v>
      </c>
      <c r="S68">
        <v>1380.66787507022</v>
      </c>
      <c r="T68">
        <v>1394.97979519842</v>
      </c>
      <c r="U68">
        <v>1405.69384879512</v>
      </c>
      <c r="V68">
        <v>5</v>
      </c>
      <c r="AF68" s="99" t="s">
        <v>272</v>
      </c>
      <c r="AH68">
        <v>1</v>
      </c>
      <c r="AI68">
        <v>1.00809088662721</v>
      </c>
      <c r="AJ68">
        <v>1.14400338979557</v>
      </c>
      <c r="AK68">
        <v>1.25050759781859</v>
      </c>
      <c r="AL68">
        <v>1.33772956440188</v>
      </c>
      <c r="AM68">
        <v>1.41833893109734</v>
      </c>
      <c r="AN68">
        <v>1.49432278315945</v>
      </c>
      <c r="AO68">
        <v>1.56678818974415</v>
      </c>
      <c r="AP68">
        <v>1.63621947674348</v>
      </c>
      <c r="AQ68">
        <v>1.70585717561322</v>
      </c>
      <c r="AR68">
        <v>1.77645880442683</v>
      </c>
      <c r="AS68">
        <v>1.84470086225119</v>
      </c>
      <c r="AT68">
        <v>1.90940288904307</v>
      </c>
      <c r="AU68">
        <v>1.96812166978731</v>
      </c>
      <c r="AV68">
        <v>2.01904873969769</v>
      </c>
      <c r="AW68">
        <v>2.06183130985843</v>
      </c>
      <c r="AX68">
        <v>2.09672570873607</v>
      </c>
      <c r="AY68">
        <v>2.12356532282736</v>
      </c>
      <c r="AZ68">
        <v>0</v>
      </c>
      <c r="BA68">
        <v>0</v>
      </c>
      <c r="BB68">
        <v>0</v>
      </c>
      <c r="BC68">
        <v>0</v>
      </c>
      <c r="BD68">
        <v>0</v>
      </c>
      <c r="BE68">
        <v>0</v>
      </c>
      <c r="BF68">
        <v>0</v>
      </c>
      <c r="BG68">
        <v>0</v>
      </c>
      <c r="BI68" t="s">
        <v>287</v>
      </c>
      <c r="BK68">
        <v>0.8</v>
      </c>
      <c r="BL68">
        <v>0.797560975609756</v>
      </c>
      <c r="BM68">
        <v>0.785365853658536</v>
      </c>
      <c r="BN68">
        <v>0.773170731707317</v>
      </c>
      <c r="BO68">
        <v>0.760975609756097</v>
      </c>
      <c r="BP68">
        <v>0.748780487804878</v>
      </c>
      <c r="BQ68">
        <v>0.736585365853658</v>
      </c>
      <c r="BR68">
        <v>0.724390243902439</v>
      </c>
      <c r="BS68">
        <v>0.71219512195122</v>
      </c>
      <c r="BT68">
        <v>0.699999999999999</v>
      </c>
      <c r="BU68">
        <v>0.687499999999999</v>
      </c>
      <c r="BV68">
        <v>0.675</v>
      </c>
      <c r="BW68">
        <v>0.6625</v>
      </c>
      <c r="BX68">
        <v>0.649999999999999</v>
      </c>
      <c r="BY68">
        <v>0.637499999999999</v>
      </c>
      <c r="BZ68">
        <v>0.625</v>
      </c>
      <c r="CA68">
        <v>0.6125</v>
      </c>
      <c r="CB68">
        <v>0.6</v>
      </c>
      <c r="CC68" t="e">
        <v>#VALUE!</v>
      </c>
      <c r="CD68" t="e">
        <v>#VALUE!</v>
      </c>
      <c r="CE68" t="e">
        <v>#VALUE!</v>
      </c>
      <c r="CF68" t="e">
        <v>#VALUE!</v>
      </c>
      <c r="CG68" t="e">
        <v>#VALUE!</v>
      </c>
      <c r="CH68" t="e">
        <v>#VALUE!</v>
      </c>
      <c r="CI68" t="e">
        <v>#VALUE!</v>
      </c>
      <c r="CJ68" t="e">
        <v>#VALUE!</v>
      </c>
    </row>
    <row r="69" spans="1:88">
      <c r="A69" t="s">
        <v>9</v>
      </c>
      <c r="B69" t="s">
        <v>280</v>
      </c>
      <c r="C69" t="s">
        <v>280</v>
      </c>
      <c r="D69">
        <v>1.288</v>
      </c>
      <c r="E69">
        <v>1.29052733657438</v>
      </c>
      <c r="F69">
        <v>1.30296461567403</v>
      </c>
      <c r="G69">
        <v>1.31214024490941</v>
      </c>
      <c r="H69">
        <v>1.32010139566493</v>
      </c>
      <c r="I69">
        <v>1.32651728503089</v>
      </c>
      <c r="J69">
        <v>1.33170411203091</v>
      </c>
      <c r="K69">
        <v>1.33665461270246</v>
      </c>
      <c r="L69">
        <v>1.33969354009986</v>
      </c>
      <c r="M69">
        <v>1.34197403541685</v>
      </c>
      <c r="N69">
        <v>1.34396006473482</v>
      </c>
      <c r="O69">
        <v>1.34648340380928</v>
      </c>
      <c r="P69">
        <v>1.34920567563357</v>
      </c>
      <c r="Q69">
        <v>1.35081284478202</v>
      </c>
      <c r="R69">
        <v>1.3502008397929</v>
      </c>
      <c r="S69">
        <v>1.34732252838514</v>
      </c>
      <c r="T69">
        <v>1.34279667640736</v>
      </c>
      <c r="U69">
        <v>1.33714952837964</v>
      </c>
      <c r="V69">
        <v>5</v>
      </c>
      <c r="AF69" s="99" t="s">
        <v>277</v>
      </c>
      <c r="AH69">
        <v>1</v>
      </c>
      <c r="AI69">
        <v>1.00246027312928</v>
      </c>
      <c r="AJ69">
        <v>1.01476163877566</v>
      </c>
      <c r="AK69">
        <v>1.02400419008678</v>
      </c>
      <c r="AL69">
        <v>1.03216863359442</v>
      </c>
      <c r="AM69">
        <v>1.03886818486006</v>
      </c>
      <c r="AN69">
        <v>1.04438293968798</v>
      </c>
      <c r="AO69">
        <v>1.04974249255609</v>
      </c>
      <c r="AP69">
        <v>1.05309357340416</v>
      </c>
      <c r="AQ69">
        <v>1.05565447354461</v>
      </c>
      <c r="AR69">
        <v>1.0579269041621</v>
      </c>
      <c r="AS69">
        <v>1.06086957129022</v>
      </c>
      <c r="AT69">
        <v>1.06410704755827</v>
      </c>
      <c r="AU69">
        <v>1.06605714085946</v>
      </c>
      <c r="AV69">
        <v>1.06529950577906</v>
      </c>
      <c r="AW69">
        <v>1.06166595600804</v>
      </c>
      <c r="AX69">
        <v>1.05584344159268</v>
      </c>
      <c r="AY69">
        <v>1.04844283717563</v>
      </c>
      <c r="AZ69">
        <v>0</v>
      </c>
      <c r="BA69">
        <v>0</v>
      </c>
      <c r="BB69">
        <v>0</v>
      </c>
      <c r="BC69">
        <v>0</v>
      </c>
      <c r="BD69">
        <v>0</v>
      </c>
      <c r="BE69">
        <v>0</v>
      </c>
      <c r="BF69">
        <v>0</v>
      </c>
      <c r="BG69">
        <v>0</v>
      </c>
      <c r="BI69" t="s">
        <v>287</v>
      </c>
      <c r="BK69">
        <v>0.8</v>
      </c>
      <c r="BL69">
        <v>0.797560975609756</v>
      </c>
      <c r="BM69">
        <v>0.785365853658536</v>
      </c>
      <c r="BN69">
        <v>0.773170731707317</v>
      </c>
      <c r="BO69">
        <v>0.760975609756097</v>
      </c>
      <c r="BP69">
        <v>0.748780487804878</v>
      </c>
      <c r="BQ69">
        <v>0.736585365853658</v>
      </c>
      <c r="BR69">
        <v>0.724390243902439</v>
      </c>
      <c r="BS69">
        <v>0.71219512195122</v>
      </c>
      <c r="BT69">
        <v>0.699999999999999</v>
      </c>
      <c r="BU69">
        <v>0.687499999999999</v>
      </c>
      <c r="BV69">
        <v>0.675</v>
      </c>
      <c r="BW69">
        <v>0.6625</v>
      </c>
      <c r="BX69">
        <v>0.649999999999999</v>
      </c>
      <c r="BY69">
        <v>0.637499999999999</v>
      </c>
      <c r="BZ69">
        <v>0.625</v>
      </c>
      <c r="CA69">
        <v>0.6125</v>
      </c>
      <c r="CB69">
        <v>0.6</v>
      </c>
      <c r="CC69" t="e">
        <v>#VALUE!</v>
      </c>
      <c r="CD69" t="e">
        <v>#VALUE!</v>
      </c>
      <c r="CE69" t="e">
        <v>#VALUE!</v>
      </c>
      <c r="CF69" t="e">
        <v>#VALUE!</v>
      </c>
      <c r="CG69" t="e">
        <v>#VALUE!</v>
      </c>
      <c r="CH69" t="e">
        <v>#VALUE!</v>
      </c>
      <c r="CI69" t="e">
        <v>#VALUE!</v>
      </c>
      <c r="CJ69" t="e">
        <v>#VALUE!</v>
      </c>
    </row>
    <row r="70" spans="1:88">
      <c r="A70" t="s">
        <v>9</v>
      </c>
      <c r="B70" t="s">
        <v>281</v>
      </c>
      <c r="C70" t="s">
        <v>281</v>
      </c>
      <c r="D70">
        <v>0.765</v>
      </c>
      <c r="E70">
        <v>0.7665010966455</v>
      </c>
      <c r="F70">
        <v>0.773888145179065</v>
      </c>
      <c r="G70">
        <v>0.779337956021502</v>
      </c>
      <c r="H70">
        <v>0.784066434537011</v>
      </c>
      <c r="I70">
        <v>0.787877114168189</v>
      </c>
      <c r="J70">
        <v>0.790957799459353</v>
      </c>
      <c r="K70">
        <v>0.793898120122189</v>
      </c>
      <c r="L70">
        <v>0.795703073118319</v>
      </c>
      <c r="M70">
        <v>0.797057559855507</v>
      </c>
      <c r="N70">
        <v>0.798237150250104</v>
      </c>
      <c r="O70">
        <v>0.799735872604115</v>
      </c>
      <c r="P70">
        <v>0.801352749891055</v>
      </c>
      <c r="Q70">
        <v>0.802307318523482</v>
      </c>
      <c r="R70">
        <v>0.801943821771405</v>
      </c>
      <c r="S70">
        <v>0.800234265694592</v>
      </c>
      <c r="T70">
        <v>0.797546162617726</v>
      </c>
      <c r="U70">
        <v>0.794192072368342</v>
      </c>
      <c r="V70">
        <v>5</v>
      </c>
      <c r="AF70" s="99" t="s">
        <v>277</v>
      </c>
      <c r="AH70">
        <v>1</v>
      </c>
      <c r="AI70">
        <v>1.00246027312928</v>
      </c>
      <c r="AJ70">
        <v>1.01476163877566</v>
      </c>
      <c r="AK70">
        <v>1.02400419008678</v>
      </c>
      <c r="AL70">
        <v>1.03216863359442</v>
      </c>
      <c r="AM70">
        <v>1.03886818486006</v>
      </c>
      <c r="AN70">
        <v>1.04438293968798</v>
      </c>
      <c r="AO70">
        <v>1.04974249255609</v>
      </c>
      <c r="AP70">
        <v>1.05309357340416</v>
      </c>
      <c r="AQ70">
        <v>1.05565447354461</v>
      </c>
      <c r="AR70">
        <v>1.0579269041621</v>
      </c>
      <c r="AS70">
        <v>1.06086957129022</v>
      </c>
      <c r="AT70">
        <v>1.06410704755827</v>
      </c>
      <c r="AU70">
        <v>1.06605714085946</v>
      </c>
      <c r="AV70">
        <v>1.06529950577906</v>
      </c>
      <c r="AW70">
        <v>1.06166595600804</v>
      </c>
      <c r="AX70">
        <v>1.05584344159268</v>
      </c>
      <c r="AY70">
        <v>1.04844283717563</v>
      </c>
      <c r="AZ70">
        <v>0</v>
      </c>
      <c r="BA70">
        <v>0</v>
      </c>
      <c r="BB70">
        <v>0</v>
      </c>
      <c r="BC70">
        <v>0</v>
      </c>
      <c r="BD70">
        <v>0</v>
      </c>
      <c r="BE70">
        <v>0</v>
      </c>
      <c r="BF70">
        <v>0</v>
      </c>
      <c r="BG70">
        <v>0</v>
      </c>
      <c r="BI70" t="s">
        <v>287</v>
      </c>
      <c r="BK70">
        <v>0.8</v>
      </c>
      <c r="BL70">
        <v>0.797560975609756</v>
      </c>
      <c r="BM70">
        <v>0.785365853658536</v>
      </c>
      <c r="BN70">
        <v>0.773170731707317</v>
      </c>
      <c r="BO70">
        <v>0.760975609756097</v>
      </c>
      <c r="BP70">
        <v>0.748780487804878</v>
      </c>
      <c r="BQ70">
        <v>0.736585365853658</v>
      </c>
      <c r="BR70">
        <v>0.724390243902439</v>
      </c>
      <c r="BS70">
        <v>0.71219512195122</v>
      </c>
      <c r="BT70">
        <v>0.699999999999999</v>
      </c>
      <c r="BU70">
        <v>0.687499999999999</v>
      </c>
      <c r="BV70">
        <v>0.675</v>
      </c>
      <c r="BW70">
        <v>0.6625</v>
      </c>
      <c r="BX70">
        <v>0.649999999999999</v>
      </c>
      <c r="BY70">
        <v>0.637499999999999</v>
      </c>
      <c r="BZ70">
        <v>0.625</v>
      </c>
      <c r="CA70">
        <v>0.6125</v>
      </c>
      <c r="CB70">
        <v>0.6</v>
      </c>
      <c r="CC70" t="e">
        <v>#VALUE!</v>
      </c>
      <c r="CD70" t="e">
        <v>#VALUE!</v>
      </c>
      <c r="CE70" t="e">
        <v>#VALUE!</v>
      </c>
      <c r="CF70" t="e">
        <v>#VALUE!</v>
      </c>
      <c r="CG70" t="e">
        <v>#VALUE!</v>
      </c>
      <c r="CH70" t="e">
        <v>#VALUE!</v>
      </c>
      <c r="CI70" t="e">
        <v>#VALUE!</v>
      </c>
      <c r="CJ70" t="e">
        <v>#VALUE!</v>
      </c>
    </row>
    <row r="71" spans="1:88">
      <c r="A71" t="s">
        <v>9</v>
      </c>
      <c r="B71" t="s">
        <v>282</v>
      </c>
      <c r="C71" t="s">
        <v>282</v>
      </c>
      <c r="D71">
        <v>1.785</v>
      </c>
      <c r="E71">
        <v>1.7885025588395</v>
      </c>
      <c r="F71">
        <v>1.80573900541782</v>
      </c>
      <c r="G71">
        <v>1.81845523071684</v>
      </c>
      <c r="H71">
        <v>1.82948834725303</v>
      </c>
      <c r="I71">
        <v>1.83837993305911</v>
      </c>
      <c r="J71">
        <v>1.84556819873849</v>
      </c>
      <c r="K71">
        <v>1.85242894695178</v>
      </c>
      <c r="L71">
        <v>1.85664050394275</v>
      </c>
      <c r="M71">
        <v>1.85980097299618</v>
      </c>
      <c r="N71">
        <v>1.86255335058358</v>
      </c>
      <c r="O71">
        <v>1.8660503694096</v>
      </c>
      <c r="P71">
        <v>1.86982308307913</v>
      </c>
      <c r="Q71">
        <v>1.87205040988813</v>
      </c>
      <c r="R71">
        <v>1.87120225079995</v>
      </c>
      <c r="S71">
        <v>1.86721328662072</v>
      </c>
      <c r="T71">
        <v>1.86094104610803</v>
      </c>
      <c r="U71">
        <v>1.85311483552613</v>
      </c>
      <c r="V71">
        <v>5</v>
      </c>
      <c r="AF71" s="99" t="s">
        <v>277</v>
      </c>
      <c r="AH71">
        <v>1</v>
      </c>
      <c r="AI71">
        <v>1.00246027312928</v>
      </c>
      <c r="AJ71">
        <v>1.01476163877566</v>
      </c>
      <c r="AK71">
        <v>1.02400419008678</v>
      </c>
      <c r="AL71">
        <v>1.03216863359442</v>
      </c>
      <c r="AM71">
        <v>1.03886818486006</v>
      </c>
      <c r="AN71">
        <v>1.04438293968798</v>
      </c>
      <c r="AO71">
        <v>1.04974249255609</v>
      </c>
      <c r="AP71">
        <v>1.05309357340416</v>
      </c>
      <c r="AQ71">
        <v>1.05565447354461</v>
      </c>
      <c r="AR71">
        <v>1.0579269041621</v>
      </c>
      <c r="AS71">
        <v>1.06086957129022</v>
      </c>
      <c r="AT71">
        <v>1.06410704755827</v>
      </c>
      <c r="AU71">
        <v>1.06605714085946</v>
      </c>
      <c r="AV71">
        <v>1.06529950577906</v>
      </c>
      <c r="AW71">
        <v>1.06166595600804</v>
      </c>
      <c r="AX71">
        <v>1.05584344159268</v>
      </c>
      <c r="AY71">
        <v>1.04844283717563</v>
      </c>
      <c r="AZ71">
        <v>0</v>
      </c>
      <c r="BA71">
        <v>0</v>
      </c>
      <c r="BB71">
        <v>0</v>
      </c>
      <c r="BC71">
        <v>0</v>
      </c>
      <c r="BD71">
        <v>0</v>
      </c>
      <c r="BE71">
        <v>0</v>
      </c>
      <c r="BF71">
        <v>0</v>
      </c>
      <c r="BG71">
        <v>0</v>
      </c>
      <c r="BI71" t="s">
        <v>287</v>
      </c>
      <c r="BK71">
        <v>0.8</v>
      </c>
      <c r="BL71">
        <v>0.797560975609756</v>
      </c>
      <c r="BM71">
        <v>0.785365853658536</v>
      </c>
      <c r="BN71">
        <v>0.773170731707317</v>
      </c>
      <c r="BO71">
        <v>0.760975609756097</v>
      </c>
      <c r="BP71">
        <v>0.748780487804878</v>
      </c>
      <c r="BQ71">
        <v>0.736585365853658</v>
      </c>
      <c r="BR71">
        <v>0.724390243902439</v>
      </c>
      <c r="BS71">
        <v>0.71219512195122</v>
      </c>
      <c r="BT71">
        <v>0.699999999999999</v>
      </c>
      <c r="BU71">
        <v>0.687499999999999</v>
      </c>
      <c r="BV71">
        <v>0.675</v>
      </c>
      <c r="BW71">
        <v>0.6625</v>
      </c>
      <c r="BX71">
        <v>0.649999999999999</v>
      </c>
      <c r="BY71">
        <v>0.637499999999999</v>
      </c>
      <c r="BZ71">
        <v>0.625</v>
      </c>
      <c r="CA71">
        <v>0.6125</v>
      </c>
      <c r="CB71">
        <v>0.6</v>
      </c>
      <c r="CC71" t="e">
        <v>#VALUE!</v>
      </c>
      <c r="CD71" t="e">
        <v>#VALUE!</v>
      </c>
      <c r="CE71" t="e">
        <v>#VALUE!</v>
      </c>
      <c r="CF71" t="e">
        <v>#VALUE!</v>
      </c>
      <c r="CG71" t="e">
        <v>#VALUE!</v>
      </c>
      <c r="CH71" t="e">
        <v>#VALUE!</v>
      </c>
      <c r="CI71" t="e">
        <v>#VALUE!</v>
      </c>
      <c r="CJ71" t="e">
        <v>#VALUE!</v>
      </c>
    </row>
    <row r="72" spans="1:88">
      <c r="A72" t="s">
        <v>9</v>
      </c>
      <c r="B72" t="s">
        <v>283</v>
      </c>
      <c r="C72" t="s">
        <v>283</v>
      </c>
      <c r="D72">
        <v>188.412</v>
      </c>
      <c r="E72">
        <v>189.256036060692</v>
      </c>
      <c r="F72">
        <v>207.250544007891</v>
      </c>
      <c r="G72">
        <v>220.587584191758</v>
      </c>
      <c r="H72">
        <v>230.875419859672</v>
      </c>
      <c r="I72">
        <v>240.110549584008</v>
      </c>
      <c r="J72">
        <v>248.601538699814</v>
      </c>
      <c r="K72">
        <v>256.37049935059</v>
      </c>
      <c r="L72">
        <v>263.854922313545</v>
      </c>
      <c r="M72">
        <v>271.248583254919</v>
      </c>
      <c r="N72">
        <v>278.549570282268</v>
      </c>
      <c r="O72">
        <v>285.230759175177</v>
      </c>
      <c r="P72">
        <v>291.263552420858</v>
      </c>
      <c r="Q72">
        <v>296.72867535095</v>
      </c>
      <c r="R72">
        <v>301.761506209798</v>
      </c>
      <c r="S72">
        <v>306.417023848534</v>
      </c>
      <c r="T72">
        <v>310.645815593219</v>
      </c>
      <c r="U72">
        <v>314.364198685293</v>
      </c>
      <c r="V72">
        <v>5</v>
      </c>
      <c r="AF72" s="99" t="s">
        <v>284</v>
      </c>
      <c r="AH72">
        <v>1</v>
      </c>
      <c r="AI72">
        <v>1.00561679464899</v>
      </c>
      <c r="AJ72">
        <v>1.12736168384907</v>
      </c>
      <c r="AK72">
        <v>1.22119382901413</v>
      </c>
      <c r="AL72">
        <v>1.29603779931132</v>
      </c>
      <c r="AM72">
        <v>1.36527323847963</v>
      </c>
      <c r="AN72">
        <v>1.43081883701192</v>
      </c>
      <c r="AO72">
        <v>1.49254526786763</v>
      </c>
      <c r="AP72">
        <v>1.55372658049212</v>
      </c>
      <c r="AQ72">
        <v>1.61592378790894</v>
      </c>
      <c r="AR72">
        <v>1.67918860692349</v>
      </c>
      <c r="AS72">
        <v>1.73885736020092</v>
      </c>
      <c r="AT72">
        <v>1.79437105827317</v>
      </c>
      <c r="AU72">
        <v>1.84616902261036</v>
      </c>
      <c r="AV72">
        <v>1.89528740860642</v>
      </c>
      <c r="AW72">
        <v>1.94207160754322</v>
      </c>
      <c r="AX72">
        <v>1.98583012039482</v>
      </c>
      <c r="AY72">
        <v>2.02544692712859</v>
      </c>
      <c r="AZ72">
        <v>0</v>
      </c>
      <c r="BA72">
        <v>0</v>
      </c>
      <c r="BB72">
        <v>0</v>
      </c>
      <c r="BC72">
        <v>0</v>
      </c>
      <c r="BD72">
        <v>0</v>
      </c>
      <c r="BE72">
        <v>0</v>
      </c>
      <c r="BF72">
        <v>0</v>
      </c>
      <c r="BG72">
        <v>0</v>
      </c>
      <c r="BI72" t="s">
        <v>287</v>
      </c>
      <c r="BK72">
        <v>0.8</v>
      </c>
      <c r="BL72">
        <v>0.797560975609756</v>
      </c>
      <c r="BM72">
        <v>0.785365853658536</v>
      </c>
      <c r="BN72">
        <v>0.773170731707317</v>
      </c>
      <c r="BO72">
        <v>0.760975609756097</v>
      </c>
      <c r="BP72">
        <v>0.748780487804878</v>
      </c>
      <c r="BQ72">
        <v>0.736585365853658</v>
      </c>
      <c r="BR72">
        <v>0.724390243902439</v>
      </c>
      <c r="BS72">
        <v>0.71219512195122</v>
      </c>
      <c r="BT72">
        <v>0.699999999999999</v>
      </c>
      <c r="BU72">
        <v>0.687499999999999</v>
      </c>
      <c r="BV72">
        <v>0.675</v>
      </c>
      <c r="BW72">
        <v>0.6625</v>
      </c>
      <c r="BX72">
        <v>0.649999999999999</v>
      </c>
      <c r="BY72">
        <v>0.637499999999999</v>
      </c>
      <c r="BZ72">
        <v>0.625</v>
      </c>
      <c r="CA72">
        <v>0.6125</v>
      </c>
      <c r="CB72">
        <v>0.6</v>
      </c>
      <c r="CC72" t="e">
        <v>#VALUE!</v>
      </c>
      <c r="CD72" t="e">
        <v>#VALUE!</v>
      </c>
      <c r="CE72" t="e">
        <v>#VALUE!</v>
      </c>
      <c r="CF72" t="e">
        <v>#VALUE!</v>
      </c>
      <c r="CG72" t="e">
        <v>#VALUE!</v>
      </c>
      <c r="CH72" t="e">
        <v>#VALUE!</v>
      </c>
      <c r="CI72" t="e">
        <v>#VALUE!</v>
      </c>
      <c r="CJ72" t="e">
        <v>#VALUE!</v>
      </c>
    </row>
    <row r="73" spans="1:88">
      <c r="A73" t="s">
        <v>9</v>
      </c>
      <c r="B73" t="s">
        <v>285</v>
      </c>
      <c r="C73" t="s">
        <v>285</v>
      </c>
      <c r="D73">
        <v>52.2</v>
      </c>
      <c r="E73">
        <v>52.5368453175476</v>
      </c>
      <c r="F73">
        <v>58.0996745557037</v>
      </c>
      <c r="G73">
        <v>62.2817182028071</v>
      </c>
      <c r="H73">
        <v>65.5874747152184</v>
      </c>
      <c r="I73">
        <v>68.5467993704095</v>
      </c>
      <c r="J73">
        <v>71.2517014664645</v>
      </c>
      <c r="K73">
        <v>73.7546628400662</v>
      </c>
      <c r="L73">
        <v>76.0823971237345</v>
      </c>
      <c r="M73">
        <v>78.3490503416236</v>
      </c>
      <c r="N73">
        <v>80.578401556557</v>
      </c>
      <c r="O73">
        <v>82.6677909919788</v>
      </c>
      <c r="P73">
        <v>84.5887325390831</v>
      </c>
      <c r="Q73">
        <v>86.2795834978481</v>
      </c>
      <c r="R73">
        <v>87.7028458960293</v>
      </c>
      <c r="S73">
        <v>88.8643313409043</v>
      </c>
      <c r="T73">
        <v>89.7854936532617</v>
      </c>
      <c r="U73">
        <v>90.4750854269331</v>
      </c>
      <c r="V73">
        <v>5</v>
      </c>
      <c r="AF73" s="99" t="s">
        <v>272</v>
      </c>
      <c r="AH73">
        <v>1</v>
      </c>
      <c r="AI73">
        <v>1.00809088662721</v>
      </c>
      <c r="AJ73">
        <v>1.14400338979557</v>
      </c>
      <c r="AK73">
        <v>1.25050759781859</v>
      </c>
      <c r="AL73">
        <v>1.33772956440188</v>
      </c>
      <c r="AM73">
        <v>1.41833893109734</v>
      </c>
      <c r="AN73">
        <v>1.49432278315945</v>
      </c>
      <c r="AO73">
        <v>1.56678818974415</v>
      </c>
      <c r="AP73">
        <v>1.63621947674348</v>
      </c>
      <c r="AQ73">
        <v>1.70585717561322</v>
      </c>
      <c r="AR73">
        <v>1.77645880442683</v>
      </c>
      <c r="AS73">
        <v>1.84470086225119</v>
      </c>
      <c r="AT73">
        <v>1.90940288904307</v>
      </c>
      <c r="AU73">
        <v>1.96812166978731</v>
      </c>
      <c r="AV73">
        <v>2.01904873969769</v>
      </c>
      <c r="AW73">
        <v>2.06183130985843</v>
      </c>
      <c r="AX73">
        <v>2.09672570873607</v>
      </c>
      <c r="AY73">
        <v>2.12356532282736</v>
      </c>
      <c r="AZ73">
        <v>0</v>
      </c>
      <c r="BA73">
        <v>0</v>
      </c>
      <c r="BB73">
        <v>0</v>
      </c>
      <c r="BC73">
        <v>0</v>
      </c>
      <c r="BD73">
        <v>0</v>
      </c>
      <c r="BE73">
        <v>0</v>
      </c>
      <c r="BF73">
        <v>0</v>
      </c>
      <c r="BG73">
        <v>0</v>
      </c>
      <c r="BI73" t="s">
        <v>287</v>
      </c>
      <c r="BK73">
        <v>0.8</v>
      </c>
      <c r="BL73">
        <v>0.797560975609756</v>
      </c>
      <c r="BM73">
        <v>0.785365853658536</v>
      </c>
      <c r="BN73">
        <v>0.773170731707317</v>
      </c>
      <c r="BO73">
        <v>0.760975609756097</v>
      </c>
      <c r="BP73">
        <v>0.748780487804878</v>
      </c>
      <c r="BQ73">
        <v>0.736585365853658</v>
      </c>
      <c r="BR73">
        <v>0.724390243902439</v>
      </c>
      <c r="BS73">
        <v>0.71219512195122</v>
      </c>
      <c r="BT73">
        <v>0.699999999999999</v>
      </c>
      <c r="BU73">
        <v>0.687499999999999</v>
      </c>
      <c r="BV73">
        <v>0.675</v>
      </c>
      <c r="BW73">
        <v>0.6625</v>
      </c>
      <c r="BX73">
        <v>0.649999999999999</v>
      </c>
      <c r="BY73">
        <v>0.637499999999999</v>
      </c>
      <c r="BZ73">
        <v>0.625</v>
      </c>
      <c r="CA73">
        <v>0.6125</v>
      </c>
      <c r="CB73">
        <v>0.6</v>
      </c>
      <c r="CC73" t="e">
        <v>#VALUE!</v>
      </c>
      <c r="CD73" t="e">
        <v>#VALUE!</v>
      </c>
      <c r="CE73" t="e">
        <v>#VALUE!</v>
      </c>
      <c r="CF73" t="e">
        <v>#VALUE!</v>
      </c>
      <c r="CG73" t="e">
        <v>#VALUE!</v>
      </c>
      <c r="CH73" t="e">
        <v>#VALUE!</v>
      </c>
      <c r="CI73" t="e">
        <v>#VALUE!</v>
      </c>
      <c r="CJ73" t="e">
        <v>#VALUE!</v>
      </c>
    </row>
    <row r="74" spans="1:88">
      <c r="A74" t="s">
        <v>9</v>
      </c>
      <c r="B74" t="s">
        <v>286</v>
      </c>
      <c r="C74" t="s">
        <v>286</v>
      </c>
      <c r="D74">
        <v>30.4</v>
      </c>
      <c r="E74">
        <v>30.5961704531311</v>
      </c>
      <c r="F74">
        <v>33.8358257948926</v>
      </c>
      <c r="G74">
        <v>36.2713454667689</v>
      </c>
      <c r="H74">
        <v>38.1965369989011</v>
      </c>
      <c r="I74">
        <v>39.9199751122691</v>
      </c>
      <c r="J74">
        <v>41.4952437659104</v>
      </c>
      <c r="K74">
        <v>42.952907094598</v>
      </c>
      <c r="L74">
        <v>44.3085224628645</v>
      </c>
      <c r="M74">
        <v>45.6285657161946</v>
      </c>
      <c r="N74">
        <v>46.9268851976884</v>
      </c>
      <c r="O74">
        <v>48.1436943708076</v>
      </c>
      <c r="P74">
        <v>49.2624036242936</v>
      </c>
      <c r="Q74">
        <v>50.2471137611989</v>
      </c>
      <c r="R74">
        <v>51.0759868819787</v>
      </c>
      <c r="S74">
        <v>51.7524075242048</v>
      </c>
      <c r="T74">
        <v>52.2888698670337</v>
      </c>
      <c r="U74">
        <v>52.6904712064898</v>
      </c>
      <c r="V74">
        <v>5</v>
      </c>
      <c r="AF74" s="99" t="s">
        <v>272</v>
      </c>
      <c r="AH74">
        <v>1</v>
      </c>
      <c r="AI74">
        <v>1.00809088662721</v>
      </c>
      <c r="AJ74">
        <v>1.14400338979557</v>
      </c>
      <c r="AK74">
        <v>1.25050759781859</v>
      </c>
      <c r="AL74">
        <v>1.33772956440188</v>
      </c>
      <c r="AM74">
        <v>1.41833893109734</v>
      </c>
      <c r="AN74">
        <v>1.49432278315945</v>
      </c>
      <c r="AO74">
        <v>1.56678818974415</v>
      </c>
      <c r="AP74">
        <v>1.63621947674348</v>
      </c>
      <c r="AQ74">
        <v>1.70585717561322</v>
      </c>
      <c r="AR74">
        <v>1.77645880442683</v>
      </c>
      <c r="AS74">
        <v>1.84470086225119</v>
      </c>
      <c r="AT74">
        <v>1.90940288904307</v>
      </c>
      <c r="AU74">
        <v>1.96812166978731</v>
      </c>
      <c r="AV74">
        <v>2.01904873969769</v>
      </c>
      <c r="AW74">
        <v>2.06183130985843</v>
      </c>
      <c r="AX74">
        <v>2.09672570873607</v>
      </c>
      <c r="AY74">
        <v>2.12356532282736</v>
      </c>
      <c r="AZ74">
        <v>0</v>
      </c>
      <c r="BA74">
        <v>0</v>
      </c>
      <c r="BB74">
        <v>0</v>
      </c>
      <c r="BC74">
        <v>0</v>
      </c>
      <c r="BD74">
        <v>0</v>
      </c>
      <c r="BE74">
        <v>0</v>
      </c>
      <c r="BF74">
        <v>0</v>
      </c>
      <c r="BG74">
        <v>0</v>
      </c>
      <c r="BI74" t="s">
        <v>287</v>
      </c>
      <c r="BK74">
        <v>0.8</v>
      </c>
      <c r="BL74">
        <v>0.797560975609756</v>
      </c>
      <c r="BM74">
        <v>0.785365853658536</v>
      </c>
      <c r="BN74">
        <v>0.773170731707317</v>
      </c>
      <c r="BO74">
        <v>0.760975609756097</v>
      </c>
      <c r="BP74">
        <v>0.748780487804878</v>
      </c>
      <c r="BQ74">
        <v>0.736585365853658</v>
      </c>
      <c r="BR74">
        <v>0.724390243902439</v>
      </c>
      <c r="BS74">
        <v>0.71219512195122</v>
      </c>
      <c r="BT74">
        <v>0.699999999999999</v>
      </c>
      <c r="BU74">
        <v>0.687499999999999</v>
      </c>
      <c r="BV74">
        <v>0.675</v>
      </c>
      <c r="BW74">
        <v>0.6625</v>
      </c>
      <c r="BX74">
        <v>0.649999999999999</v>
      </c>
      <c r="BY74">
        <v>0.637499999999999</v>
      </c>
      <c r="BZ74">
        <v>0.625</v>
      </c>
      <c r="CA74">
        <v>0.6125</v>
      </c>
      <c r="CB74">
        <v>0.6</v>
      </c>
      <c r="CC74" t="e">
        <v>#VALUE!</v>
      </c>
      <c r="CD74" t="e">
        <v>#VALUE!</v>
      </c>
      <c r="CE74" t="e">
        <v>#VALUE!</v>
      </c>
      <c r="CF74" t="e">
        <v>#VALUE!</v>
      </c>
      <c r="CG74" t="e">
        <v>#VALUE!</v>
      </c>
      <c r="CH74" t="e">
        <v>#VALUE!</v>
      </c>
      <c r="CI74" t="e">
        <v>#VALUE!</v>
      </c>
      <c r="CJ74" t="e">
        <v>#VALUE!</v>
      </c>
    </row>
    <row r="75" spans="1:88">
      <c r="A75" t="s">
        <v>10</v>
      </c>
      <c r="B75" t="s">
        <v>271</v>
      </c>
      <c r="C75" t="s">
        <v>271</v>
      </c>
      <c r="D75">
        <v>140.169186378</v>
      </c>
      <c r="E75">
        <v>139.408253389821</v>
      </c>
      <c r="F75">
        <v>161.587361283956</v>
      </c>
      <c r="G75">
        <v>175.268514069271</v>
      </c>
      <c r="H75">
        <v>198.374194982315</v>
      </c>
      <c r="I75">
        <v>228.109987854983</v>
      </c>
      <c r="J75">
        <v>263.617601088671</v>
      </c>
      <c r="K75">
        <v>303.481802943241</v>
      </c>
      <c r="L75">
        <v>346.562028745285</v>
      </c>
      <c r="M75">
        <v>391.497416979978</v>
      </c>
      <c r="N75">
        <v>438.048480517264</v>
      </c>
      <c r="O75">
        <v>484.511559985008</v>
      </c>
      <c r="P75">
        <v>530.600267905793</v>
      </c>
      <c r="Q75">
        <v>575.112416838625</v>
      </c>
      <c r="R75">
        <v>618.109495296788</v>
      </c>
      <c r="S75">
        <v>659.583640507038</v>
      </c>
      <c r="T75">
        <v>699.580201617003</v>
      </c>
      <c r="U75">
        <v>738.132825377475</v>
      </c>
      <c r="V75">
        <v>5</v>
      </c>
      <c r="AF75" s="99" t="s">
        <v>272</v>
      </c>
      <c r="AH75">
        <v>1</v>
      </c>
      <c r="AI75">
        <v>0.994558051739161</v>
      </c>
      <c r="AJ75">
        <v>1.15513685497127</v>
      </c>
      <c r="AK75">
        <v>1.25563538404626</v>
      </c>
      <c r="AL75">
        <v>1.42788808774329</v>
      </c>
      <c r="AM75">
        <v>1.65347960827729</v>
      </c>
      <c r="AN75">
        <v>1.9282871549153</v>
      </c>
      <c r="AO75">
        <v>2.24373315482587</v>
      </c>
      <c r="AP75">
        <v>2.59289660433811</v>
      </c>
      <c r="AQ75">
        <v>2.96644786854768</v>
      </c>
      <c r="AR75">
        <v>3.36388557273931</v>
      </c>
      <c r="AS75">
        <v>3.77165904893282</v>
      </c>
      <c r="AT75">
        <v>4.18763067925433</v>
      </c>
      <c r="AU75">
        <v>4.60092605264976</v>
      </c>
      <c r="AV75">
        <v>5.01164679912896</v>
      </c>
      <c r="AW75">
        <v>5.41925089197272</v>
      </c>
      <c r="AX75">
        <v>5.82370445451109</v>
      </c>
      <c r="AY75">
        <v>6.22487198006426</v>
      </c>
      <c r="AZ75">
        <v>0</v>
      </c>
      <c r="BA75">
        <v>0</v>
      </c>
      <c r="BB75">
        <v>0</v>
      </c>
      <c r="BC75">
        <v>0</v>
      </c>
      <c r="BD75">
        <v>0</v>
      </c>
      <c r="BE75">
        <v>0</v>
      </c>
      <c r="BF75">
        <v>0</v>
      </c>
      <c r="BG75">
        <v>0</v>
      </c>
      <c r="BI75" t="s">
        <v>273</v>
      </c>
      <c r="BK75">
        <v>1</v>
      </c>
      <c r="BL75">
        <v>0.997560975609757</v>
      </c>
      <c r="BM75">
        <v>0.985365853658537</v>
      </c>
      <c r="BN75">
        <v>0.973170731707317</v>
      </c>
      <c r="BO75">
        <v>0.960975609756098</v>
      </c>
      <c r="BP75">
        <v>0.948780487804878</v>
      </c>
      <c r="BQ75">
        <v>0.936585365853658</v>
      </c>
      <c r="BR75">
        <v>0.924390243902439</v>
      </c>
      <c r="BS75">
        <v>0.91219512195122</v>
      </c>
      <c r="BT75">
        <v>0.9</v>
      </c>
      <c r="BU75">
        <v>0.8875</v>
      </c>
      <c r="BV75">
        <v>0.875000000000001</v>
      </c>
      <c r="BW75">
        <v>0.862500000000001</v>
      </c>
      <c r="BX75">
        <v>0.850000000000001</v>
      </c>
      <c r="BY75">
        <v>0.8375</v>
      </c>
      <c r="BZ75">
        <v>0.825000000000001</v>
      </c>
      <c r="CA75">
        <v>0.812500000000001</v>
      </c>
      <c r="CB75">
        <v>0.800000000000001</v>
      </c>
      <c r="CC75" t="e">
        <v>#VALUE!</v>
      </c>
      <c r="CD75" t="e">
        <v>#VALUE!</v>
      </c>
      <c r="CE75" t="e">
        <v>#VALUE!</v>
      </c>
      <c r="CF75" t="e">
        <v>#VALUE!</v>
      </c>
      <c r="CG75" t="e">
        <v>#VALUE!</v>
      </c>
      <c r="CH75" t="e">
        <v>#VALUE!</v>
      </c>
      <c r="CI75" t="e">
        <v>#VALUE!</v>
      </c>
      <c r="CJ75" t="e">
        <v>#VALUE!</v>
      </c>
    </row>
    <row r="76" spans="1:88">
      <c r="A76" t="s">
        <v>10</v>
      </c>
      <c r="B76" t="s">
        <v>274</v>
      </c>
      <c r="C76" t="s">
        <v>274</v>
      </c>
      <c r="D76">
        <v>101.4462184284</v>
      </c>
      <c r="E76">
        <v>100.89549985663</v>
      </c>
      <c r="F76">
        <v>116.947434537252</v>
      </c>
      <c r="G76">
        <v>126.849048791248</v>
      </c>
      <c r="H76">
        <v>143.571582562118</v>
      </c>
      <c r="I76">
        <v>165.092601673747</v>
      </c>
      <c r="J76">
        <v>190.790925114548</v>
      </c>
      <c r="K76">
        <v>219.64229133356</v>
      </c>
      <c r="L76">
        <v>250.821226658712</v>
      </c>
      <c r="M76">
        <v>283.342819512426</v>
      </c>
      <c r="N76">
        <v>317.033743186212</v>
      </c>
      <c r="O76">
        <v>350.66098916187</v>
      </c>
      <c r="P76">
        <v>384.017287016136</v>
      </c>
      <c r="Q76">
        <v>416.232564139741</v>
      </c>
      <c r="R76">
        <v>447.351322304513</v>
      </c>
      <c r="S76">
        <v>477.367870897326</v>
      </c>
      <c r="T76">
        <v>506.315030965761</v>
      </c>
      <c r="U76">
        <v>534.2171540504</v>
      </c>
      <c r="V76">
        <v>5</v>
      </c>
      <c r="AF76" s="99" t="s">
        <v>272</v>
      </c>
      <c r="AH76">
        <v>1</v>
      </c>
      <c r="AI76">
        <v>0.994558051739161</v>
      </c>
      <c r="AJ76">
        <v>1.15513685497127</v>
      </c>
      <c r="AK76">
        <v>1.25563538404626</v>
      </c>
      <c r="AL76">
        <v>1.42788808774329</v>
      </c>
      <c r="AM76">
        <v>1.65347960827729</v>
      </c>
      <c r="AN76">
        <v>1.9282871549153</v>
      </c>
      <c r="AO76">
        <v>2.24373315482587</v>
      </c>
      <c r="AP76">
        <v>2.59289660433811</v>
      </c>
      <c r="AQ76">
        <v>2.96644786854768</v>
      </c>
      <c r="AR76">
        <v>3.36388557273931</v>
      </c>
      <c r="AS76">
        <v>3.77165904893282</v>
      </c>
      <c r="AT76">
        <v>4.18763067925433</v>
      </c>
      <c r="AU76">
        <v>4.60092605264976</v>
      </c>
      <c r="AV76">
        <v>5.01164679912896</v>
      </c>
      <c r="AW76">
        <v>5.41925089197272</v>
      </c>
      <c r="AX76">
        <v>5.82370445451109</v>
      </c>
      <c r="AY76">
        <v>6.22487198006426</v>
      </c>
      <c r="AZ76">
        <v>0</v>
      </c>
      <c r="BA76">
        <v>0</v>
      </c>
      <c r="BB76">
        <v>0</v>
      </c>
      <c r="BC76">
        <v>0</v>
      </c>
      <c r="BD76">
        <v>0</v>
      </c>
      <c r="BE76">
        <v>0</v>
      </c>
      <c r="BF76">
        <v>0</v>
      </c>
      <c r="BG76">
        <v>0</v>
      </c>
      <c r="BI76" t="s">
        <v>273</v>
      </c>
      <c r="BK76">
        <v>1</v>
      </c>
      <c r="BL76">
        <v>0.997560975609757</v>
      </c>
      <c r="BM76">
        <v>0.985365853658537</v>
      </c>
      <c r="BN76">
        <v>0.973170731707317</v>
      </c>
      <c r="BO76">
        <v>0.960975609756098</v>
      </c>
      <c r="BP76">
        <v>0.948780487804878</v>
      </c>
      <c r="BQ76">
        <v>0.936585365853658</v>
      </c>
      <c r="BR76">
        <v>0.924390243902439</v>
      </c>
      <c r="BS76">
        <v>0.91219512195122</v>
      </c>
      <c r="BT76">
        <v>0.9</v>
      </c>
      <c r="BU76">
        <v>0.8875</v>
      </c>
      <c r="BV76">
        <v>0.875000000000001</v>
      </c>
      <c r="BW76">
        <v>0.862500000000001</v>
      </c>
      <c r="BX76">
        <v>0.850000000000001</v>
      </c>
      <c r="BY76">
        <v>0.8375</v>
      </c>
      <c r="BZ76">
        <v>0.825000000000001</v>
      </c>
      <c r="CA76">
        <v>0.812500000000001</v>
      </c>
      <c r="CB76">
        <v>0.800000000000001</v>
      </c>
      <c r="CC76" t="e">
        <v>#VALUE!</v>
      </c>
      <c r="CD76" t="e">
        <v>#VALUE!</v>
      </c>
      <c r="CE76" t="e">
        <v>#VALUE!</v>
      </c>
      <c r="CF76" t="e">
        <v>#VALUE!</v>
      </c>
      <c r="CG76" t="e">
        <v>#VALUE!</v>
      </c>
      <c r="CH76" t="e">
        <v>#VALUE!</v>
      </c>
      <c r="CI76" t="e">
        <v>#VALUE!</v>
      </c>
      <c r="CJ76" t="e">
        <v>#VALUE!</v>
      </c>
    </row>
    <row r="77" spans="1:88">
      <c r="A77" t="s">
        <v>10</v>
      </c>
      <c r="B77" t="s">
        <v>275</v>
      </c>
      <c r="C77" t="s">
        <v>275</v>
      </c>
      <c r="D77">
        <v>36.54754602552</v>
      </c>
      <c r="E77">
        <v>36.3491412681947</v>
      </c>
      <c r="F77">
        <v>42.1320953361445</v>
      </c>
      <c r="G77">
        <v>45.6993027518677</v>
      </c>
      <c r="H77">
        <v>51.7238503606635</v>
      </c>
      <c r="I77">
        <v>59.47712543275</v>
      </c>
      <c r="J77">
        <v>68.7353380431518</v>
      </c>
      <c r="K77">
        <v>79.1294823604451</v>
      </c>
      <c r="L77">
        <v>90.3621689157057</v>
      </c>
      <c r="M77">
        <v>102.078568305036</v>
      </c>
      <c r="N77">
        <v>114.21623694055</v>
      </c>
      <c r="O77">
        <v>126.330964714994</v>
      </c>
      <c r="P77">
        <v>138.348079300001</v>
      </c>
      <c r="Q77">
        <v>149.954123779923</v>
      </c>
      <c r="R77">
        <v>161.165130596177</v>
      </c>
      <c r="S77">
        <v>171.979049618673</v>
      </c>
      <c r="T77">
        <v>182.407705129927</v>
      </c>
      <c r="U77">
        <v>192.459870143503</v>
      </c>
      <c r="V77">
        <v>5</v>
      </c>
      <c r="AF77" s="99" t="s">
        <v>272</v>
      </c>
      <c r="AH77">
        <v>1</v>
      </c>
      <c r="AI77">
        <v>0.994558051739161</v>
      </c>
      <c r="AJ77">
        <v>1.15513685497127</v>
      </c>
      <c r="AK77">
        <v>1.25563538404626</v>
      </c>
      <c r="AL77">
        <v>1.42788808774329</v>
      </c>
      <c r="AM77">
        <v>1.65347960827729</v>
      </c>
      <c r="AN77">
        <v>1.9282871549153</v>
      </c>
      <c r="AO77">
        <v>2.24373315482587</v>
      </c>
      <c r="AP77">
        <v>2.59289660433811</v>
      </c>
      <c r="AQ77">
        <v>2.96644786854768</v>
      </c>
      <c r="AR77">
        <v>3.36388557273931</v>
      </c>
      <c r="AS77">
        <v>3.77165904893282</v>
      </c>
      <c r="AT77">
        <v>4.18763067925433</v>
      </c>
      <c r="AU77">
        <v>4.60092605264976</v>
      </c>
      <c r="AV77">
        <v>5.01164679912896</v>
      </c>
      <c r="AW77">
        <v>5.41925089197272</v>
      </c>
      <c r="AX77">
        <v>5.82370445451109</v>
      </c>
      <c r="AY77">
        <v>6.22487198006426</v>
      </c>
      <c r="AZ77">
        <v>0</v>
      </c>
      <c r="BA77">
        <v>0</v>
      </c>
      <c r="BB77">
        <v>0</v>
      </c>
      <c r="BC77">
        <v>0</v>
      </c>
      <c r="BD77">
        <v>0</v>
      </c>
      <c r="BE77">
        <v>0</v>
      </c>
      <c r="BF77">
        <v>0</v>
      </c>
      <c r="BG77">
        <v>0</v>
      </c>
      <c r="BI77" t="s">
        <v>273</v>
      </c>
      <c r="BK77">
        <v>1</v>
      </c>
      <c r="BL77">
        <v>0.997560975609757</v>
      </c>
      <c r="BM77">
        <v>0.985365853658537</v>
      </c>
      <c r="BN77">
        <v>0.973170731707317</v>
      </c>
      <c r="BO77">
        <v>0.960975609756098</v>
      </c>
      <c r="BP77">
        <v>0.948780487804878</v>
      </c>
      <c r="BQ77">
        <v>0.936585365853658</v>
      </c>
      <c r="BR77">
        <v>0.924390243902439</v>
      </c>
      <c r="BS77">
        <v>0.91219512195122</v>
      </c>
      <c r="BT77">
        <v>0.9</v>
      </c>
      <c r="BU77">
        <v>0.8875</v>
      </c>
      <c r="BV77">
        <v>0.875000000000001</v>
      </c>
      <c r="BW77">
        <v>0.862500000000001</v>
      </c>
      <c r="BX77">
        <v>0.850000000000001</v>
      </c>
      <c r="BY77">
        <v>0.8375</v>
      </c>
      <c r="BZ77">
        <v>0.825000000000001</v>
      </c>
      <c r="CA77">
        <v>0.812500000000001</v>
      </c>
      <c r="CB77">
        <v>0.800000000000001</v>
      </c>
      <c r="CC77" t="e">
        <v>#VALUE!</v>
      </c>
      <c r="CD77" t="e">
        <v>#VALUE!</v>
      </c>
      <c r="CE77" t="e">
        <v>#VALUE!</v>
      </c>
      <c r="CF77" t="e">
        <v>#VALUE!</v>
      </c>
      <c r="CG77" t="e">
        <v>#VALUE!</v>
      </c>
      <c r="CH77" t="e">
        <v>#VALUE!</v>
      </c>
      <c r="CI77" t="e">
        <v>#VALUE!</v>
      </c>
      <c r="CJ77" t="e">
        <v>#VALUE!</v>
      </c>
    </row>
    <row r="78" spans="1:88">
      <c r="A78" t="s">
        <v>10</v>
      </c>
      <c r="B78" t="s">
        <v>276</v>
      </c>
      <c r="C78" t="s">
        <v>276</v>
      </c>
      <c r="D78">
        <v>16.73255289888</v>
      </c>
      <c r="E78">
        <v>16.8114020843873</v>
      </c>
      <c r="F78">
        <v>17.2008239138504</v>
      </c>
      <c r="G78">
        <v>17.5592682097735</v>
      </c>
      <c r="H78">
        <v>17.8160951323929</v>
      </c>
      <c r="I78">
        <v>17.9690096349578</v>
      </c>
      <c r="J78">
        <v>18.0236023184093</v>
      </c>
      <c r="K78">
        <v>17.9821026520996</v>
      </c>
      <c r="L78">
        <v>17.8626290860021</v>
      </c>
      <c r="M78">
        <v>17.6759153594414</v>
      </c>
      <c r="N78">
        <v>17.4274272976827</v>
      </c>
      <c r="O78">
        <v>17.1276683495698</v>
      </c>
      <c r="P78">
        <v>16.7857352465064</v>
      </c>
      <c r="Q78">
        <v>16.4094800903336</v>
      </c>
      <c r="R78">
        <v>16.020534693176</v>
      </c>
      <c r="S78">
        <v>15.6304203570169</v>
      </c>
      <c r="T78">
        <v>15.24952333045</v>
      </c>
      <c r="U78">
        <v>14.8844598657544</v>
      </c>
      <c r="V78">
        <v>5</v>
      </c>
      <c r="AF78" s="99" t="s">
        <v>277</v>
      </c>
      <c r="AH78">
        <v>1</v>
      </c>
      <c r="AI78">
        <v>1.00472384407087</v>
      </c>
      <c r="AJ78">
        <v>1.02834306442523</v>
      </c>
      <c r="AK78">
        <v>1.05036327197554</v>
      </c>
      <c r="AL78">
        <v>1.06635006298857</v>
      </c>
      <c r="AM78">
        <v>1.07599657273857</v>
      </c>
      <c r="AN78">
        <v>1.07948696165566</v>
      </c>
      <c r="AO78">
        <v>1.07679812106107</v>
      </c>
      <c r="AP78">
        <v>1.0689551990234</v>
      </c>
      <c r="AQ78">
        <v>1.05654016651334</v>
      </c>
      <c r="AR78">
        <v>1.03980456733692</v>
      </c>
      <c r="AS78">
        <v>1.01936448955287</v>
      </c>
      <c r="AT78">
        <v>0.995769852597646</v>
      </c>
      <c r="AU78">
        <v>0.96951061340022</v>
      </c>
      <c r="AV78">
        <v>0.94207203750446</v>
      </c>
      <c r="AW78">
        <v>0.914265618141886</v>
      </c>
      <c r="AX78">
        <v>0.886844450563568</v>
      </c>
      <c r="AY78">
        <v>0.860306366326999</v>
      </c>
      <c r="AZ78">
        <v>0</v>
      </c>
      <c r="BA78">
        <v>0</v>
      </c>
      <c r="BB78">
        <v>0</v>
      </c>
      <c r="BC78">
        <v>0</v>
      </c>
      <c r="BD78">
        <v>0</v>
      </c>
      <c r="BE78">
        <v>0</v>
      </c>
      <c r="BF78">
        <v>0</v>
      </c>
      <c r="BG78">
        <v>0</v>
      </c>
      <c r="BI78" t="s">
        <v>273</v>
      </c>
      <c r="BK78">
        <v>1</v>
      </c>
      <c r="BL78">
        <v>0.997560975609757</v>
      </c>
      <c r="BM78">
        <v>0.985365853658537</v>
      </c>
      <c r="BN78">
        <v>0.973170731707317</v>
      </c>
      <c r="BO78">
        <v>0.960975609756098</v>
      </c>
      <c r="BP78">
        <v>0.948780487804878</v>
      </c>
      <c r="BQ78">
        <v>0.936585365853658</v>
      </c>
      <c r="BR78">
        <v>0.924390243902439</v>
      </c>
      <c r="BS78">
        <v>0.91219512195122</v>
      </c>
      <c r="BT78">
        <v>0.9</v>
      </c>
      <c r="BU78">
        <v>0.8875</v>
      </c>
      <c r="BV78">
        <v>0.875000000000001</v>
      </c>
      <c r="BW78">
        <v>0.862500000000001</v>
      </c>
      <c r="BX78">
        <v>0.850000000000001</v>
      </c>
      <c r="BY78">
        <v>0.8375</v>
      </c>
      <c r="BZ78">
        <v>0.825000000000001</v>
      </c>
      <c r="CA78">
        <v>0.812500000000001</v>
      </c>
      <c r="CB78">
        <v>0.800000000000001</v>
      </c>
      <c r="CC78" t="e">
        <v>#VALUE!</v>
      </c>
      <c r="CD78" t="e">
        <v>#VALUE!</v>
      </c>
      <c r="CE78" t="e">
        <v>#VALUE!</v>
      </c>
      <c r="CF78" t="e">
        <v>#VALUE!</v>
      </c>
      <c r="CG78" t="e">
        <v>#VALUE!</v>
      </c>
      <c r="CH78" t="e">
        <v>#VALUE!</v>
      </c>
      <c r="CI78" t="e">
        <v>#VALUE!</v>
      </c>
      <c r="CJ78" t="e">
        <v>#VALUE!</v>
      </c>
    </row>
    <row r="79" spans="1:88">
      <c r="A79" t="s">
        <v>10</v>
      </c>
      <c r="B79" t="s">
        <v>278</v>
      </c>
      <c r="C79" t="s">
        <v>278</v>
      </c>
      <c r="D79">
        <v>54.3115338516</v>
      </c>
      <c r="E79">
        <v>54.0166941738206</v>
      </c>
      <c r="F79">
        <v>62.6104614654574</v>
      </c>
      <c r="G79">
        <v>67.91151522648</v>
      </c>
      <c r="H79">
        <v>76.864302950373</v>
      </c>
      <c r="I79">
        <v>88.3860686318323</v>
      </c>
      <c r="J79">
        <v>102.144248927824</v>
      </c>
      <c r="K79">
        <v>117.590482186629</v>
      </c>
      <c r="L79">
        <v>134.282832356034</v>
      </c>
      <c r="M79">
        <v>151.694004685036</v>
      </c>
      <c r="N79">
        <v>169.731204789168</v>
      </c>
      <c r="O79">
        <v>187.734313593386</v>
      </c>
      <c r="P79">
        <v>205.592364175673</v>
      </c>
      <c r="Q79">
        <v>222.839543431273</v>
      </c>
      <c r="R79">
        <v>239.499676393041</v>
      </c>
      <c r="S79">
        <v>255.569716462178</v>
      </c>
      <c r="T79">
        <v>271.067235130891</v>
      </c>
      <c r="U79">
        <v>286.005269548729</v>
      </c>
      <c r="V79">
        <v>5</v>
      </c>
      <c r="AF79" s="99" t="s">
        <v>272</v>
      </c>
      <c r="AH79">
        <v>1</v>
      </c>
      <c r="AI79">
        <v>0.994558051739161</v>
      </c>
      <c r="AJ79">
        <v>1.15513685497127</v>
      </c>
      <c r="AK79">
        <v>1.25563538404626</v>
      </c>
      <c r="AL79">
        <v>1.42788808774329</v>
      </c>
      <c r="AM79">
        <v>1.65347960827729</v>
      </c>
      <c r="AN79">
        <v>1.9282871549153</v>
      </c>
      <c r="AO79">
        <v>2.24373315482587</v>
      </c>
      <c r="AP79">
        <v>2.59289660433811</v>
      </c>
      <c r="AQ79">
        <v>2.96644786854768</v>
      </c>
      <c r="AR79">
        <v>3.36388557273931</v>
      </c>
      <c r="AS79">
        <v>3.77165904893282</v>
      </c>
      <c r="AT79">
        <v>4.18763067925433</v>
      </c>
      <c r="AU79">
        <v>4.60092605264976</v>
      </c>
      <c r="AV79">
        <v>5.01164679912896</v>
      </c>
      <c r="AW79">
        <v>5.41925089197272</v>
      </c>
      <c r="AX79">
        <v>5.82370445451109</v>
      </c>
      <c r="AY79">
        <v>6.22487198006426</v>
      </c>
      <c r="AZ79">
        <v>0</v>
      </c>
      <c r="BA79">
        <v>0</v>
      </c>
      <c r="BB79">
        <v>0</v>
      </c>
      <c r="BC79">
        <v>0</v>
      </c>
      <c r="BD79">
        <v>0</v>
      </c>
      <c r="BE79">
        <v>0</v>
      </c>
      <c r="BF79">
        <v>0</v>
      </c>
      <c r="BG79">
        <v>0</v>
      </c>
      <c r="BI79" t="s">
        <v>273</v>
      </c>
      <c r="BK79">
        <v>1</v>
      </c>
      <c r="BL79">
        <v>0.997560975609757</v>
      </c>
      <c r="BM79">
        <v>0.985365853658537</v>
      </c>
      <c r="BN79">
        <v>0.973170731707317</v>
      </c>
      <c r="BO79">
        <v>0.960975609756098</v>
      </c>
      <c r="BP79">
        <v>0.948780487804878</v>
      </c>
      <c r="BQ79">
        <v>0.936585365853658</v>
      </c>
      <c r="BR79">
        <v>0.924390243902439</v>
      </c>
      <c r="BS79">
        <v>0.91219512195122</v>
      </c>
      <c r="BT79">
        <v>0.9</v>
      </c>
      <c r="BU79">
        <v>0.8875</v>
      </c>
      <c r="BV79">
        <v>0.875000000000001</v>
      </c>
      <c r="BW79">
        <v>0.862500000000001</v>
      </c>
      <c r="BX79">
        <v>0.850000000000001</v>
      </c>
      <c r="BY79">
        <v>0.8375</v>
      </c>
      <c r="BZ79">
        <v>0.825000000000001</v>
      </c>
      <c r="CA79">
        <v>0.812500000000001</v>
      </c>
      <c r="CB79">
        <v>0.800000000000001</v>
      </c>
      <c r="CC79" t="e">
        <v>#VALUE!</v>
      </c>
      <c r="CD79" t="e">
        <v>#VALUE!</v>
      </c>
      <c r="CE79" t="e">
        <v>#VALUE!</v>
      </c>
      <c r="CF79" t="e">
        <v>#VALUE!</v>
      </c>
      <c r="CG79" t="e">
        <v>#VALUE!</v>
      </c>
      <c r="CH79" t="e">
        <v>#VALUE!</v>
      </c>
      <c r="CI79" t="e">
        <v>#VALUE!</v>
      </c>
      <c r="CJ79" t="e">
        <v>#VALUE!</v>
      </c>
    </row>
    <row r="80" spans="1:88">
      <c r="A80" t="s">
        <v>10</v>
      </c>
      <c r="B80" t="s">
        <v>279</v>
      </c>
      <c r="C80" t="s">
        <v>279</v>
      </c>
      <c r="D80">
        <v>139.1539459932</v>
      </c>
      <c r="E80">
        <v>138.398524415336</v>
      </c>
      <c r="F80">
        <v>160.416989827234</v>
      </c>
      <c r="G80">
        <v>173.999050514085</v>
      </c>
      <c r="H80">
        <v>196.937377809779</v>
      </c>
      <c r="I80">
        <v>226.457795402199</v>
      </c>
      <c r="J80">
        <v>261.708228267975</v>
      </c>
      <c r="K80">
        <v>301.283695139654</v>
      </c>
      <c r="L80">
        <v>344.051892412813</v>
      </c>
      <c r="M80">
        <v>388.661815243723</v>
      </c>
      <c r="N80">
        <v>434.875711099012</v>
      </c>
      <c r="O80">
        <v>481.002260150216</v>
      </c>
      <c r="P80">
        <v>526.757149214136</v>
      </c>
      <c r="Q80">
        <v>570.946898250253</v>
      </c>
      <c r="R80">
        <v>613.632550412757</v>
      </c>
      <c r="S80">
        <v>654.806299878191</v>
      </c>
      <c r="T80">
        <v>694.51316733193</v>
      </c>
      <c r="U80">
        <v>732.786555822561</v>
      </c>
      <c r="V80">
        <v>5</v>
      </c>
      <c r="AF80" s="99" t="s">
        <v>272</v>
      </c>
      <c r="AH80">
        <v>1</v>
      </c>
      <c r="AI80">
        <v>0.994558051739161</v>
      </c>
      <c r="AJ80">
        <v>1.15513685497127</v>
      </c>
      <c r="AK80">
        <v>1.25563538404626</v>
      </c>
      <c r="AL80">
        <v>1.42788808774329</v>
      </c>
      <c r="AM80">
        <v>1.65347960827729</v>
      </c>
      <c r="AN80">
        <v>1.9282871549153</v>
      </c>
      <c r="AO80">
        <v>2.24373315482587</v>
      </c>
      <c r="AP80">
        <v>2.59289660433811</v>
      </c>
      <c r="AQ80">
        <v>2.96644786854768</v>
      </c>
      <c r="AR80">
        <v>3.36388557273931</v>
      </c>
      <c r="AS80">
        <v>3.77165904893282</v>
      </c>
      <c r="AT80">
        <v>4.18763067925433</v>
      </c>
      <c r="AU80">
        <v>4.60092605264976</v>
      </c>
      <c r="AV80">
        <v>5.01164679912896</v>
      </c>
      <c r="AW80">
        <v>5.41925089197272</v>
      </c>
      <c r="AX80">
        <v>5.82370445451109</v>
      </c>
      <c r="AY80">
        <v>6.22487198006426</v>
      </c>
      <c r="AZ80">
        <v>0</v>
      </c>
      <c r="BA80">
        <v>0</v>
      </c>
      <c r="BB80">
        <v>0</v>
      </c>
      <c r="BC80">
        <v>0</v>
      </c>
      <c r="BD80">
        <v>0</v>
      </c>
      <c r="BE80">
        <v>0</v>
      </c>
      <c r="BF80">
        <v>0</v>
      </c>
      <c r="BG80">
        <v>0</v>
      </c>
      <c r="BI80" t="s">
        <v>273</v>
      </c>
      <c r="BK80">
        <v>1</v>
      </c>
      <c r="BL80">
        <v>0.997560975609757</v>
      </c>
      <c r="BM80">
        <v>0.985365853658537</v>
      </c>
      <c r="BN80">
        <v>0.973170731707317</v>
      </c>
      <c r="BO80">
        <v>0.960975609756098</v>
      </c>
      <c r="BP80">
        <v>0.948780487804878</v>
      </c>
      <c r="BQ80">
        <v>0.936585365853658</v>
      </c>
      <c r="BR80">
        <v>0.924390243902439</v>
      </c>
      <c r="BS80">
        <v>0.91219512195122</v>
      </c>
      <c r="BT80">
        <v>0.9</v>
      </c>
      <c r="BU80">
        <v>0.8875</v>
      </c>
      <c r="BV80">
        <v>0.875000000000001</v>
      </c>
      <c r="BW80">
        <v>0.862500000000001</v>
      </c>
      <c r="BX80">
        <v>0.850000000000001</v>
      </c>
      <c r="BY80">
        <v>0.8375</v>
      </c>
      <c r="BZ80">
        <v>0.825000000000001</v>
      </c>
      <c r="CA80">
        <v>0.812500000000001</v>
      </c>
      <c r="CB80">
        <v>0.800000000000001</v>
      </c>
      <c r="CC80" t="e">
        <v>#VALUE!</v>
      </c>
      <c r="CD80" t="e">
        <v>#VALUE!</v>
      </c>
      <c r="CE80" t="e">
        <v>#VALUE!</v>
      </c>
      <c r="CF80" t="e">
        <v>#VALUE!</v>
      </c>
      <c r="CG80" t="e">
        <v>#VALUE!</v>
      </c>
      <c r="CH80" t="e">
        <v>#VALUE!</v>
      </c>
      <c r="CI80" t="e">
        <v>#VALUE!</v>
      </c>
      <c r="CJ80" t="e">
        <v>#VALUE!</v>
      </c>
    </row>
    <row r="81" spans="1:88">
      <c r="A81" t="s">
        <v>10</v>
      </c>
      <c r="B81" t="s">
        <v>280</v>
      </c>
      <c r="C81" t="s">
        <v>280</v>
      </c>
      <c r="D81">
        <v>12.005</v>
      </c>
      <c r="E81">
        <v>12.0615714316121</v>
      </c>
      <c r="F81">
        <v>12.3409674742218</v>
      </c>
      <c r="G81">
        <v>12.5981382597297</v>
      </c>
      <c r="H81">
        <v>12.7824022644323</v>
      </c>
      <c r="I81">
        <v>12.892112875502</v>
      </c>
      <c r="J81">
        <v>12.9312811464046</v>
      </c>
      <c r="K81">
        <v>12.901506640562</v>
      </c>
      <c r="L81">
        <v>12.8157886888742</v>
      </c>
      <c r="M81">
        <v>12.6818283601122</v>
      </c>
      <c r="N81">
        <v>12.5035471857187</v>
      </c>
      <c r="O81">
        <v>12.2884810093951</v>
      </c>
      <c r="P81">
        <v>12.0431564060854</v>
      </c>
      <c r="Q81">
        <v>11.7732069741516</v>
      </c>
      <c r="R81">
        <v>11.4941527544462</v>
      </c>
      <c r="S81">
        <v>11.2142598633916</v>
      </c>
      <c r="T81">
        <v>10.9409800577595</v>
      </c>
      <c r="U81">
        <v>10.6790602586615</v>
      </c>
      <c r="V81">
        <v>5</v>
      </c>
      <c r="AF81" s="99" t="s">
        <v>277</v>
      </c>
      <c r="AH81">
        <v>1</v>
      </c>
      <c r="AI81">
        <v>1.00472384407087</v>
      </c>
      <c r="AJ81">
        <v>1.02834306442523</v>
      </c>
      <c r="AK81">
        <v>1.05036327197554</v>
      </c>
      <c r="AL81">
        <v>1.06635006298857</v>
      </c>
      <c r="AM81">
        <v>1.07599657273857</v>
      </c>
      <c r="AN81">
        <v>1.07948696165566</v>
      </c>
      <c r="AO81">
        <v>1.07679812106107</v>
      </c>
      <c r="AP81">
        <v>1.0689551990234</v>
      </c>
      <c r="AQ81">
        <v>1.05654016651334</v>
      </c>
      <c r="AR81">
        <v>1.03980456733692</v>
      </c>
      <c r="AS81">
        <v>1.01936448955287</v>
      </c>
      <c r="AT81">
        <v>0.995769852597646</v>
      </c>
      <c r="AU81">
        <v>0.96951061340022</v>
      </c>
      <c r="AV81">
        <v>0.94207203750446</v>
      </c>
      <c r="AW81">
        <v>0.914265618141886</v>
      </c>
      <c r="AX81">
        <v>0.886844450563568</v>
      </c>
      <c r="AY81">
        <v>0.860306366326999</v>
      </c>
      <c r="AZ81">
        <v>0</v>
      </c>
      <c r="BA81">
        <v>0</v>
      </c>
      <c r="BB81">
        <v>0</v>
      </c>
      <c r="BC81">
        <v>0</v>
      </c>
      <c r="BD81">
        <v>0</v>
      </c>
      <c r="BE81">
        <v>0</v>
      </c>
      <c r="BF81">
        <v>0</v>
      </c>
      <c r="BG81">
        <v>0</v>
      </c>
      <c r="BI81" t="s">
        <v>273</v>
      </c>
      <c r="BK81">
        <v>1</v>
      </c>
      <c r="BL81">
        <v>0.997560975609757</v>
      </c>
      <c r="BM81">
        <v>0.985365853658537</v>
      </c>
      <c r="BN81">
        <v>0.973170731707317</v>
      </c>
      <c r="BO81">
        <v>0.960975609756098</v>
      </c>
      <c r="BP81">
        <v>0.948780487804878</v>
      </c>
      <c r="BQ81">
        <v>0.936585365853658</v>
      </c>
      <c r="BR81">
        <v>0.924390243902439</v>
      </c>
      <c r="BS81">
        <v>0.91219512195122</v>
      </c>
      <c r="BT81">
        <v>0.9</v>
      </c>
      <c r="BU81">
        <v>0.8875</v>
      </c>
      <c r="BV81">
        <v>0.875000000000001</v>
      </c>
      <c r="BW81">
        <v>0.862500000000001</v>
      </c>
      <c r="BX81">
        <v>0.850000000000001</v>
      </c>
      <c r="BY81">
        <v>0.8375</v>
      </c>
      <c r="BZ81">
        <v>0.825000000000001</v>
      </c>
      <c r="CA81">
        <v>0.812500000000001</v>
      </c>
      <c r="CB81">
        <v>0.800000000000001</v>
      </c>
      <c r="CC81" t="e">
        <v>#VALUE!</v>
      </c>
      <c r="CD81" t="e">
        <v>#VALUE!</v>
      </c>
      <c r="CE81" t="e">
        <v>#VALUE!</v>
      </c>
      <c r="CF81" t="e">
        <v>#VALUE!</v>
      </c>
      <c r="CG81" t="e">
        <v>#VALUE!</v>
      </c>
      <c r="CH81" t="e">
        <v>#VALUE!</v>
      </c>
      <c r="CI81" t="e">
        <v>#VALUE!</v>
      </c>
      <c r="CJ81" t="e">
        <v>#VALUE!</v>
      </c>
    </row>
    <row r="82" spans="1:88">
      <c r="A82" t="s">
        <v>10</v>
      </c>
      <c r="B82" t="s">
        <v>281</v>
      </c>
      <c r="C82" t="s">
        <v>281</v>
      </c>
      <c r="D82">
        <v>3.225</v>
      </c>
      <c r="E82">
        <v>3.24019724006239</v>
      </c>
      <c r="F82">
        <v>3.31525365300835</v>
      </c>
      <c r="G82">
        <v>3.38433951583743</v>
      </c>
      <c r="H82">
        <v>3.43383984196536</v>
      </c>
      <c r="I82">
        <v>3.46331228850428</v>
      </c>
      <c r="J82">
        <v>3.47383437710577</v>
      </c>
      <c r="K82">
        <v>3.46583581139629</v>
      </c>
      <c r="L82">
        <v>3.44280870650722</v>
      </c>
      <c r="M82">
        <v>3.40682186267071</v>
      </c>
      <c r="N82">
        <v>3.35892875251503</v>
      </c>
      <c r="O82">
        <v>3.30115379052887</v>
      </c>
      <c r="P82">
        <v>3.23525026319245</v>
      </c>
      <c r="Q82">
        <v>3.16273156948263</v>
      </c>
      <c r="R82">
        <v>3.08776698318109</v>
      </c>
      <c r="S82">
        <v>3.01257709782908</v>
      </c>
      <c r="T82">
        <v>2.93916373896497</v>
      </c>
      <c r="U82">
        <v>2.86880211030266</v>
      </c>
      <c r="V82">
        <v>5</v>
      </c>
      <c r="AF82" s="99" t="s">
        <v>277</v>
      </c>
      <c r="AH82">
        <v>1</v>
      </c>
      <c r="AI82">
        <v>1.00472384407087</v>
      </c>
      <c r="AJ82">
        <v>1.02834306442523</v>
      </c>
      <c r="AK82">
        <v>1.05036327197554</v>
      </c>
      <c r="AL82">
        <v>1.06635006298857</v>
      </c>
      <c r="AM82">
        <v>1.07599657273857</v>
      </c>
      <c r="AN82">
        <v>1.07948696165566</v>
      </c>
      <c r="AO82">
        <v>1.07679812106107</v>
      </c>
      <c r="AP82">
        <v>1.0689551990234</v>
      </c>
      <c r="AQ82">
        <v>1.05654016651334</v>
      </c>
      <c r="AR82">
        <v>1.03980456733692</v>
      </c>
      <c r="AS82">
        <v>1.01936448955287</v>
      </c>
      <c r="AT82">
        <v>0.995769852597646</v>
      </c>
      <c r="AU82">
        <v>0.96951061340022</v>
      </c>
      <c r="AV82">
        <v>0.94207203750446</v>
      </c>
      <c r="AW82">
        <v>0.914265618141886</v>
      </c>
      <c r="AX82">
        <v>0.886844450563568</v>
      </c>
      <c r="AY82">
        <v>0.860306366326999</v>
      </c>
      <c r="AZ82">
        <v>0</v>
      </c>
      <c r="BA82">
        <v>0</v>
      </c>
      <c r="BB82">
        <v>0</v>
      </c>
      <c r="BC82">
        <v>0</v>
      </c>
      <c r="BD82">
        <v>0</v>
      </c>
      <c r="BE82">
        <v>0</v>
      </c>
      <c r="BF82">
        <v>0</v>
      </c>
      <c r="BG82">
        <v>0</v>
      </c>
      <c r="BI82" t="s">
        <v>273</v>
      </c>
      <c r="BK82">
        <v>1</v>
      </c>
      <c r="BL82">
        <v>0.997560975609757</v>
      </c>
      <c r="BM82">
        <v>0.985365853658537</v>
      </c>
      <c r="BN82">
        <v>0.973170731707317</v>
      </c>
      <c r="BO82">
        <v>0.960975609756098</v>
      </c>
      <c r="BP82">
        <v>0.948780487804878</v>
      </c>
      <c r="BQ82">
        <v>0.936585365853658</v>
      </c>
      <c r="BR82">
        <v>0.924390243902439</v>
      </c>
      <c r="BS82">
        <v>0.91219512195122</v>
      </c>
      <c r="BT82">
        <v>0.9</v>
      </c>
      <c r="BU82">
        <v>0.8875</v>
      </c>
      <c r="BV82">
        <v>0.875000000000001</v>
      </c>
      <c r="BW82">
        <v>0.862500000000001</v>
      </c>
      <c r="BX82">
        <v>0.850000000000001</v>
      </c>
      <c r="BY82">
        <v>0.8375</v>
      </c>
      <c r="BZ82">
        <v>0.825000000000001</v>
      </c>
      <c r="CA82">
        <v>0.812500000000001</v>
      </c>
      <c r="CB82">
        <v>0.800000000000001</v>
      </c>
      <c r="CC82" t="e">
        <v>#VALUE!</v>
      </c>
      <c r="CD82" t="e">
        <v>#VALUE!</v>
      </c>
      <c r="CE82" t="e">
        <v>#VALUE!</v>
      </c>
      <c r="CF82" t="e">
        <v>#VALUE!</v>
      </c>
      <c r="CG82" t="e">
        <v>#VALUE!</v>
      </c>
      <c r="CH82" t="e">
        <v>#VALUE!</v>
      </c>
      <c r="CI82" t="e">
        <v>#VALUE!</v>
      </c>
      <c r="CJ82" t="e">
        <v>#VALUE!</v>
      </c>
    </row>
    <row r="83" spans="1:88">
      <c r="A83" t="s">
        <v>10</v>
      </c>
      <c r="B83" t="s">
        <v>282</v>
      </c>
      <c r="C83" t="s">
        <v>282</v>
      </c>
      <c r="D83">
        <v>16.415</v>
      </c>
      <c r="E83">
        <v>16.4923527738369</v>
      </c>
      <c r="F83">
        <v>16.8743840974053</v>
      </c>
      <c r="G83">
        <v>17.226025783712</v>
      </c>
      <c r="H83">
        <v>17.4779786064686</v>
      </c>
      <c r="I83">
        <v>17.6279910746659</v>
      </c>
      <c r="J83">
        <v>17.6815476899817</v>
      </c>
      <c r="K83">
        <v>17.6408356105644</v>
      </c>
      <c r="L83">
        <v>17.5236294317259</v>
      </c>
      <c r="M83">
        <v>17.3404591862759</v>
      </c>
      <c r="N83">
        <v>17.0966869682277</v>
      </c>
      <c r="O83">
        <v>16.8026168903973</v>
      </c>
      <c r="P83">
        <v>16.4671730450555</v>
      </c>
      <c r="Q83">
        <v>16.0980585156767</v>
      </c>
      <c r="R83">
        <v>15.7164945826101</v>
      </c>
      <c r="S83">
        <v>15.3337838948416</v>
      </c>
      <c r="T83">
        <v>14.9601155891814</v>
      </c>
      <c r="U83">
        <v>14.6019803536801</v>
      </c>
      <c r="V83">
        <v>5</v>
      </c>
      <c r="AF83" s="99" t="s">
        <v>277</v>
      </c>
      <c r="AH83">
        <v>1</v>
      </c>
      <c r="AI83">
        <v>1.00472384407087</v>
      </c>
      <c r="AJ83">
        <v>1.02834306442523</v>
      </c>
      <c r="AK83">
        <v>1.05036327197554</v>
      </c>
      <c r="AL83">
        <v>1.06635006298857</v>
      </c>
      <c r="AM83">
        <v>1.07599657273857</v>
      </c>
      <c r="AN83">
        <v>1.07948696165566</v>
      </c>
      <c r="AO83">
        <v>1.07679812106107</v>
      </c>
      <c r="AP83">
        <v>1.0689551990234</v>
      </c>
      <c r="AQ83">
        <v>1.05654016651334</v>
      </c>
      <c r="AR83">
        <v>1.03980456733692</v>
      </c>
      <c r="AS83">
        <v>1.01936448955287</v>
      </c>
      <c r="AT83">
        <v>0.995769852597646</v>
      </c>
      <c r="AU83">
        <v>0.96951061340022</v>
      </c>
      <c r="AV83">
        <v>0.94207203750446</v>
      </c>
      <c r="AW83">
        <v>0.914265618141886</v>
      </c>
      <c r="AX83">
        <v>0.886844450563568</v>
      </c>
      <c r="AY83">
        <v>0.860306366326999</v>
      </c>
      <c r="AZ83">
        <v>0</v>
      </c>
      <c r="BA83">
        <v>0</v>
      </c>
      <c r="BB83">
        <v>0</v>
      </c>
      <c r="BC83">
        <v>0</v>
      </c>
      <c r="BD83">
        <v>0</v>
      </c>
      <c r="BE83">
        <v>0</v>
      </c>
      <c r="BF83">
        <v>0</v>
      </c>
      <c r="BG83">
        <v>0</v>
      </c>
      <c r="BI83" t="s">
        <v>273</v>
      </c>
      <c r="BK83">
        <v>1</v>
      </c>
      <c r="BL83">
        <v>0.997560975609757</v>
      </c>
      <c r="BM83">
        <v>0.985365853658537</v>
      </c>
      <c r="BN83">
        <v>0.973170731707317</v>
      </c>
      <c r="BO83">
        <v>0.960975609756098</v>
      </c>
      <c r="BP83">
        <v>0.948780487804878</v>
      </c>
      <c r="BQ83">
        <v>0.936585365853658</v>
      </c>
      <c r="BR83">
        <v>0.924390243902439</v>
      </c>
      <c r="BS83">
        <v>0.91219512195122</v>
      </c>
      <c r="BT83">
        <v>0.9</v>
      </c>
      <c r="BU83">
        <v>0.8875</v>
      </c>
      <c r="BV83">
        <v>0.875000000000001</v>
      </c>
      <c r="BW83">
        <v>0.862500000000001</v>
      </c>
      <c r="BX83">
        <v>0.850000000000001</v>
      </c>
      <c r="BY83">
        <v>0.8375</v>
      </c>
      <c r="BZ83">
        <v>0.825000000000001</v>
      </c>
      <c r="CA83">
        <v>0.812500000000001</v>
      </c>
      <c r="CB83">
        <v>0.800000000000001</v>
      </c>
      <c r="CC83" t="e">
        <v>#VALUE!</v>
      </c>
      <c r="CD83" t="e">
        <v>#VALUE!</v>
      </c>
      <c r="CE83" t="e">
        <v>#VALUE!</v>
      </c>
      <c r="CF83" t="e">
        <v>#VALUE!</v>
      </c>
      <c r="CG83" t="e">
        <v>#VALUE!</v>
      </c>
      <c r="CH83" t="e">
        <v>#VALUE!</v>
      </c>
      <c r="CI83" t="e">
        <v>#VALUE!</v>
      </c>
      <c r="CJ83" t="e">
        <v>#VALUE!</v>
      </c>
    </row>
    <row r="84" spans="1:88">
      <c r="A84" t="s">
        <v>10</v>
      </c>
      <c r="B84" t="s">
        <v>283</v>
      </c>
      <c r="C84" t="s">
        <v>283</v>
      </c>
      <c r="D84">
        <v>463.596</v>
      </c>
      <c r="E84">
        <v>458.916777938121</v>
      </c>
      <c r="F84">
        <v>519.864790981081</v>
      </c>
      <c r="G84">
        <v>552.351303546928</v>
      </c>
      <c r="H84">
        <v>616.118477150593</v>
      </c>
      <c r="I84">
        <v>702.404410939197</v>
      </c>
      <c r="J84">
        <v>809.260079309927</v>
      </c>
      <c r="K84">
        <v>933.8098000596</v>
      </c>
      <c r="L84">
        <v>1073.58947904128</v>
      </c>
      <c r="M84">
        <v>1225.78112349894</v>
      </c>
      <c r="N84">
        <v>1391.38807440142</v>
      </c>
      <c r="O84">
        <v>1566.34193666892</v>
      </c>
      <c r="P84">
        <v>1750.88026123174</v>
      </c>
      <c r="Q84">
        <v>1942.04947863317</v>
      </c>
      <c r="R84">
        <v>2138.84370882204</v>
      </c>
      <c r="S84">
        <v>2340.38824623336</v>
      </c>
      <c r="T84">
        <v>2545.4916888418</v>
      </c>
      <c r="U84">
        <v>2752.9135272842</v>
      </c>
      <c r="V84">
        <v>5</v>
      </c>
      <c r="AF84" s="99" t="s">
        <v>284</v>
      </c>
      <c r="AH84">
        <v>1</v>
      </c>
      <c r="AI84">
        <v>0.989882003506034</v>
      </c>
      <c r="AJ84">
        <v>1.12329911576436</v>
      </c>
      <c r="AK84">
        <v>1.19542963615307</v>
      </c>
      <c r="AL84">
        <v>1.339042531438</v>
      </c>
      <c r="AM84">
        <v>1.53669598042394</v>
      </c>
      <c r="AN84">
        <v>1.78629962510875</v>
      </c>
      <c r="AO84">
        <v>2.08370827450451</v>
      </c>
      <c r="AP84">
        <v>2.42563636596461</v>
      </c>
      <c r="AQ84">
        <v>2.80770004072554</v>
      </c>
      <c r="AR84">
        <v>3.23511328802362</v>
      </c>
      <c r="AS84">
        <v>3.70001023930823</v>
      </c>
      <c r="AT84">
        <v>4.20542022670213</v>
      </c>
      <c r="AU84">
        <v>4.74561700414359</v>
      </c>
      <c r="AV84">
        <v>5.31981271029418</v>
      </c>
      <c r="AW84">
        <v>5.92743594906978</v>
      </c>
      <c r="AX84">
        <v>6.5667710395101</v>
      </c>
      <c r="AY84">
        <v>7.23564560685608</v>
      </c>
      <c r="AZ84">
        <v>0</v>
      </c>
      <c r="BA84">
        <v>0</v>
      </c>
      <c r="BB84">
        <v>0</v>
      </c>
      <c r="BC84">
        <v>0</v>
      </c>
      <c r="BD84">
        <v>0</v>
      </c>
      <c r="BE84">
        <v>0</v>
      </c>
      <c r="BF84">
        <v>0</v>
      </c>
      <c r="BG84">
        <v>0</v>
      </c>
      <c r="BI84" t="s">
        <v>273</v>
      </c>
      <c r="BK84">
        <v>1</v>
      </c>
      <c r="BL84">
        <v>0.997560975609757</v>
      </c>
      <c r="BM84">
        <v>0.985365853658537</v>
      </c>
      <c r="BN84">
        <v>0.973170731707317</v>
      </c>
      <c r="BO84">
        <v>0.960975609756098</v>
      </c>
      <c r="BP84">
        <v>0.948780487804878</v>
      </c>
      <c r="BQ84">
        <v>0.936585365853658</v>
      </c>
      <c r="BR84">
        <v>0.924390243902439</v>
      </c>
      <c r="BS84">
        <v>0.91219512195122</v>
      </c>
      <c r="BT84">
        <v>0.9</v>
      </c>
      <c r="BU84">
        <v>0.8875</v>
      </c>
      <c r="BV84">
        <v>0.875000000000001</v>
      </c>
      <c r="BW84">
        <v>0.862500000000001</v>
      </c>
      <c r="BX84">
        <v>0.850000000000001</v>
      </c>
      <c r="BY84">
        <v>0.8375</v>
      </c>
      <c r="BZ84">
        <v>0.825000000000001</v>
      </c>
      <c r="CA84">
        <v>0.812500000000001</v>
      </c>
      <c r="CB84">
        <v>0.800000000000001</v>
      </c>
      <c r="CC84" t="e">
        <v>#VALUE!</v>
      </c>
      <c r="CD84" t="e">
        <v>#VALUE!</v>
      </c>
      <c r="CE84" t="e">
        <v>#VALUE!</v>
      </c>
      <c r="CF84" t="e">
        <v>#VALUE!</v>
      </c>
      <c r="CG84" t="e">
        <v>#VALUE!</v>
      </c>
      <c r="CH84" t="e">
        <v>#VALUE!</v>
      </c>
      <c r="CI84" t="e">
        <v>#VALUE!</v>
      </c>
      <c r="CJ84" t="e">
        <v>#VALUE!</v>
      </c>
    </row>
    <row r="85" spans="1:88">
      <c r="A85" t="s">
        <v>10</v>
      </c>
      <c r="B85" t="s">
        <v>285</v>
      </c>
      <c r="C85" t="s">
        <v>285</v>
      </c>
      <c r="D85">
        <v>220.2</v>
      </c>
      <c r="E85">
        <v>219.004605717371</v>
      </c>
      <c r="F85">
        <v>253.847067776885</v>
      </c>
      <c r="G85">
        <v>275.339593496499</v>
      </c>
      <c r="H85">
        <v>311.637663482662</v>
      </c>
      <c r="I85">
        <v>358.351365400742</v>
      </c>
      <c r="J85">
        <v>414.132358613992</v>
      </c>
      <c r="K85">
        <v>476.757372536125</v>
      </c>
      <c r="L85">
        <v>544.434627193422</v>
      </c>
      <c r="M85">
        <v>615.026265376979</v>
      </c>
      <c r="N85">
        <v>688.156062701103</v>
      </c>
      <c r="O85">
        <v>761.147640687482</v>
      </c>
      <c r="P85">
        <v>833.551096442647</v>
      </c>
      <c r="Q85">
        <v>903.477843171256</v>
      </c>
      <c r="R85">
        <v>971.024476786969</v>
      </c>
      <c r="S85">
        <v>1036.17864519791</v>
      </c>
      <c r="T85">
        <v>1099.01159004118</v>
      </c>
      <c r="U85">
        <v>1159.57616897197</v>
      </c>
      <c r="V85">
        <v>5</v>
      </c>
      <c r="AF85" s="99" t="s">
        <v>272</v>
      </c>
      <c r="AH85">
        <v>1</v>
      </c>
      <c r="AI85">
        <v>0.994558051739161</v>
      </c>
      <c r="AJ85">
        <v>1.15513685497127</v>
      </c>
      <c r="AK85">
        <v>1.25563538404626</v>
      </c>
      <c r="AL85">
        <v>1.42788808774329</v>
      </c>
      <c r="AM85">
        <v>1.65347960827729</v>
      </c>
      <c r="AN85">
        <v>1.9282871549153</v>
      </c>
      <c r="AO85">
        <v>2.24373315482587</v>
      </c>
      <c r="AP85">
        <v>2.59289660433811</v>
      </c>
      <c r="AQ85">
        <v>2.96644786854768</v>
      </c>
      <c r="AR85">
        <v>3.36388557273931</v>
      </c>
      <c r="AS85">
        <v>3.77165904893282</v>
      </c>
      <c r="AT85">
        <v>4.18763067925433</v>
      </c>
      <c r="AU85">
        <v>4.60092605264976</v>
      </c>
      <c r="AV85">
        <v>5.01164679912896</v>
      </c>
      <c r="AW85">
        <v>5.41925089197272</v>
      </c>
      <c r="AX85">
        <v>5.82370445451109</v>
      </c>
      <c r="AY85">
        <v>6.22487198006426</v>
      </c>
      <c r="AZ85">
        <v>0</v>
      </c>
      <c r="BA85">
        <v>0</v>
      </c>
      <c r="BB85">
        <v>0</v>
      </c>
      <c r="BC85">
        <v>0</v>
      </c>
      <c r="BD85">
        <v>0</v>
      </c>
      <c r="BE85">
        <v>0</v>
      </c>
      <c r="BF85">
        <v>0</v>
      </c>
      <c r="BG85">
        <v>0</v>
      </c>
      <c r="BI85" t="s">
        <v>273</v>
      </c>
      <c r="BK85">
        <v>1</v>
      </c>
      <c r="BL85">
        <v>0.997560975609757</v>
      </c>
      <c r="BM85">
        <v>0.985365853658537</v>
      </c>
      <c r="BN85">
        <v>0.973170731707317</v>
      </c>
      <c r="BO85">
        <v>0.960975609756098</v>
      </c>
      <c r="BP85">
        <v>0.948780487804878</v>
      </c>
      <c r="BQ85">
        <v>0.936585365853658</v>
      </c>
      <c r="BR85">
        <v>0.924390243902439</v>
      </c>
      <c r="BS85">
        <v>0.91219512195122</v>
      </c>
      <c r="BT85">
        <v>0.9</v>
      </c>
      <c r="BU85">
        <v>0.8875</v>
      </c>
      <c r="BV85">
        <v>0.875000000000001</v>
      </c>
      <c r="BW85">
        <v>0.862500000000001</v>
      </c>
      <c r="BX85">
        <v>0.850000000000001</v>
      </c>
      <c r="BY85">
        <v>0.8375</v>
      </c>
      <c r="BZ85">
        <v>0.825000000000001</v>
      </c>
      <c r="CA85">
        <v>0.812500000000001</v>
      </c>
      <c r="CB85">
        <v>0.800000000000001</v>
      </c>
      <c r="CC85" t="e">
        <v>#VALUE!</v>
      </c>
      <c r="CD85" t="e">
        <v>#VALUE!</v>
      </c>
      <c r="CE85" t="e">
        <v>#VALUE!</v>
      </c>
      <c r="CF85" t="e">
        <v>#VALUE!</v>
      </c>
      <c r="CG85" t="e">
        <v>#VALUE!</v>
      </c>
      <c r="CH85" t="e">
        <v>#VALUE!</v>
      </c>
      <c r="CI85" t="e">
        <v>#VALUE!</v>
      </c>
      <c r="CJ85" t="e">
        <v>#VALUE!</v>
      </c>
    </row>
    <row r="86" spans="1:88">
      <c r="A86" t="s">
        <v>10</v>
      </c>
      <c r="B86" t="s">
        <v>286</v>
      </c>
      <c r="C86" t="s">
        <v>286</v>
      </c>
      <c r="D86">
        <v>98.64</v>
      </c>
      <c r="E86">
        <v>98.1045154766641</v>
      </c>
      <c r="F86">
        <v>113.712419461907</v>
      </c>
      <c r="G86">
        <v>123.340133980448</v>
      </c>
      <c r="H86">
        <v>139.600086857084</v>
      </c>
      <c r="I86">
        <v>160.525788751722</v>
      </c>
      <c r="J86">
        <v>185.513241842344</v>
      </c>
      <c r="K86">
        <v>213.566517833621</v>
      </c>
      <c r="L86">
        <v>243.882977413075</v>
      </c>
      <c r="M86">
        <v>275.504953754701</v>
      </c>
      <c r="N86">
        <v>308.263914735862</v>
      </c>
      <c r="O86">
        <v>340.960959479624</v>
      </c>
      <c r="P86">
        <v>373.394551104009</v>
      </c>
      <c r="Q86">
        <v>404.718685060911</v>
      </c>
      <c r="R86">
        <v>434.976632108386</v>
      </c>
      <c r="S86">
        <v>464.162859047785</v>
      </c>
      <c r="T86">
        <v>492.309279026621</v>
      </c>
      <c r="U86">
        <v>519.439569970007</v>
      </c>
      <c r="V86">
        <v>5</v>
      </c>
      <c r="AF86" s="99" t="s">
        <v>272</v>
      </c>
      <c r="AH86">
        <v>1</v>
      </c>
      <c r="AI86">
        <v>0.994558051739161</v>
      </c>
      <c r="AJ86">
        <v>1.15513685497127</v>
      </c>
      <c r="AK86">
        <v>1.25563538404626</v>
      </c>
      <c r="AL86">
        <v>1.42788808774329</v>
      </c>
      <c r="AM86">
        <v>1.65347960827729</v>
      </c>
      <c r="AN86">
        <v>1.9282871549153</v>
      </c>
      <c r="AO86">
        <v>2.24373315482587</v>
      </c>
      <c r="AP86">
        <v>2.59289660433811</v>
      </c>
      <c r="AQ86">
        <v>2.96644786854768</v>
      </c>
      <c r="AR86">
        <v>3.36388557273931</v>
      </c>
      <c r="AS86">
        <v>3.77165904893282</v>
      </c>
      <c r="AT86">
        <v>4.18763067925433</v>
      </c>
      <c r="AU86">
        <v>4.60092605264976</v>
      </c>
      <c r="AV86">
        <v>5.01164679912896</v>
      </c>
      <c r="AW86">
        <v>5.41925089197272</v>
      </c>
      <c r="AX86">
        <v>5.82370445451109</v>
      </c>
      <c r="AY86">
        <v>6.22487198006426</v>
      </c>
      <c r="AZ86">
        <v>0</v>
      </c>
      <c r="BA86">
        <v>0</v>
      </c>
      <c r="BB86">
        <v>0</v>
      </c>
      <c r="BC86">
        <v>0</v>
      </c>
      <c r="BD86">
        <v>0</v>
      </c>
      <c r="BE86">
        <v>0</v>
      </c>
      <c r="BF86">
        <v>0</v>
      </c>
      <c r="BG86">
        <v>0</v>
      </c>
      <c r="BI86" t="s">
        <v>273</v>
      </c>
      <c r="BK86">
        <v>1</v>
      </c>
      <c r="BL86">
        <v>0.997560975609757</v>
      </c>
      <c r="BM86">
        <v>0.985365853658537</v>
      </c>
      <c r="BN86">
        <v>0.973170731707317</v>
      </c>
      <c r="BO86">
        <v>0.960975609756098</v>
      </c>
      <c r="BP86">
        <v>0.948780487804878</v>
      </c>
      <c r="BQ86">
        <v>0.936585365853658</v>
      </c>
      <c r="BR86">
        <v>0.924390243902439</v>
      </c>
      <c r="BS86">
        <v>0.91219512195122</v>
      </c>
      <c r="BT86">
        <v>0.9</v>
      </c>
      <c r="BU86">
        <v>0.8875</v>
      </c>
      <c r="BV86">
        <v>0.875000000000001</v>
      </c>
      <c r="BW86">
        <v>0.862500000000001</v>
      </c>
      <c r="BX86">
        <v>0.850000000000001</v>
      </c>
      <c r="BY86">
        <v>0.8375</v>
      </c>
      <c r="BZ86">
        <v>0.825000000000001</v>
      </c>
      <c r="CA86">
        <v>0.812500000000001</v>
      </c>
      <c r="CB86">
        <v>0.800000000000001</v>
      </c>
      <c r="CC86" t="e">
        <v>#VALUE!</v>
      </c>
      <c r="CD86" t="e">
        <v>#VALUE!</v>
      </c>
      <c r="CE86" t="e">
        <v>#VALUE!</v>
      </c>
      <c r="CF86" t="e">
        <v>#VALUE!</v>
      </c>
      <c r="CG86" t="e">
        <v>#VALUE!</v>
      </c>
      <c r="CH86" t="e">
        <v>#VALUE!</v>
      </c>
      <c r="CI86" t="e">
        <v>#VALUE!</v>
      </c>
      <c r="CJ86" t="e">
        <v>#VALUE!</v>
      </c>
    </row>
    <row r="87" spans="1:88">
      <c r="A87" t="s">
        <v>11</v>
      </c>
      <c r="B87" t="s">
        <v>271</v>
      </c>
      <c r="C87" t="s">
        <v>271</v>
      </c>
      <c r="D87">
        <v>1141.7510237796</v>
      </c>
      <c r="E87">
        <v>1188.16711411818</v>
      </c>
      <c r="F87">
        <v>1446.35480551171</v>
      </c>
      <c r="G87">
        <v>1664.1819166085</v>
      </c>
      <c r="H87">
        <v>1847.42141508786</v>
      </c>
      <c r="I87">
        <v>1984.10210359086</v>
      </c>
      <c r="J87">
        <v>2106.71249637627</v>
      </c>
      <c r="K87">
        <v>2214.01630304953</v>
      </c>
      <c r="L87">
        <v>2301.34844183063</v>
      </c>
      <c r="M87">
        <v>2380.44192027291</v>
      </c>
      <c r="N87">
        <v>2450.64741387126</v>
      </c>
      <c r="O87">
        <v>2503.54913526917</v>
      </c>
      <c r="P87">
        <v>2540.49639650444</v>
      </c>
      <c r="Q87">
        <v>2566.03488951151</v>
      </c>
      <c r="R87">
        <v>2583.72330333591</v>
      </c>
      <c r="S87">
        <v>2597.1807447159</v>
      </c>
      <c r="T87">
        <v>2607.44890427797</v>
      </c>
      <c r="U87">
        <v>2612.89723953252</v>
      </c>
      <c r="V87">
        <v>5</v>
      </c>
      <c r="AF87" s="99" t="s">
        <v>272</v>
      </c>
      <c r="AH87">
        <v>1</v>
      </c>
      <c r="AI87">
        <v>1.05112854144243</v>
      </c>
      <c r="AJ87">
        <v>1.34748241570804</v>
      </c>
      <c r="AK87">
        <v>1.61939081647613</v>
      </c>
      <c r="AL87">
        <v>1.86637100263541</v>
      </c>
      <c r="AM87">
        <v>2.06432167722141</v>
      </c>
      <c r="AN87">
        <v>2.25382438235957</v>
      </c>
      <c r="AO87">
        <v>2.43076687895356</v>
      </c>
      <c r="AP87">
        <v>2.58432772042495</v>
      </c>
      <c r="AQ87">
        <v>2.73235938824186</v>
      </c>
      <c r="AR87">
        <v>2.8725062845741</v>
      </c>
      <c r="AS87">
        <v>2.98524868318952</v>
      </c>
      <c r="AT87">
        <v>3.06916517970485</v>
      </c>
      <c r="AU87">
        <v>3.130871115275</v>
      </c>
      <c r="AV87">
        <v>3.17630688746411</v>
      </c>
      <c r="AW87">
        <v>3.21307119895013</v>
      </c>
      <c r="AX87">
        <v>3.24296091942514</v>
      </c>
      <c r="AY87">
        <v>3.25990155657189</v>
      </c>
      <c r="AZ87">
        <v>0</v>
      </c>
      <c r="BA87">
        <v>0</v>
      </c>
      <c r="BB87">
        <v>0</v>
      </c>
      <c r="BC87">
        <v>0</v>
      </c>
      <c r="BD87">
        <v>0</v>
      </c>
      <c r="BE87">
        <v>0</v>
      </c>
      <c r="BF87">
        <v>0</v>
      </c>
      <c r="BG87">
        <v>0</v>
      </c>
      <c r="BI87" t="s">
        <v>288</v>
      </c>
      <c r="BK87">
        <v>0.799999999999999</v>
      </c>
      <c r="BL87">
        <v>0.795121951219512</v>
      </c>
      <c r="BM87">
        <v>0.770731707317072</v>
      </c>
      <c r="BN87">
        <v>0.746341463414634</v>
      </c>
      <c r="BO87">
        <v>0.721951219512194</v>
      </c>
      <c r="BP87">
        <v>0.697560975609756</v>
      </c>
      <c r="BQ87">
        <v>0.673170731707316</v>
      </c>
      <c r="BR87">
        <v>0.648780487804878</v>
      </c>
      <c r="BS87">
        <v>0.62439024390244</v>
      </c>
      <c r="BT87">
        <v>0.6</v>
      </c>
      <c r="BU87">
        <v>0.574999999999999</v>
      </c>
      <c r="BV87">
        <v>0.550000000000001</v>
      </c>
      <c r="BW87">
        <v>0.525</v>
      </c>
      <c r="BX87">
        <v>0.5</v>
      </c>
      <c r="BY87">
        <v>0.475</v>
      </c>
      <c r="BZ87">
        <v>0.449999999999999</v>
      </c>
      <c r="CA87">
        <v>0.425000000000001</v>
      </c>
      <c r="CB87">
        <v>0.4</v>
      </c>
      <c r="CC87" t="e">
        <v>#VALUE!</v>
      </c>
      <c r="CD87" t="e">
        <v>#VALUE!</v>
      </c>
      <c r="CE87" t="e">
        <v>#VALUE!</v>
      </c>
      <c r="CF87" t="e">
        <v>#VALUE!</v>
      </c>
      <c r="CG87" t="e">
        <v>#VALUE!</v>
      </c>
      <c r="CH87" t="e">
        <v>#VALUE!</v>
      </c>
      <c r="CI87" t="e">
        <v>#VALUE!</v>
      </c>
      <c r="CJ87" t="e">
        <v>#VALUE!</v>
      </c>
    </row>
    <row r="88" spans="1:88">
      <c r="A88" t="s">
        <v>11</v>
      </c>
      <c r="B88" t="s">
        <v>274</v>
      </c>
      <c r="C88" t="s">
        <v>274</v>
      </c>
      <c r="D88">
        <v>449.183894364</v>
      </c>
      <c r="E88">
        <v>467.444758409838</v>
      </c>
      <c r="F88">
        <v>569.02010214203</v>
      </c>
      <c r="G88">
        <v>654.716920469916</v>
      </c>
      <c r="H88">
        <v>726.806395157482</v>
      </c>
      <c r="I88">
        <v>780.578857513499</v>
      </c>
      <c r="J88">
        <v>828.815830876162</v>
      </c>
      <c r="K88">
        <v>871.030937985959</v>
      </c>
      <c r="L88">
        <v>905.388857868502</v>
      </c>
      <c r="M88">
        <v>936.50555137309</v>
      </c>
      <c r="N88">
        <v>964.125563410269</v>
      </c>
      <c r="O88">
        <v>984.937982879279</v>
      </c>
      <c r="P88">
        <v>999.473651639007</v>
      </c>
      <c r="Q88">
        <v>1009.52092070747</v>
      </c>
      <c r="R88">
        <v>1016.47983770538</v>
      </c>
      <c r="S88">
        <v>1021.77421958141</v>
      </c>
      <c r="T88">
        <v>1025.81388480087</v>
      </c>
      <c r="U88">
        <v>1027.95735075489</v>
      </c>
      <c r="V88">
        <v>5</v>
      </c>
      <c r="AF88" s="99" t="s">
        <v>272</v>
      </c>
      <c r="AH88">
        <v>1</v>
      </c>
      <c r="AI88">
        <v>1.05112854144243</v>
      </c>
      <c r="AJ88">
        <v>1.34748241570804</v>
      </c>
      <c r="AK88">
        <v>1.61939081647613</v>
      </c>
      <c r="AL88">
        <v>1.86637100263541</v>
      </c>
      <c r="AM88">
        <v>2.06432167722141</v>
      </c>
      <c r="AN88">
        <v>2.25382438235957</v>
      </c>
      <c r="AO88">
        <v>2.43076687895356</v>
      </c>
      <c r="AP88">
        <v>2.58432772042495</v>
      </c>
      <c r="AQ88">
        <v>2.73235938824186</v>
      </c>
      <c r="AR88">
        <v>2.8725062845741</v>
      </c>
      <c r="AS88">
        <v>2.98524868318952</v>
      </c>
      <c r="AT88">
        <v>3.06916517970485</v>
      </c>
      <c r="AU88">
        <v>3.130871115275</v>
      </c>
      <c r="AV88">
        <v>3.17630688746411</v>
      </c>
      <c r="AW88">
        <v>3.21307119895013</v>
      </c>
      <c r="AX88">
        <v>3.24296091942514</v>
      </c>
      <c r="AY88">
        <v>3.25990155657189</v>
      </c>
      <c r="AZ88">
        <v>0</v>
      </c>
      <c r="BA88">
        <v>0</v>
      </c>
      <c r="BB88">
        <v>0</v>
      </c>
      <c r="BC88">
        <v>0</v>
      </c>
      <c r="BD88">
        <v>0</v>
      </c>
      <c r="BE88">
        <v>0</v>
      </c>
      <c r="BF88">
        <v>0</v>
      </c>
      <c r="BG88">
        <v>0</v>
      </c>
      <c r="BI88" t="s">
        <v>288</v>
      </c>
      <c r="BK88">
        <v>0.799999999999999</v>
      </c>
      <c r="BL88">
        <v>0.795121951219512</v>
      </c>
      <c r="BM88">
        <v>0.770731707317072</v>
      </c>
      <c r="BN88">
        <v>0.746341463414634</v>
      </c>
      <c r="BO88">
        <v>0.721951219512194</v>
      </c>
      <c r="BP88">
        <v>0.697560975609756</v>
      </c>
      <c r="BQ88">
        <v>0.673170731707316</v>
      </c>
      <c r="BR88">
        <v>0.648780487804878</v>
      </c>
      <c r="BS88">
        <v>0.62439024390244</v>
      </c>
      <c r="BT88">
        <v>0.6</v>
      </c>
      <c r="BU88">
        <v>0.574999999999999</v>
      </c>
      <c r="BV88">
        <v>0.550000000000001</v>
      </c>
      <c r="BW88">
        <v>0.525</v>
      </c>
      <c r="BX88">
        <v>0.5</v>
      </c>
      <c r="BY88">
        <v>0.475</v>
      </c>
      <c r="BZ88">
        <v>0.449999999999999</v>
      </c>
      <c r="CA88">
        <v>0.425000000000001</v>
      </c>
      <c r="CB88">
        <v>0.4</v>
      </c>
      <c r="CC88" t="e">
        <v>#VALUE!</v>
      </c>
      <c r="CD88" t="e">
        <v>#VALUE!</v>
      </c>
      <c r="CE88" t="e">
        <v>#VALUE!</v>
      </c>
      <c r="CF88" t="e">
        <v>#VALUE!</v>
      </c>
      <c r="CG88" t="e">
        <v>#VALUE!</v>
      </c>
      <c r="CH88" t="e">
        <v>#VALUE!</v>
      </c>
      <c r="CI88" t="e">
        <v>#VALUE!</v>
      </c>
      <c r="CJ88" t="e">
        <v>#VALUE!</v>
      </c>
    </row>
    <row r="89" spans="1:88">
      <c r="A89" t="s">
        <v>11</v>
      </c>
      <c r="B89" t="s">
        <v>275</v>
      </c>
      <c r="C89" t="s">
        <v>275</v>
      </c>
      <c r="D89">
        <v>138.68937280368</v>
      </c>
      <c r="E89">
        <v>144.327570907279</v>
      </c>
      <c r="F89">
        <v>175.689827861043</v>
      </c>
      <c r="G89">
        <v>202.149454161745</v>
      </c>
      <c r="H89">
        <v>224.407696622378</v>
      </c>
      <c r="I89">
        <v>241.010404715518</v>
      </c>
      <c r="J89">
        <v>255.903983193188</v>
      </c>
      <c r="K89">
        <v>268.938258912685</v>
      </c>
      <c r="L89">
        <v>279.546560811167</v>
      </c>
      <c r="M89">
        <v>289.154106317637</v>
      </c>
      <c r="N89">
        <v>297.682021486301</v>
      </c>
      <c r="O89">
        <v>304.108034170418</v>
      </c>
      <c r="P89">
        <v>308.596046338404</v>
      </c>
      <c r="Q89">
        <v>311.698226676966</v>
      </c>
      <c r="R89">
        <v>313.846851874671</v>
      </c>
      <c r="S89">
        <v>315.481537603573</v>
      </c>
      <c r="T89">
        <v>316.728818823254</v>
      </c>
      <c r="U89">
        <v>317.390632286557</v>
      </c>
      <c r="V89">
        <v>5</v>
      </c>
      <c r="AF89" s="99" t="s">
        <v>272</v>
      </c>
      <c r="AH89">
        <v>1</v>
      </c>
      <c r="AI89">
        <v>1.05112854144243</v>
      </c>
      <c r="AJ89">
        <v>1.34748241570804</v>
      </c>
      <c r="AK89">
        <v>1.61939081647613</v>
      </c>
      <c r="AL89">
        <v>1.86637100263541</v>
      </c>
      <c r="AM89">
        <v>2.06432167722141</v>
      </c>
      <c r="AN89">
        <v>2.25382438235957</v>
      </c>
      <c r="AO89">
        <v>2.43076687895356</v>
      </c>
      <c r="AP89">
        <v>2.58432772042495</v>
      </c>
      <c r="AQ89">
        <v>2.73235938824186</v>
      </c>
      <c r="AR89">
        <v>2.8725062845741</v>
      </c>
      <c r="AS89">
        <v>2.98524868318952</v>
      </c>
      <c r="AT89">
        <v>3.06916517970485</v>
      </c>
      <c r="AU89">
        <v>3.130871115275</v>
      </c>
      <c r="AV89">
        <v>3.17630688746411</v>
      </c>
      <c r="AW89">
        <v>3.21307119895013</v>
      </c>
      <c r="AX89">
        <v>3.24296091942514</v>
      </c>
      <c r="AY89">
        <v>3.25990155657189</v>
      </c>
      <c r="AZ89">
        <v>0</v>
      </c>
      <c r="BA89">
        <v>0</v>
      </c>
      <c r="BB89">
        <v>0</v>
      </c>
      <c r="BC89">
        <v>0</v>
      </c>
      <c r="BD89">
        <v>0</v>
      </c>
      <c r="BE89">
        <v>0</v>
      </c>
      <c r="BF89">
        <v>0</v>
      </c>
      <c r="BG89">
        <v>0</v>
      </c>
      <c r="BI89" t="s">
        <v>288</v>
      </c>
      <c r="BK89">
        <v>0.799999999999999</v>
      </c>
      <c r="BL89">
        <v>0.795121951219512</v>
      </c>
      <c r="BM89">
        <v>0.770731707317072</v>
      </c>
      <c r="BN89">
        <v>0.746341463414634</v>
      </c>
      <c r="BO89">
        <v>0.721951219512194</v>
      </c>
      <c r="BP89">
        <v>0.697560975609756</v>
      </c>
      <c r="BQ89">
        <v>0.673170731707316</v>
      </c>
      <c r="BR89">
        <v>0.648780487804878</v>
      </c>
      <c r="BS89">
        <v>0.62439024390244</v>
      </c>
      <c r="BT89">
        <v>0.6</v>
      </c>
      <c r="BU89">
        <v>0.574999999999999</v>
      </c>
      <c r="BV89">
        <v>0.550000000000001</v>
      </c>
      <c r="BW89">
        <v>0.525</v>
      </c>
      <c r="BX89">
        <v>0.5</v>
      </c>
      <c r="BY89">
        <v>0.475</v>
      </c>
      <c r="BZ89">
        <v>0.449999999999999</v>
      </c>
      <c r="CA89">
        <v>0.425000000000001</v>
      </c>
      <c r="CB89">
        <v>0.4</v>
      </c>
      <c r="CC89" t="e">
        <v>#VALUE!</v>
      </c>
      <c r="CD89" t="e">
        <v>#VALUE!</v>
      </c>
      <c r="CE89" t="e">
        <v>#VALUE!</v>
      </c>
      <c r="CF89" t="e">
        <v>#VALUE!</v>
      </c>
      <c r="CG89" t="e">
        <v>#VALUE!</v>
      </c>
      <c r="CH89" t="e">
        <v>#VALUE!</v>
      </c>
      <c r="CI89" t="e">
        <v>#VALUE!</v>
      </c>
      <c r="CJ89" t="e">
        <v>#VALUE!</v>
      </c>
    </row>
    <row r="90" spans="1:88">
      <c r="A90" t="s">
        <v>11</v>
      </c>
      <c r="B90" t="s">
        <v>276</v>
      </c>
      <c r="C90" t="s">
        <v>276</v>
      </c>
      <c r="D90">
        <v>326.52113141232</v>
      </c>
      <c r="E90">
        <v>326.607668327134</v>
      </c>
      <c r="F90">
        <v>327.027051736506</v>
      </c>
      <c r="G90">
        <v>325.299177553765</v>
      </c>
      <c r="H90">
        <v>322.411094673057</v>
      </c>
      <c r="I90">
        <v>318.688567557196</v>
      </c>
      <c r="J90">
        <v>313.951319914982</v>
      </c>
      <c r="K90">
        <v>308.001346625873</v>
      </c>
      <c r="L90">
        <v>300.869605088267</v>
      </c>
      <c r="M90">
        <v>293.064046440097</v>
      </c>
      <c r="N90">
        <v>285.155890071966</v>
      </c>
      <c r="O90">
        <v>277.62139809355</v>
      </c>
      <c r="P90">
        <v>270.551872174255</v>
      </c>
      <c r="Q90">
        <v>263.771591698681</v>
      </c>
      <c r="R90">
        <v>257.289891822141</v>
      </c>
      <c r="S90">
        <v>251.325639160414</v>
      </c>
      <c r="T90">
        <v>245.954334302605</v>
      </c>
      <c r="U90">
        <v>240.985198947612</v>
      </c>
      <c r="V90">
        <v>5</v>
      </c>
      <c r="AF90" s="99" t="s">
        <v>277</v>
      </c>
      <c r="AH90">
        <v>1</v>
      </c>
      <c r="AI90">
        <v>1.00033331616148</v>
      </c>
      <c r="AJ90">
        <v>1.0019998969689</v>
      </c>
      <c r="AK90">
        <v>0.994906430115937</v>
      </c>
      <c r="AL90">
        <v>0.98267151190847</v>
      </c>
      <c r="AM90">
        <v>0.966406511398471</v>
      </c>
      <c r="AN90">
        <v>0.945066520676171</v>
      </c>
      <c r="AO90">
        <v>0.917459642340542</v>
      </c>
      <c r="AP90">
        <v>0.883436545527019</v>
      </c>
      <c r="AQ90">
        <v>0.84523773973525</v>
      </c>
      <c r="AR90">
        <v>0.805571252552421</v>
      </c>
      <c r="AS90">
        <v>0.766871080268876</v>
      </c>
      <c r="AT90">
        <v>0.729674722955349</v>
      </c>
      <c r="AU90">
        <v>0.693102074332999</v>
      </c>
      <c r="AV90">
        <v>0.65724585573511</v>
      </c>
      <c r="AW90">
        <v>0.623388841880121</v>
      </c>
      <c r="AX90">
        <v>0.592040606359808</v>
      </c>
      <c r="AY90">
        <v>0.562137393665917</v>
      </c>
      <c r="AZ90">
        <v>0</v>
      </c>
      <c r="BA90">
        <v>0</v>
      </c>
      <c r="BB90">
        <v>0</v>
      </c>
      <c r="BC90">
        <v>0</v>
      </c>
      <c r="BD90">
        <v>0</v>
      </c>
      <c r="BE90">
        <v>0</v>
      </c>
      <c r="BF90">
        <v>0</v>
      </c>
      <c r="BG90">
        <v>0</v>
      </c>
      <c r="BI90" t="s">
        <v>288</v>
      </c>
      <c r="BK90">
        <v>0.799999999999999</v>
      </c>
      <c r="BL90">
        <v>0.795121951219512</v>
      </c>
      <c r="BM90">
        <v>0.770731707317072</v>
      </c>
      <c r="BN90">
        <v>0.746341463414634</v>
      </c>
      <c r="BO90">
        <v>0.721951219512194</v>
      </c>
      <c r="BP90">
        <v>0.697560975609756</v>
      </c>
      <c r="BQ90">
        <v>0.673170731707316</v>
      </c>
      <c r="BR90">
        <v>0.648780487804878</v>
      </c>
      <c r="BS90">
        <v>0.62439024390244</v>
      </c>
      <c r="BT90">
        <v>0.6</v>
      </c>
      <c r="BU90">
        <v>0.574999999999999</v>
      </c>
      <c r="BV90">
        <v>0.550000000000001</v>
      </c>
      <c r="BW90">
        <v>0.525</v>
      </c>
      <c r="BX90">
        <v>0.5</v>
      </c>
      <c r="BY90">
        <v>0.475</v>
      </c>
      <c r="BZ90">
        <v>0.449999999999999</v>
      </c>
      <c r="CA90">
        <v>0.425000000000001</v>
      </c>
      <c r="CB90">
        <v>0.4</v>
      </c>
      <c r="CC90" t="e">
        <v>#VALUE!</v>
      </c>
      <c r="CD90" t="e">
        <v>#VALUE!</v>
      </c>
      <c r="CE90" t="e">
        <v>#VALUE!</v>
      </c>
      <c r="CF90" t="e">
        <v>#VALUE!</v>
      </c>
      <c r="CG90" t="e">
        <v>#VALUE!</v>
      </c>
      <c r="CH90" t="e">
        <v>#VALUE!</v>
      </c>
      <c r="CI90" t="e">
        <v>#VALUE!</v>
      </c>
      <c r="CJ90" t="e">
        <v>#VALUE!</v>
      </c>
    </row>
    <row r="91" spans="1:88">
      <c r="A91" t="s">
        <v>11</v>
      </c>
      <c r="B91" t="s">
        <v>278</v>
      </c>
      <c r="C91" t="s">
        <v>278</v>
      </c>
      <c r="D91">
        <v>1018.0260679932</v>
      </c>
      <c r="E91">
        <v>1059.41231504256</v>
      </c>
      <c r="F91">
        <v>1289.62169939984</v>
      </c>
      <c r="G91">
        <v>1483.84414614493</v>
      </c>
      <c r="H91">
        <v>1647.22703983437</v>
      </c>
      <c r="I91">
        <v>1769.09643253848</v>
      </c>
      <c r="J91">
        <v>1878.42024610444</v>
      </c>
      <c r="K91">
        <v>1974.09615977839</v>
      </c>
      <c r="L91">
        <v>2051.96461971499</v>
      </c>
      <c r="M91">
        <v>2122.48719529014</v>
      </c>
      <c r="N91">
        <v>2185.08492554035</v>
      </c>
      <c r="O91">
        <v>2232.25399331706</v>
      </c>
      <c r="P91">
        <v>2265.1974935155</v>
      </c>
      <c r="Q91">
        <v>2287.96852772259</v>
      </c>
      <c r="R91">
        <v>2303.74015043161</v>
      </c>
      <c r="S91">
        <v>2315.73928671262</v>
      </c>
      <c r="T91">
        <v>2324.89474520295</v>
      </c>
      <c r="U91">
        <v>2329.75267587328</v>
      </c>
      <c r="V91">
        <v>5</v>
      </c>
      <c r="AF91" s="99" t="s">
        <v>272</v>
      </c>
      <c r="AH91">
        <v>1</v>
      </c>
      <c r="AI91">
        <v>1.05112854144243</v>
      </c>
      <c r="AJ91">
        <v>1.34748241570804</v>
      </c>
      <c r="AK91">
        <v>1.61939081647613</v>
      </c>
      <c r="AL91">
        <v>1.86637100263541</v>
      </c>
      <c r="AM91">
        <v>2.06432167722141</v>
      </c>
      <c r="AN91">
        <v>2.25382438235957</v>
      </c>
      <c r="AO91">
        <v>2.43076687895356</v>
      </c>
      <c r="AP91">
        <v>2.58432772042495</v>
      </c>
      <c r="AQ91">
        <v>2.73235938824186</v>
      </c>
      <c r="AR91">
        <v>2.8725062845741</v>
      </c>
      <c r="AS91">
        <v>2.98524868318952</v>
      </c>
      <c r="AT91">
        <v>3.06916517970485</v>
      </c>
      <c r="AU91">
        <v>3.130871115275</v>
      </c>
      <c r="AV91">
        <v>3.17630688746411</v>
      </c>
      <c r="AW91">
        <v>3.21307119895013</v>
      </c>
      <c r="AX91">
        <v>3.24296091942514</v>
      </c>
      <c r="AY91">
        <v>3.25990155657189</v>
      </c>
      <c r="AZ91">
        <v>0</v>
      </c>
      <c r="BA91">
        <v>0</v>
      </c>
      <c r="BB91">
        <v>0</v>
      </c>
      <c r="BC91">
        <v>0</v>
      </c>
      <c r="BD91">
        <v>0</v>
      </c>
      <c r="BE91">
        <v>0</v>
      </c>
      <c r="BF91">
        <v>0</v>
      </c>
      <c r="BG91">
        <v>0</v>
      </c>
      <c r="BI91" t="s">
        <v>288</v>
      </c>
      <c r="BK91">
        <v>0.799999999999999</v>
      </c>
      <c r="BL91">
        <v>0.795121951219512</v>
      </c>
      <c r="BM91">
        <v>0.770731707317072</v>
      </c>
      <c r="BN91">
        <v>0.746341463414634</v>
      </c>
      <c r="BO91">
        <v>0.721951219512194</v>
      </c>
      <c r="BP91">
        <v>0.697560975609756</v>
      </c>
      <c r="BQ91">
        <v>0.673170731707316</v>
      </c>
      <c r="BR91">
        <v>0.648780487804878</v>
      </c>
      <c r="BS91">
        <v>0.62439024390244</v>
      </c>
      <c r="BT91">
        <v>0.6</v>
      </c>
      <c r="BU91">
        <v>0.574999999999999</v>
      </c>
      <c r="BV91">
        <v>0.550000000000001</v>
      </c>
      <c r="BW91">
        <v>0.525</v>
      </c>
      <c r="BX91">
        <v>0.5</v>
      </c>
      <c r="BY91">
        <v>0.475</v>
      </c>
      <c r="BZ91">
        <v>0.449999999999999</v>
      </c>
      <c r="CA91">
        <v>0.425000000000001</v>
      </c>
      <c r="CB91">
        <v>0.4</v>
      </c>
      <c r="CC91" t="e">
        <v>#VALUE!</v>
      </c>
      <c r="CD91" t="e">
        <v>#VALUE!</v>
      </c>
      <c r="CE91" t="e">
        <v>#VALUE!</v>
      </c>
      <c r="CF91" t="e">
        <v>#VALUE!</v>
      </c>
      <c r="CG91" t="e">
        <v>#VALUE!</v>
      </c>
      <c r="CH91" t="e">
        <v>#VALUE!</v>
      </c>
      <c r="CI91" t="e">
        <v>#VALUE!</v>
      </c>
      <c r="CJ91" t="e">
        <v>#VALUE!</v>
      </c>
    </row>
    <row r="92" spans="1:88">
      <c r="A92" t="s">
        <v>11</v>
      </c>
      <c r="B92" t="s">
        <v>279</v>
      </c>
      <c r="C92" t="s">
        <v>279</v>
      </c>
      <c r="D92">
        <v>475.6065128352</v>
      </c>
      <c r="E92">
        <v>494.941546836131</v>
      </c>
      <c r="F92">
        <v>602.491919030368</v>
      </c>
      <c r="G92">
        <v>693.229733625672</v>
      </c>
      <c r="H92">
        <v>769.559771497624</v>
      </c>
      <c r="I92">
        <v>826.49532423804</v>
      </c>
      <c r="J92">
        <v>877.569770536307</v>
      </c>
      <c r="K92">
        <v>922.268122666414</v>
      </c>
      <c r="L92">
        <v>958.647099447727</v>
      </c>
      <c r="M92">
        <v>991.594189212895</v>
      </c>
      <c r="N92">
        <v>1020.83891008177</v>
      </c>
      <c r="O92">
        <v>1042.8755912084</v>
      </c>
      <c r="P92">
        <v>1058.26630048646</v>
      </c>
      <c r="Q92">
        <v>1068.90458619778</v>
      </c>
      <c r="R92">
        <v>1076.27285181909</v>
      </c>
      <c r="S92">
        <v>1081.87866835274</v>
      </c>
      <c r="T92">
        <v>1086.15596126586</v>
      </c>
      <c r="U92">
        <v>1088.4255136264</v>
      </c>
      <c r="V92">
        <v>5</v>
      </c>
      <c r="AF92" s="99" t="s">
        <v>272</v>
      </c>
      <c r="AH92">
        <v>1</v>
      </c>
      <c r="AI92">
        <v>1.05112854144243</v>
      </c>
      <c r="AJ92">
        <v>1.34748241570804</v>
      </c>
      <c r="AK92">
        <v>1.61939081647613</v>
      </c>
      <c r="AL92">
        <v>1.86637100263541</v>
      </c>
      <c r="AM92">
        <v>2.06432167722141</v>
      </c>
      <c r="AN92">
        <v>2.25382438235957</v>
      </c>
      <c r="AO92">
        <v>2.43076687895356</v>
      </c>
      <c r="AP92">
        <v>2.58432772042495</v>
      </c>
      <c r="AQ92">
        <v>2.73235938824186</v>
      </c>
      <c r="AR92">
        <v>2.8725062845741</v>
      </c>
      <c r="AS92">
        <v>2.98524868318952</v>
      </c>
      <c r="AT92">
        <v>3.06916517970485</v>
      </c>
      <c r="AU92">
        <v>3.130871115275</v>
      </c>
      <c r="AV92">
        <v>3.17630688746411</v>
      </c>
      <c r="AW92">
        <v>3.21307119895013</v>
      </c>
      <c r="AX92">
        <v>3.24296091942514</v>
      </c>
      <c r="AY92">
        <v>3.25990155657189</v>
      </c>
      <c r="AZ92">
        <v>0</v>
      </c>
      <c r="BA92">
        <v>0</v>
      </c>
      <c r="BB92">
        <v>0</v>
      </c>
      <c r="BC92">
        <v>0</v>
      </c>
      <c r="BD92">
        <v>0</v>
      </c>
      <c r="BE92">
        <v>0</v>
      </c>
      <c r="BF92">
        <v>0</v>
      </c>
      <c r="BG92">
        <v>0</v>
      </c>
      <c r="BI92" t="s">
        <v>288</v>
      </c>
      <c r="BK92">
        <v>0.799999999999999</v>
      </c>
      <c r="BL92">
        <v>0.795121951219512</v>
      </c>
      <c r="BM92">
        <v>0.770731707317072</v>
      </c>
      <c r="BN92">
        <v>0.746341463414634</v>
      </c>
      <c r="BO92">
        <v>0.721951219512194</v>
      </c>
      <c r="BP92">
        <v>0.697560975609756</v>
      </c>
      <c r="BQ92">
        <v>0.673170731707316</v>
      </c>
      <c r="BR92">
        <v>0.648780487804878</v>
      </c>
      <c r="BS92">
        <v>0.62439024390244</v>
      </c>
      <c r="BT92">
        <v>0.6</v>
      </c>
      <c r="BU92">
        <v>0.574999999999999</v>
      </c>
      <c r="BV92">
        <v>0.550000000000001</v>
      </c>
      <c r="BW92">
        <v>0.525</v>
      </c>
      <c r="BX92">
        <v>0.5</v>
      </c>
      <c r="BY92">
        <v>0.475</v>
      </c>
      <c r="BZ92">
        <v>0.449999999999999</v>
      </c>
      <c r="CA92">
        <v>0.425000000000001</v>
      </c>
      <c r="CB92">
        <v>0.4</v>
      </c>
      <c r="CC92" t="e">
        <v>#VALUE!</v>
      </c>
      <c r="CD92" t="e">
        <v>#VALUE!</v>
      </c>
      <c r="CE92" t="e">
        <v>#VALUE!</v>
      </c>
      <c r="CF92" t="e">
        <v>#VALUE!</v>
      </c>
      <c r="CG92" t="e">
        <v>#VALUE!</v>
      </c>
      <c r="CH92" t="e">
        <v>#VALUE!</v>
      </c>
      <c r="CI92" t="e">
        <v>#VALUE!</v>
      </c>
      <c r="CJ92" t="e">
        <v>#VALUE!</v>
      </c>
    </row>
    <row r="93" spans="1:88">
      <c r="A93" t="s">
        <v>11</v>
      </c>
      <c r="B93" t="s">
        <v>280</v>
      </c>
      <c r="C93" t="s">
        <v>280</v>
      </c>
      <c r="D93">
        <v>1604.309</v>
      </c>
      <c r="E93">
        <v>1604.73418519603</v>
      </c>
      <c r="F93">
        <v>1606.79475804532</v>
      </c>
      <c r="G93">
        <v>1598.30512648533</v>
      </c>
      <c r="H93">
        <v>1584.11499631451</v>
      </c>
      <c r="I93">
        <v>1565.82495876353</v>
      </c>
      <c r="J93">
        <v>1542.5492553052</v>
      </c>
      <c r="K93">
        <v>1513.31501966419</v>
      </c>
      <c r="L93">
        <v>1478.27435603251</v>
      </c>
      <c r="M93">
        <v>1439.9230005318</v>
      </c>
      <c r="N93">
        <v>1401.06754765522</v>
      </c>
      <c r="O93">
        <v>1364.0480345869</v>
      </c>
      <c r="P93">
        <v>1329.3130573773</v>
      </c>
      <c r="Q93">
        <v>1295.99924107868</v>
      </c>
      <c r="R93">
        <v>1264.15245247344</v>
      </c>
      <c r="S93">
        <v>1234.84805743446</v>
      </c>
      <c r="T93">
        <v>1208.45701594855</v>
      </c>
      <c r="U93">
        <v>1184.041969554</v>
      </c>
      <c r="V93">
        <v>5</v>
      </c>
      <c r="AF93" s="99" t="s">
        <v>277</v>
      </c>
      <c r="AH93">
        <v>1</v>
      </c>
      <c r="AI93">
        <v>1.00033331616148</v>
      </c>
      <c r="AJ93">
        <v>1.0019998969689</v>
      </c>
      <c r="AK93">
        <v>0.994906430115937</v>
      </c>
      <c r="AL93">
        <v>0.98267151190847</v>
      </c>
      <c r="AM93">
        <v>0.966406511398471</v>
      </c>
      <c r="AN93">
        <v>0.945066520676171</v>
      </c>
      <c r="AO93">
        <v>0.917459642340542</v>
      </c>
      <c r="AP93">
        <v>0.883436545527019</v>
      </c>
      <c r="AQ93">
        <v>0.84523773973525</v>
      </c>
      <c r="AR93">
        <v>0.805571252552421</v>
      </c>
      <c r="AS93">
        <v>0.766871080268876</v>
      </c>
      <c r="AT93">
        <v>0.729674722955349</v>
      </c>
      <c r="AU93">
        <v>0.693102074332999</v>
      </c>
      <c r="AV93">
        <v>0.65724585573511</v>
      </c>
      <c r="AW93">
        <v>0.623388841880121</v>
      </c>
      <c r="AX93">
        <v>0.592040606359808</v>
      </c>
      <c r="AY93">
        <v>0.562137393665917</v>
      </c>
      <c r="AZ93">
        <v>0</v>
      </c>
      <c r="BA93">
        <v>0</v>
      </c>
      <c r="BB93">
        <v>0</v>
      </c>
      <c r="BC93">
        <v>0</v>
      </c>
      <c r="BD93">
        <v>0</v>
      </c>
      <c r="BE93">
        <v>0</v>
      </c>
      <c r="BF93">
        <v>0</v>
      </c>
      <c r="BG93">
        <v>0</v>
      </c>
      <c r="BI93" t="s">
        <v>288</v>
      </c>
      <c r="BK93">
        <v>0.799999999999999</v>
      </c>
      <c r="BL93">
        <v>0.795121951219512</v>
      </c>
      <c r="BM93">
        <v>0.770731707317072</v>
      </c>
      <c r="BN93">
        <v>0.746341463414634</v>
      </c>
      <c r="BO93">
        <v>0.721951219512194</v>
      </c>
      <c r="BP93">
        <v>0.697560975609756</v>
      </c>
      <c r="BQ93">
        <v>0.673170731707316</v>
      </c>
      <c r="BR93">
        <v>0.648780487804878</v>
      </c>
      <c r="BS93">
        <v>0.62439024390244</v>
      </c>
      <c r="BT93">
        <v>0.6</v>
      </c>
      <c r="BU93">
        <v>0.574999999999999</v>
      </c>
      <c r="BV93">
        <v>0.550000000000001</v>
      </c>
      <c r="BW93">
        <v>0.525</v>
      </c>
      <c r="BX93">
        <v>0.5</v>
      </c>
      <c r="BY93">
        <v>0.475</v>
      </c>
      <c r="BZ93">
        <v>0.449999999999999</v>
      </c>
      <c r="CA93">
        <v>0.425000000000001</v>
      </c>
      <c r="CB93">
        <v>0.4</v>
      </c>
      <c r="CC93" t="e">
        <v>#VALUE!</v>
      </c>
      <c r="CD93" t="e">
        <v>#VALUE!</v>
      </c>
      <c r="CE93" t="e">
        <v>#VALUE!</v>
      </c>
      <c r="CF93" t="e">
        <v>#VALUE!</v>
      </c>
      <c r="CG93" t="e">
        <v>#VALUE!</v>
      </c>
      <c r="CH93" t="e">
        <v>#VALUE!</v>
      </c>
      <c r="CI93" t="e">
        <v>#VALUE!</v>
      </c>
      <c r="CJ93" t="e">
        <v>#VALUE!</v>
      </c>
    </row>
    <row r="94" spans="1:88">
      <c r="A94" t="s">
        <v>11</v>
      </c>
      <c r="B94" t="s">
        <v>281</v>
      </c>
      <c r="C94" t="s">
        <v>281</v>
      </c>
      <c r="D94">
        <v>138.03</v>
      </c>
      <c r="E94">
        <v>138.066581676353</v>
      </c>
      <c r="F94">
        <v>138.243867268086</v>
      </c>
      <c r="G94">
        <v>137.513444485302</v>
      </c>
      <c r="H94">
        <v>136.292567667009</v>
      </c>
      <c r="I94">
        <v>134.718946947334</v>
      </c>
      <c r="J94">
        <v>132.716374283119</v>
      </c>
      <c r="K94">
        <v>130.201147138268</v>
      </c>
      <c r="L94">
        <v>127.18635210746</v>
      </c>
      <c r="M94">
        <v>123.886714942947</v>
      </c>
      <c r="N94">
        <v>120.54370673159</v>
      </c>
      <c r="O94">
        <v>117.358657349694</v>
      </c>
      <c r="P94">
        <v>114.370162674266</v>
      </c>
      <c r="Q94">
        <v>111.503940479104</v>
      </c>
      <c r="R94">
        <v>108.763937006468</v>
      </c>
      <c r="S94">
        <v>106.242673554582</v>
      </c>
      <c r="T94">
        <v>103.972066423226</v>
      </c>
      <c r="U94">
        <v>101.871468063533</v>
      </c>
      <c r="V94">
        <v>5</v>
      </c>
      <c r="AF94" s="99" t="s">
        <v>277</v>
      </c>
      <c r="AH94">
        <v>1</v>
      </c>
      <c r="AI94">
        <v>1.00033331616148</v>
      </c>
      <c r="AJ94">
        <v>1.0019998969689</v>
      </c>
      <c r="AK94">
        <v>0.994906430115937</v>
      </c>
      <c r="AL94">
        <v>0.98267151190847</v>
      </c>
      <c r="AM94">
        <v>0.966406511398471</v>
      </c>
      <c r="AN94">
        <v>0.945066520676171</v>
      </c>
      <c r="AO94">
        <v>0.917459642340542</v>
      </c>
      <c r="AP94">
        <v>0.883436545527019</v>
      </c>
      <c r="AQ94">
        <v>0.84523773973525</v>
      </c>
      <c r="AR94">
        <v>0.805571252552421</v>
      </c>
      <c r="AS94">
        <v>0.766871080268876</v>
      </c>
      <c r="AT94">
        <v>0.729674722955349</v>
      </c>
      <c r="AU94">
        <v>0.693102074332999</v>
      </c>
      <c r="AV94">
        <v>0.65724585573511</v>
      </c>
      <c r="AW94">
        <v>0.623388841880121</v>
      </c>
      <c r="AX94">
        <v>0.592040606359808</v>
      </c>
      <c r="AY94">
        <v>0.562137393665917</v>
      </c>
      <c r="AZ94">
        <v>0</v>
      </c>
      <c r="BA94">
        <v>0</v>
      </c>
      <c r="BB94">
        <v>0</v>
      </c>
      <c r="BC94">
        <v>0</v>
      </c>
      <c r="BD94">
        <v>0</v>
      </c>
      <c r="BE94">
        <v>0</v>
      </c>
      <c r="BF94">
        <v>0</v>
      </c>
      <c r="BG94">
        <v>0</v>
      </c>
      <c r="BI94" t="s">
        <v>288</v>
      </c>
      <c r="BK94">
        <v>0.799999999999999</v>
      </c>
      <c r="BL94">
        <v>0.795121951219512</v>
      </c>
      <c r="BM94">
        <v>0.770731707317072</v>
      </c>
      <c r="BN94">
        <v>0.746341463414634</v>
      </c>
      <c r="BO94">
        <v>0.721951219512194</v>
      </c>
      <c r="BP94">
        <v>0.697560975609756</v>
      </c>
      <c r="BQ94">
        <v>0.673170731707316</v>
      </c>
      <c r="BR94">
        <v>0.648780487804878</v>
      </c>
      <c r="BS94">
        <v>0.62439024390244</v>
      </c>
      <c r="BT94">
        <v>0.6</v>
      </c>
      <c r="BU94">
        <v>0.574999999999999</v>
      </c>
      <c r="BV94">
        <v>0.550000000000001</v>
      </c>
      <c r="BW94">
        <v>0.525</v>
      </c>
      <c r="BX94">
        <v>0.5</v>
      </c>
      <c r="BY94">
        <v>0.475</v>
      </c>
      <c r="BZ94">
        <v>0.449999999999999</v>
      </c>
      <c r="CA94">
        <v>0.425000000000001</v>
      </c>
      <c r="CB94">
        <v>0.4</v>
      </c>
      <c r="CC94" t="e">
        <v>#VALUE!</v>
      </c>
      <c r="CD94" t="e">
        <v>#VALUE!</v>
      </c>
      <c r="CE94" t="e">
        <v>#VALUE!</v>
      </c>
      <c r="CF94" t="e">
        <v>#VALUE!</v>
      </c>
      <c r="CG94" t="e">
        <v>#VALUE!</v>
      </c>
      <c r="CH94" t="e">
        <v>#VALUE!</v>
      </c>
      <c r="CI94" t="e">
        <v>#VALUE!</v>
      </c>
      <c r="CJ94" t="e">
        <v>#VALUE!</v>
      </c>
    </row>
    <row r="95" spans="1:88">
      <c r="A95" t="s">
        <v>11</v>
      </c>
      <c r="B95" t="s">
        <v>282</v>
      </c>
      <c r="C95" t="s">
        <v>282</v>
      </c>
      <c r="D95">
        <v>134.54</v>
      </c>
      <c r="E95">
        <v>134.575656732135</v>
      </c>
      <c r="F95">
        <v>134.748459771414</v>
      </c>
      <c r="G95">
        <v>134.036505260107</v>
      </c>
      <c r="H95">
        <v>132.846497528939</v>
      </c>
      <c r="I95">
        <v>131.31266479964</v>
      </c>
      <c r="J95">
        <v>129.360725900535</v>
      </c>
      <c r="K95">
        <v>126.909094660455</v>
      </c>
      <c r="L95">
        <v>123.970526787928</v>
      </c>
      <c r="M95">
        <v>120.754318832312</v>
      </c>
      <c r="N95">
        <v>117.495836438948</v>
      </c>
      <c r="O95">
        <v>114.391318987378</v>
      </c>
      <c r="P95">
        <v>111.478386482618</v>
      </c>
      <c r="Q95">
        <v>108.684634876901</v>
      </c>
      <c r="R95">
        <v>106.013910634283</v>
      </c>
      <c r="S95">
        <v>103.55639571132</v>
      </c>
      <c r="T95">
        <v>101.343199424624</v>
      </c>
      <c r="U95">
        <v>99.2957133468648</v>
      </c>
      <c r="V95">
        <v>5</v>
      </c>
      <c r="AF95" s="99" t="s">
        <v>277</v>
      </c>
      <c r="AH95">
        <v>1</v>
      </c>
      <c r="AI95">
        <v>1.00033331616148</v>
      </c>
      <c r="AJ95">
        <v>1.0019998969689</v>
      </c>
      <c r="AK95">
        <v>0.994906430115937</v>
      </c>
      <c r="AL95">
        <v>0.98267151190847</v>
      </c>
      <c r="AM95">
        <v>0.966406511398471</v>
      </c>
      <c r="AN95">
        <v>0.945066520676171</v>
      </c>
      <c r="AO95">
        <v>0.917459642340542</v>
      </c>
      <c r="AP95">
        <v>0.883436545527019</v>
      </c>
      <c r="AQ95">
        <v>0.84523773973525</v>
      </c>
      <c r="AR95">
        <v>0.805571252552421</v>
      </c>
      <c r="AS95">
        <v>0.766871080268876</v>
      </c>
      <c r="AT95">
        <v>0.729674722955349</v>
      </c>
      <c r="AU95">
        <v>0.693102074332999</v>
      </c>
      <c r="AV95">
        <v>0.65724585573511</v>
      </c>
      <c r="AW95">
        <v>0.623388841880121</v>
      </c>
      <c r="AX95">
        <v>0.592040606359808</v>
      </c>
      <c r="AY95">
        <v>0.562137393665917</v>
      </c>
      <c r="AZ95">
        <v>0</v>
      </c>
      <c r="BA95">
        <v>0</v>
      </c>
      <c r="BB95">
        <v>0</v>
      </c>
      <c r="BC95">
        <v>0</v>
      </c>
      <c r="BD95">
        <v>0</v>
      </c>
      <c r="BE95">
        <v>0</v>
      </c>
      <c r="BF95">
        <v>0</v>
      </c>
      <c r="BG95">
        <v>0</v>
      </c>
      <c r="BI95" t="s">
        <v>288</v>
      </c>
      <c r="BK95">
        <v>0.799999999999999</v>
      </c>
      <c r="BL95">
        <v>0.795121951219512</v>
      </c>
      <c r="BM95">
        <v>0.770731707317072</v>
      </c>
      <c r="BN95">
        <v>0.746341463414634</v>
      </c>
      <c r="BO95">
        <v>0.721951219512194</v>
      </c>
      <c r="BP95">
        <v>0.697560975609756</v>
      </c>
      <c r="BQ95">
        <v>0.673170731707316</v>
      </c>
      <c r="BR95">
        <v>0.648780487804878</v>
      </c>
      <c r="BS95">
        <v>0.62439024390244</v>
      </c>
      <c r="BT95">
        <v>0.6</v>
      </c>
      <c r="BU95">
        <v>0.574999999999999</v>
      </c>
      <c r="BV95">
        <v>0.550000000000001</v>
      </c>
      <c r="BW95">
        <v>0.525</v>
      </c>
      <c r="BX95">
        <v>0.5</v>
      </c>
      <c r="BY95">
        <v>0.475</v>
      </c>
      <c r="BZ95">
        <v>0.449999999999999</v>
      </c>
      <c r="CA95">
        <v>0.425000000000001</v>
      </c>
      <c r="CB95">
        <v>0.4</v>
      </c>
      <c r="CC95" t="e">
        <v>#VALUE!</v>
      </c>
      <c r="CD95" t="e">
        <v>#VALUE!</v>
      </c>
      <c r="CE95" t="e">
        <v>#VALUE!</v>
      </c>
      <c r="CF95" t="e">
        <v>#VALUE!</v>
      </c>
      <c r="CG95" t="e">
        <v>#VALUE!</v>
      </c>
      <c r="CH95" t="e">
        <v>#VALUE!</v>
      </c>
      <c r="CI95" t="e">
        <v>#VALUE!</v>
      </c>
      <c r="CJ95" t="e">
        <v>#VALUE!</v>
      </c>
    </row>
    <row r="96" spans="1:88">
      <c r="A96" t="s">
        <v>11</v>
      </c>
      <c r="B96" t="s">
        <v>283</v>
      </c>
      <c r="C96" t="s">
        <v>283</v>
      </c>
      <c r="D96">
        <v>2265.18</v>
      </c>
      <c r="E96">
        <v>2356.63650889439</v>
      </c>
      <c r="F96">
        <v>2864.85882333747</v>
      </c>
      <c r="G96">
        <v>3314.63945189034</v>
      </c>
      <c r="H96">
        <v>3713.94593218176</v>
      </c>
      <c r="I96">
        <v>4036.94777009022</v>
      </c>
      <c r="J96">
        <v>4353.41328289509</v>
      </c>
      <c r="K96">
        <v>4666.81138811138</v>
      </c>
      <c r="L96">
        <v>4970.20494638726</v>
      </c>
      <c r="M96">
        <v>5283.513293256</v>
      </c>
      <c r="N96">
        <v>5596.60354725042</v>
      </c>
      <c r="O96">
        <v>5878.8513563106</v>
      </c>
      <c r="P96">
        <v>6127.36800440491</v>
      </c>
      <c r="Q96">
        <v>6353.87416532668</v>
      </c>
      <c r="R96">
        <v>6564.71540805506</v>
      </c>
      <c r="S96">
        <v>6761.20706420262</v>
      </c>
      <c r="T96">
        <v>6941.50440837993</v>
      </c>
      <c r="U96">
        <v>7104.483325142</v>
      </c>
      <c r="V96">
        <v>5</v>
      </c>
      <c r="AF96" s="99" t="s">
        <v>284</v>
      </c>
      <c r="AH96">
        <v>1</v>
      </c>
      <c r="AI96">
        <v>1.05077830005289</v>
      </c>
      <c r="AJ96">
        <v>1.34479296832689</v>
      </c>
      <c r="AK96">
        <v>1.62768152607821</v>
      </c>
      <c r="AL96">
        <v>1.89928270028984</v>
      </c>
      <c r="AM96">
        <v>2.13608005831229</v>
      </c>
      <c r="AN96">
        <v>2.38483147275921</v>
      </c>
      <c r="AO96">
        <v>2.6494537380984</v>
      </c>
      <c r="AP96">
        <v>2.92531221796271</v>
      </c>
      <c r="AQ96">
        <v>3.2326519034724</v>
      </c>
      <c r="AR96">
        <v>3.56580038757922</v>
      </c>
      <c r="AS96">
        <v>3.89276471625825</v>
      </c>
      <c r="AT96">
        <v>4.20621008670005</v>
      </c>
      <c r="AU96">
        <v>4.51718618543737</v>
      </c>
      <c r="AV96">
        <v>4.83275300977214</v>
      </c>
      <c r="AW96">
        <v>5.15420068998928</v>
      </c>
      <c r="AX96">
        <v>5.47759880756265</v>
      </c>
      <c r="AY96">
        <v>5.79911885119902</v>
      </c>
      <c r="AZ96">
        <v>0</v>
      </c>
      <c r="BA96">
        <v>0</v>
      </c>
      <c r="BB96">
        <v>0</v>
      </c>
      <c r="BC96">
        <v>0</v>
      </c>
      <c r="BD96">
        <v>0</v>
      </c>
      <c r="BE96">
        <v>0</v>
      </c>
      <c r="BF96">
        <v>0</v>
      </c>
      <c r="BG96">
        <v>0</v>
      </c>
      <c r="BI96" t="s">
        <v>288</v>
      </c>
      <c r="BK96">
        <v>0.799999999999999</v>
      </c>
      <c r="BL96">
        <v>0.795121951219512</v>
      </c>
      <c r="BM96">
        <v>0.770731707317072</v>
      </c>
      <c r="BN96">
        <v>0.746341463414634</v>
      </c>
      <c r="BO96">
        <v>0.721951219512194</v>
      </c>
      <c r="BP96">
        <v>0.697560975609756</v>
      </c>
      <c r="BQ96">
        <v>0.673170731707316</v>
      </c>
      <c r="BR96">
        <v>0.648780487804878</v>
      </c>
      <c r="BS96">
        <v>0.62439024390244</v>
      </c>
      <c r="BT96">
        <v>0.6</v>
      </c>
      <c r="BU96">
        <v>0.574999999999999</v>
      </c>
      <c r="BV96">
        <v>0.550000000000001</v>
      </c>
      <c r="BW96">
        <v>0.525</v>
      </c>
      <c r="BX96">
        <v>0.5</v>
      </c>
      <c r="BY96">
        <v>0.475</v>
      </c>
      <c r="BZ96">
        <v>0.449999999999999</v>
      </c>
      <c r="CA96">
        <v>0.425000000000001</v>
      </c>
      <c r="CB96">
        <v>0.4</v>
      </c>
      <c r="CC96" t="e">
        <v>#VALUE!</v>
      </c>
      <c r="CD96" t="e">
        <v>#VALUE!</v>
      </c>
      <c r="CE96" t="e">
        <v>#VALUE!</v>
      </c>
      <c r="CF96" t="e">
        <v>#VALUE!</v>
      </c>
      <c r="CG96" t="e">
        <v>#VALUE!</v>
      </c>
      <c r="CH96" t="e">
        <v>#VALUE!</v>
      </c>
      <c r="CI96" t="e">
        <v>#VALUE!</v>
      </c>
      <c r="CJ96" t="e">
        <v>#VALUE!</v>
      </c>
    </row>
    <row r="97" spans="1:88">
      <c r="A97" t="s">
        <v>11</v>
      </c>
      <c r="B97" t="s">
        <v>285</v>
      </c>
      <c r="C97" t="s">
        <v>285</v>
      </c>
      <c r="D97">
        <v>278.8</v>
      </c>
      <c r="E97">
        <v>290.134175066958</v>
      </c>
      <c r="F97">
        <v>353.180081627416</v>
      </c>
      <c r="G97">
        <v>406.370485935307</v>
      </c>
      <c r="H97">
        <v>451.115067820531</v>
      </c>
      <c r="I97">
        <v>484.490624453264</v>
      </c>
      <c r="J97">
        <v>514.430407117449</v>
      </c>
      <c r="K97">
        <v>540.632530590456</v>
      </c>
      <c r="L97">
        <v>561.957845641691</v>
      </c>
      <c r="M97">
        <v>581.271392404899</v>
      </c>
      <c r="N97">
        <v>598.414614707802</v>
      </c>
      <c r="O97">
        <v>611.332492264778</v>
      </c>
      <c r="P97">
        <v>620.354508639497</v>
      </c>
      <c r="Q97">
        <v>626.590659693518</v>
      </c>
      <c r="R97">
        <v>630.909928668568</v>
      </c>
      <c r="S97">
        <v>634.196051981442</v>
      </c>
      <c r="T97">
        <v>636.703396250273</v>
      </c>
      <c r="U97">
        <v>638.033805277575</v>
      </c>
      <c r="V97">
        <v>5</v>
      </c>
      <c r="AF97" s="99" t="s">
        <v>272</v>
      </c>
      <c r="AH97">
        <v>1</v>
      </c>
      <c r="AI97">
        <v>1.05112854144243</v>
      </c>
      <c r="AJ97">
        <v>1.34748241570804</v>
      </c>
      <c r="AK97">
        <v>1.61939081647613</v>
      </c>
      <c r="AL97">
        <v>1.86637100263541</v>
      </c>
      <c r="AM97">
        <v>2.06432167722141</v>
      </c>
      <c r="AN97">
        <v>2.25382438235957</v>
      </c>
      <c r="AO97">
        <v>2.43076687895356</v>
      </c>
      <c r="AP97">
        <v>2.58432772042495</v>
      </c>
      <c r="AQ97">
        <v>2.73235938824186</v>
      </c>
      <c r="AR97">
        <v>2.8725062845741</v>
      </c>
      <c r="AS97">
        <v>2.98524868318952</v>
      </c>
      <c r="AT97">
        <v>3.06916517970485</v>
      </c>
      <c r="AU97">
        <v>3.130871115275</v>
      </c>
      <c r="AV97">
        <v>3.17630688746411</v>
      </c>
      <c r="AW97">
        <v>3.21307119895013</v>
      </c>
      <c r="AX97">
        <v>3.24296091942514</v>
      </c>
      <c r="AY97">
        <v>3.25990155657189</v>
      </c>
      <c r="AZ97">
        <v>0</v>
      </c>
      <c r="BA97">
        <v>0</v>
      </c>
      <c r="BB97">
        <v>0</v>
      </c>
      <c r="BC97">
        <v>0</v>
      </c>
      <c r="BD97">
        <v>0</v>
      </c>
      <c r="BE97">
        <v>0</v>
      </c>
      <c r="BF97">
        <v>0</v>
      </c>
      <c r="BG97">
        <v>0</v>
      </c>
      <c r="BI97" t="s">
        <v>288</v>
      </c>
      <c r="BK97">
        <v>0.799999999999999</v>
      </c>
      <c r="BL97">
        <v>0.795121951219512</v>
      </c>
      <c r="BM97">
        <v>0.770731707317072</v>
      </c>
      <c r="BN97">
        <v>0.746341463414634</v>
      </c>
      <c r="BO97">
        <v>0.721951219512194</v>
      </c>
      <c r="BP97">
        <v>0.697560975609756</v>
      </c>
      <c r="BQ97">
        <v>0.673170731707316</v>
      </c>
      <c r="BR97">
        <v>0.648780487804878</v>
      </c>
      <c r="BS97">
        <v>0.62439024390244</v>
      </c>
      <c r="BT97">
        <v>0.6</v>
      </c>
      <c r="BU97">
        <v>0.574999999999999</v>
      </c>
      <c r="BV97">
        <v>0.550000000000001</v>
      </c>
      <c r="BW97">
        <v>0.525</v>
      </c>
      <c r="BX97">
        <v>0.5</v>
      </c>
      <c r="BY97">
        <v>0.475</v>
      </c>
      <c r="BZ97">
        <v>0.449999999999999</v>
      </c>
      <c r="CA97">
        <v>0.425000000000001</v>
      </c>
      <c r="CB97">
        <v>0.4</v>
      </c>
      <c r="CC97" t="e">
        <v>#VALUE!</v>
      </c>
      <c r="CD97" t="e">
        <v>#VALUE!</v>
      </c>
      <c r="CE97" t="e">
        <v>#VALUE!</v>
      </c>
      <c r="CF97" t="e">
        <v>#VALUE!</v>
      </c>
      <c r="CG97" t="e">
        <v>#VALUE!</v>
      </c>
      <c r="CH97" t="e">
        <v>#VALUE!</v>
      </c>
      <c r="CI97" t="e">
        <v>#VALUE!</v>
      </c>
      <c r="CJ97" t="e">
        <v>#VALUE!</v>
      </c>
    </row>
    <row r="98" spans="1:88">
      <c r="A98" t="s">
        <v>11</v>
      </c>
      <c r="B98" t="s">
        <v>286</v>
      </c>
      <c r="C98" t="s">
        <v>286</v>
      </c>
      <c r="D98">
        <v>375.92</v>
      </c>
      <c r="E98">
        <v>391.202435764601</v>
      </c>
      <c r="F98">
        <v>476.210388398057</v>
      </c>
      <c r="G98">
        <v>547.92967386227</v>
      </c>
      <c r="H98">
        <v>608.261034057009</v>
      </c>
      <c r="I98">
        <v>653.262968236984</v>
      </c>
      <c r="J98">
        <v>693.632276339998</v>
      </c>
      <c r="K98">
        <v>728.961911404462</v>
      </c>
      <c r="L98">
        <v>757.715901483588</v>
      </c>
      <c r="M98">
        <v>783.757323647237</v>
      </c>
      <c r="N98">
        <v>806.872388669142</v>
      </c>
      <c r="O98">
        <v>824.290209799768</v>
      </c>
      <c r="P98">
        <v>836.455046225824</v>
      </c>
      <c r="Q98">
        <v>844.86356094687</v>
      </c>
      <c r="R98">
        <v>850.687447579226</v>
      </c>
      <c r="S98">
        <v>855.118292183872</v>
      </c>
      <c r="T98">
        <v>858.499070008618</v>
      </c>
      <c r="U98">
        <v>860.292927116019</v>
      </c>
      <c r="V98">
        <v>5</v>
      </c>
      <c r="AF98" s="99" t="s">
        <v>272</v>
      </c>
      <c r="AH98">
        <v>1</v>
      </c>
      <c r="AI98">
        <v>1.05112854144243</v>
      </c>
      <c r="AJ98">
        <v>1.34748241570804</v>
      </c>
      <c r="AK98">
        <v>1.61939081647613</v>
      </c>
      <c r="AL98">
        <v>1.86637100263541</v>
      </c>
      <c r="AM98">
        <v>2.06432167722141</v>
      </c>
      <c r="AN98">
        <v>2.25382438235957</v>
      </c>
      <c r="AO98">
        <v>2.43076687895356</v>
      </c>
      <c r="AP98">
        <v>2.58432772042495</v>
      </c>
      <c r="AQ98">
        <v>2.73235938824186</v>
      </c>
      <c r="AR98">
        <v>2.8725062845741</v>
      </c>
      <c r="AS98">
        <v>2.98524868318952</v>
      </c>
      <c r="AT98">
        <v>3.06916517970485</v>
      </c>
      <c r="AU98">
        <v>3.130871115275</v>
      </c>
      <c r="AV98">
        <v>3.17630688746411</v>
      </c>
      <c r="AW98">
        <v>3.21307119895013</v>
      </c>
      <c r="AX98">
        <v>3.24296091942514</v>
      </c>
      <c r="AY98">
        <v>3.25990155657189</v>
      </c>
      <c r="AZ98">
        <v>0</v>
      </c>
      <c r="BA98">
        <v>0</v>
      </c>
      <c r="BB98">
        <v>0</v>
      </c>
      <c r="BC98">
        <v>0</v>
      </c>
      <c r="BD98">
        <v>0</v>
      </c>
      <c r="BE98">
        <v>0</v>
      </c>
      <c r="BF98">
        <v>0</v>
      </c>
      <c r="BG98">
        <v>0</v>
      </c>
      <c r="BI98" t="s">
        <v>288</v>
      </c>
      <c r="BK98">
        <v>0.799999999999999</v>
      </c>
      <c r="BL98">
        <v>0.795121951219512</v>
      </c>
      <c r="BM98">
        <v>0.770731707317072</v>
      </c>
      <c r="BN98">
        <v>0.746341463414634</v>
      </c>
      <c r="BO98">
        <v>0.721951219512194</v>
      </c>
      <c r="BP98">
        <v>0.697560975609756</v>
      </c>
      <c r="BQ98">
        <v>0.673170731707316</v>
      </c>
      <c r="BR98">
        <v>0.648780487804878</v>
      </c>
      <c r="BS98">
        <v>0.62439024390244</v>
      </c>
      <c r="BT98">
        <v>0.6</v>
      </c>
      <c r="BU98">
        <v>0.574999999999999</v>
      </c>
      <c r="BV98">
        <v>0.550000000000001</v>
      </c>
      <c r="BW98">
        <v>0.525</v>
      </c>
      <c r="BX98">
        <v>0.5</v>
      </c>
      <c r="BY98">
        <v>0.475</v>
      </c>
      <c r="BZ98">
        <v>0.449999999999999</v>
      </c>
      <c r="CA98">
        <v>0.425000000000001</v>
      </c>
      <c r="CB98">
        <v>0.4</v>
      </c>
      <c r="CC98" t="e">
        <v>#VALUE!</v>
      </c>
      <c r="CD98" t="e">
        <v>#VALUE!</v>
      </c>
      <c r="CE98" t="e">
        <v>#VALUE!</v>
      </c>
      <c r="CF98" t="e">
        <v>#VALUE!</v>
      </c>
      <c r="CG98" t="e">
        <v>#VALUE!</v>
      </c>
      <c r="CH98" t="e">
        <v>#VALUE!</v>
      </c>
      <c r="CI98" t="e">
        <v>#VALUE!</v>
      </c>
      <c r="CJ98" t="e">
        <v>#VALUE!</v>
      </c>
    </row>
    <row r="99" spans="1:88">
      <c r="A99" t="s">
        <v>12</v>
      </c>
      <c r="B99" t="s">
        <v>271</v>
      </c>
      <c r="C99" t="s">
        <v>271</v>
      </c>
      <c r="D99">
        <v>0.469675224</v>
      </c>
      <c r="E99">
        <v>0.474749727627687</v>
      </c>
      <c r="F99">
        <v>0.567810225879744</v>
      </c>
      <c r="G99">
        <v>0.626012699939342</v>
      </c>
      <c r="H99">
        <v>0.666328609801285</v>
      </c>
      <c r="I99">
        <v>0.693564046796266</v>
      </c>
      <c r="J99">
        <v>0.712032201987592</v>
      </c>
      <c r="K99">
        <v>0.726747329141942</v>
      </c>
      <c r="L99">
        <v>0.73939106132569</v>
      </c>
      <c r="M99">
        <v>0.751602767303095</v>
      </c>
      <c r="N99">
        <v>0.763256280423494</v>
      </c>
      <c r="O99">
        <v>0.773932485313541</v>
      </c>
      <c r="P99">
        <v>0.783384696419467</v>
      </c>
      <c r="Q99">
        <v>0.791630756944117</v>
      </c>
      <c r="R99">
        <v>0.799278952034994</v>
      </c>
      <c r="S99">
        <v>0.806812646587751</v>
      </c>
      <c r="T99">
        <v>0.814308135487164</v>
      </c>
      <c r="U99">
        <v>0.821421805803351</v>
      </c>
      <c r="V99">
        <v>5</v>
      </c>
      <c r="AF99" s="99" t="s">
        <v>272</v>
      </c>
      <c r="AH99">
        <v>1</v>
      </c>
      <c r="AI99">
        <v>1.01354665343015</v>
      </c>
      <c r="AJ99">
        <v>1.26651860911973</v>
      </c>
      <c r="AK99">
        <v>1.43442777575904</v>
      </c>
      <c r="AL99">
        <v>1.55582290744437</v>
      </c>
      <c r="AM99">
        <v>1.64075103127405</v>
      </c>
      <c r="AN99">
        <v>1.70006493979853</v>
      </c>
      <c r="AO99">
        <v>1.74856667792587</v>
      </c>
      <c r="AP99">
        <v>1.79128115037486</v>
      </c>
      <c r="AQ99">
        <v>1.83354488386238</v>
      </c>
      <c r="AR99">
        <v>1.87489601006984</v>
      </c>
      <c r="AS99">
        <v>1.91374859561425</v>
      </c>
      <c r="AT99">
        <v>1.949028657538</v>
      </c>
      <c r="AU99">
        <v>1.98059151419911</v>
      </c>
      <c r="AV99">
        <v>2.01060739022698</v>
      </c>
      <c r="AW99">
        <v>2.04092932357437</v>
      </c>
      <c r="AX99">
        <v>2.07188563027497</v>
      </c>
      <c r="AY99">
        <v>2.10205175262333</v>
      </c>
      <c r="AZ99">
        <v>0</v>
      </c>
      <c r="BA99">
        <v>0</v>
      </c>
      <c r="BB99">
        <v>0</v>
      </c>
      <c r="BC99">
        <v>0</v>
      </c>
      <c r="BD99">
        <v>0</v>
      </c>
      <c r="BE99">
        <v>0</v>
      </c>
      <c r="BF99">
        <v>0</v>
      </c>
      <c r="BG99">
        <v>0</v>
      </c>
      <c r="BI99" t="s">
        <v>287</v>
      </c>
      <c r="BK99">
        <v>0.8</v>
      </c>
      <c r="BL99">
        <v>0.797560975609756</v>
      </c>
      <c r="BM99">
        <v>0.785365853658536</v>
      </c>
      <c r="BN99">
        <v>0.773170731707317</v>
      </c>
      <c r="BO99">
        <v>0.760975609756097</v>
      </c>
      <c r="BP99">
        <v>0.748780487804878</v>
      </c>
      <c r="BQ99">
        <v>0.736585365853658</v>
      </c>
      <c r="BR99">
        <v>0.724390243902439</v>
      </c>
      <c r="BS99">
        <v>0.71219512195122</v>
      </c>
      <c r="BT99">
        <v>0.699999999999999</v>
      </c>
      <c r="BU99">
        <v>0.687499999999999</v>
      </c>
      <c r="BV99">
        <v>0.675</v>
      </c>
      <c r="BW99">
        <v>0.6625</v>
      </c>
      <c r="BX99">
        <v>0.649999999999999</v>
      </c>
      <c r="BY99">
        <v>0.637499999999999</v>
      </c>
      <c r="BZ99">
        <v>0.625</v>
      </c>
      <c r="CA99">
        <v>0.6125</v>
      </c>
      <c r="CB99">
        <v>0.6</v>
      </c>
      <c r="CC99" t="e">
        <v>#VALUE!</v>
      </c>
      <c r="CD99" t="e">
        <v>#VALUE!</v>
      </c>
      <c r="CE99" t="e">
        <v>#VALUE!</v>
      </c>
      <c r="CF99" t="e">
        <v>#VALUE!</v>
      </c>
      <c r="CG99" t="e">
        <v>#VALUE!</v>
      </c>
      <c r="CH99" t="e">
        <v>#VALUE!</v>
      </c>
      <c r="CI99" t="e">
        <v>#VALUE!</v>
      </c>
      <c r="CJ99" t="e">
        <v>#VALUE!</v>
      </c>
    </row>
    <row r="100" spans="1:88">
      <c r="A100" t="s">
        <v>12</v>
      </c>
      <c r="B100" t="s">
        <v>274</v>
      </c>
      <c r="C100" t="s">
        <v>274</v>
      </c>
      <c r="D100">
        <v>9.4939499988</v>
      </c>
      <c r="E100">
        <v>9.59652531307715</v>
      </c>
      <c r="F100">
        <v>11.4776373499097</v>
      </c>
      <c r="G100">
        <v>12.6541341082916</v>
      </c>
      <c r="H100">
        <v>13.4690743325718</v>
      </c>
      <c r="I100">
        <v>14.0196076879906</v>
      </c>
      <c r="J100">
        <v>14.3929204219758</v>
      </c>
      <c r="K100">
        <v>14.6903699664495</v>
      </c>
      <c r="L100">
        <v>14.945948619563</v>
      </c>
      <c r="M100">
        <v>15.192794354712</v>
      </c>
      <c r="N100">
        <v>15.4283568566749</v>
      </c>
      <c r="O100">
        <v>15.6441641852792</v>
      </c>
      <c r="P100">
        <v>15.8352298728696</v>
      </c>
      <c r="Q100">
        <v>16.00191459948</v>
      </c>
      <c r="R100">
        <v>16.1565141569262</v>
      </c>
      <c r="S100">
        <v>16.3087992163359</v>
      </c>
      <c r="T100">
        <v>16.4603119919546</v>
      </c>
      <c r="U100">
        <v>16.6041067395563</v>
      </c>
      <c r="V100">
        <v>5</v>
      </c>
      <c r="AF100" s="99" t="s">
        <v>272</v>
      </c>
      <c r="AH100">
        <v>1</v>
      </c>
      <c r="AI100">
        <v>1.01354665343015</v>
      </c>
      <c r="AJ100">
        <v>1.26651860911973</v>
      </c>
      <c r="AK100">
        <v>1.43442777575904</v>
      </c>
      <c r="AL100">
        <v>1.55582290744437</v>
      </c>
      <c r="AM100">
        <v>1.64075103127405</v>
      </c>
      <c r="AN100">
        <v>1.70006493979853</v>
      </c>
      <c r="AO100">
        <v>1.74856667792587</v>
      </c>
      <c r="AP100">
        <v>1.79128115037486</v>
      </c>
      <c r="AQ100">
        <v>1.83354488386238</v>
      </c>
      <c r="AR100">
        <v>1.87489601006984</v>
      </c>
      <c r="AS100">
        <v>1.91374859561425</v>
      </c>
      <c r="AT100">
        <v>1.949028657538</v>
      </c>
      <c r="AU100">
        <v>1.98059151419911</v>
      </c>
      <c r="AV100">
        <v>2.01060739022698</v>
      </c>
      <c r="AW100">
        <v>2.04092932357437</v>
      </c>
      <c r="AX100">
        <v>2.07188563027497</v>
      </c>
      <c r="AY100">
        <v>2.10205175262333</v>
      </c>
      <c r="AZ100">
        <v>0</v>
      </c>
      <c r="BA100">
        <v>0</v>
      </c>
      <c r="BB100">
        <v>0</v>
      </c>
      <c r="BC100">
        <v>0</v>
      </c>
      <c r="BD100">
        <v>0</v>
      </c>
      <c r="BE100">
        <v>0</v>
      </c>
      <c r="BF100">
        <v>0</v>
      </c>
      <c r="BG100">
        <v>0</v>
      </c>
      <c r="BI100" t="s">
        <v>287</v>
      </c>
      <c r="BK100">
        <v>0.8</v>
      </c>
      <c r="BL100">
        <v>0.797560975609756</v>
      </c>
      <c r="BM100">
        <v>0.785365853658536</v>
      </c>
      <c r="BN100">
        <v>0.773170731707317</v>
      </c>
      <c r="BO100">
        <v>0.760975609756097</v>
      </c>
      <c r="BP100">
        <v>0.748780487804878</v>
      </c>
      <c r="BQ100">
        <v>0.736585365853658</v>
      </c>
      <c r="BR100">
        <v>0.724390243902439</v>
      </c>
      <c r="BS100">
        <v>0.71219512195122</v>
      </c>
      <c r="BT100">
        <v>0.699999999999999</v>
      </c>
      <c r="BU100">
        <v>0.687499999999999</v>
      </c>
      <c r="BV100">
        <v>0.675</v>
      </c>
      <c r="BW100">
        <v>0.6625</v>
      </c>
      <c r="BX100">
        <v>0.649999999999999</v>
      </c>
      <c r="BY100">
        <v>0.637499999999999</v>
      </c>
      <c r="BZ100">
        <v>0.625</v>
      </c>
      <c r="CA100">
        <v>0.6125</v>
      </c>
      <c r="CB100">
        <v>0.6</v>
      </c>
      <c r="CC100" t="e">
        <v>#VALUE!</v>
      </c>
      <c r="CD100" t="e">
        <v>#VALUE!</v>
      </c>
      <c r="CE100" t="e">
        <v>#VALUE!</v>
      </c>
      <c r="CF100" t="e">
        <v>#VALUE!</v>
      </c>
      <c r="CG100" t="e">
        <v>#VALUE!</v>
      </c>
      <c r="CH100" t="e">
        <v>#VALUE!</v>
      </c>
      <c r="CI100" t="e">
        <v>#VALUE!</v>
      </c>
      <c r="CJ100" t="e">
        <v>#VALUE!</v>
      </c>
    </row>
    <row r="101" spans="1:88">
      <c r="A101" t="s">
        <v>12</v>
      </c>
      <c r="B101" t="s">
        <v>275</v>
      </c>
      <c r="C101" t="s">
        <v>275</v>
      </c>
      <c r="D101">
        <v>0.99851076936</v>
      </c>
      <c r="E101">
        <v>1.00929896141801</v>
      </c>
      <c r="F101">
        <v>1.20714186425482</v>
      </c>
      <c r="G101">
        <v>1.33087799974214</v>
      </c>
      <c r="H101">
        <v>1.41658801405982</v>
      </c>
      <c r="I101">
        <v>1.47448946544171</v>
      </c>
      <c r="J101">
        <v>1.51375202583759</v>
      </c>
      <c r="K101">
        <v>1.54503579850711</v>
      </c>
      <c r="L101">
        <v>1.57191586819198</v>
      </c>
      <c r="M101">
        <v>1.59787746741548</v>
      </c>
      <c r="N101">
        <v>1.62265237091688</v>
      </c>
      <c r="O101">
        <v>1.64534955615015</v>
      </c>
      <c r="P101">
        <v>1.66544457947957</v>
      </c>
      <c r="Q101">
        <v>1.68297537484181</v>
      </c>
      <c r="R101">
        <v>1.69923513216809</v>
      </c>
      <c r="S101">
        <v>1.715251465923</v>
      </c>
      <c r="T101">
        <v>1.73118657598467</v>
      </c>
      <c r="U101">
        <v>1.74630995498665</v>
      </c>
      <c r="V101">
        <v>5</v>
      </c>
      <c r="AF101" s="99" t="s">
        <v>272</v>
      </c>
      <c r="AH101">
        <v>1</v>
      </c>
      <c r="AI101">
        <v>1.01354665343015</v>
      </c>
      <c r="AJ101">
        <v>1.26651860911973</v>
      </c>
      <c r="AK101">
        <v>1.43442777575904</v>
      </c>
      <c r="AL101">
        <v>1.55582290744437</v>
      </c>
      <c r="AM101">
        <v>1.64075103127405</v>
      </c>
      <c r="AN101">
        <v>1.70006493979853</v>
      </c>
      <c r="AO101">
        <v>1.74856667792587</v>
      </c>
      <c r="AP101">
        <v>1.79128115037486</v>
      </c>
      <c r="AQ101">
        <v>1.83354488386238</v>
      </c>
      <c r="AR101">
        <v>1.87489601006984</v>
      </c>
      <c r="AS101">
        <v>1.91374859561425</v>
      </c>
      <c r="AT101">
        <v>1.949028657538</v>
      </c>
      <c r="AU101">
        <v>1.98059151419911</v>
      </c>
      <c r="AV101">
        <v>2.01060739022698</v>
      </c>
      <c r="AW101">
        <v>2.04092932357437</v>
      </c>
      <c r="AX101">
        <v>2.07188563027497</v>
      </c>
      <c r="AY101">
        <v>2.10205175262333</v>
      </c>
      <c r="AZ101">
        <v>0</v>
      </c>
      <c r="BA101">
        <v>0</v>
      </c>
      <c r="BB101">
        <v>0</v>
      </c>
      <c r="BC101">
        <v>0</v>
      </c>
      <c r="BD101">
        <v>0</v>
      </c>
      <c r="BE101">
        <v>0</v>
      </c>
      <c r="BF101">
        <v>0</v>
      </c>
      <c r="BG101">
        <v>0</v>
      </c>
      <c r="BI101" t="s">
        <v>287</v>
      </c>
      <c r="BK101">
        <v>0.8</v>
      </c>
      <c r="BL101">
        <v>0.797560975609756</v>
      </c>
      <c r="BM101">
        <v>0.785365853658536</v>
      </c>
      <c r="BN101">
        <v>0.773170731707317</v>
      </c>
      <c r="BO101">
        <v>0.760975609756097</v>
      </c>
      <c r="BP101">
        <v>0.748780487804878</v>
      </c>
      <c r="BQ101">
        <v>0.736585365853658</v>
      </c>
      <c r="BR101">
        <v>0.724390243902439</v>
      </c>
      <c r="BS101">
        <v>0.71219512195122</v>
      </c>
      <c r="BT101">
        <v>0.699999999999999</v>
      </c>
      <c r="BU101">
        <v>0.687499999999999</v>
      </c>
      <c r="BV101">
        <v>0.675</v>
      </c>
      <c r="BW101">
        <v>0.6625</v>
      </c>
      <c r="BX101">
        <v>0.649999999999999</v>
      </c>
      <c r="BY101">
        <v>0.637499999999999</v>
      </c>
      <c r="BZ101">
        <v>0.625</v>
      </c>
      <c r="CA101">
        <v>0.6125</v>
      </c>
      <c r="CB101">
        <v>0.6</v>
      </c>
      <c r="CC101" t="e">
        <v>#VALUE!</v>
      </c>
      <c r="CD101" t="e">
        <v>#VALUE!</v>
      </c>
      <c r="CE101" t="e">
        <v>#VALUE!</v>
      </c>
      <c r="CF101" t="e">
        <v>#VALUE!</v>
      </c>
      <c r="CG101" t="e">
        <v>#VALUE!</v>
      </c>
      <c r="CH101" t="e">
        <v>#VALUE!</v>
      </c>
      <c r="CI101" t="e">
        <v>#VALUE!</v>
      </c>
      <c r="CJ101" t="e">
        <v>#VALUE!</v>
      </c>
    </row>
    <row r="102" spans="1:88">
      <c r="A102" t="s">
        <v>12</v>
      </c>
      <c r="B102" t="s">
        <v>276</v>
      </c>
      <c r="C102" t="s">
        <v>276</v>
      </c>
      <c r="D102">
        <v>1.59014161584</v>
      </c>
      <c r="E102">
        <v>1.58463004706926</v>
      </c>
      <c r="F102">
        <v>1.55746959888311</v>
      </c>
      <c r="G102">
        <v>1.52905170836325</v>
      </c>
      <c r="H102">
        <v>1.50167208679505</v>
      </c>
      <c r="I102">
        <v>1.47566951737528</v>
      </c>
      <c r="J102">
        <v>1.45147589092248</v>
      </c>
      <c r="K102">
        <v>1.42900847026344</v>
      </c>
      <c r="L102">
        <v>1.40785173645141</v>
      </c>
      <c r="M102">
        <v>1.38813976658903</v>
      </c>
      <c r="N102">
        <v>1.36944433386089</v>
      </c>
      <c r="O102">
        <v>1.35165758604308</v>
      </c>
      <c r="P102">
        <v>1.33449626938765</v>
      </c>
      <c r="Q102">
        <v>1.31802431414342</v>
      </c>
      <c r="R102">
        <v>1.30235903063679</v>
      </c>
      <c r="S102">
        <v>1.28750072215868</v>
      </c>
      <c r="T102">
        <v>1.27305886590845</v>
      </c>
      <c r="U102">
        <v>1.25848141112579</v>
      </c>
      <c r="V102">
        <v>5</v>
      </c>
      <c r="AF102" s="99" t="s">
        <v>277</v>
      </c>
      <c r="AH102">
        <v>1</v>
      </c>
      <c r="AI102">
        <v>0.99565414200688</v>
      </c>
      <c r="AJ102">
        <v>0.973924852041279</v>
      </c>
      <c r="AK102">
        <v>0.950941027310412</v>
      </c>
      <c r="AL102">
        <v>0.928564735527901</v>
      </c>
      <c r="AM102">
        <v>0.907091433932438</v>
      </c>
      <c r="AN102">
        <v>0.886901270047469</v>
      </c>
      <c r="AO102">
        <v>0.867949661628756</v>
      </c>
      <c r="AP102">
        <v>0.849906636151745</v>
      </c>
      <c r="AQ102">
        <v>0.8329067393141</v>
      </c>
      <c r="AR102">
        <v>0.816590277095107</v>
      </c>
      <c r="AS102">
        <v>0.800877512792707</v>
      </c>
      <c r="AT102">
        <v>0.785529076507733</v>
      </c>
      <c r="AU102">
        <v>0.770612241089016</v>
      </c>
      <c r="AV102">
        <v>0.756245093556239</v>
      </c>
      <c r="AW102">
        <v>0.7424405771416</v>
      </c>
      <c r="AX102">
        <v>0.72884395140708</v>
      </c>
      <c r="AY102">
        <v>0.714934291204956</v>
      </c>
      <c r="AZ102">
        <v>0</v>
      </c>
      <c r="BA102">
        <v>0</v>
      </c>
      <c r="BB102">
        <v>0</v>
      </c>
      <c r="BC102">
        <v>0</v>
      </c>
      <c r="BD102">
        <v>0</v>
      </c>
      <c r="BE102">
        <v>0</v>
      </c>
      <c r="BF102">
        <v>0</v>
      </c>
      <c r="BG102">
        <v>0</v>
      </c>
      <c r="BI102" t="s">
        <v>287</v>
      </c>
      <c r="BK102">
        <v>0.8</v>
      </c>
      <c r="BL102">
        <v>0.797560975609756</v>
      </c>
      <c r="BM102">
        <v>0.785365853658536</v>
      </c>
      <c r="BN102">
        <v>0.773170731707317</v>
      </c>
      <c r="BO102">
        <v>0.760975609756097</v>
      </c>
      <c r="BP102">
        <v>0.748780487804878</v>
      </c>
      <c r="BQ102">
        <v>0.736585365853658</v>
      </c>
      <c r="BR102">
        <v>0.724390243902439</v>
      </c>
      <c r="BS102">
        <v>0.71219512195122</v>
      </c>
      <c r="BT102">
        <v>0.699999999999999</v>
      </c>
      <c r="BU102">
        <v>0.687499999999999</v>
      </c>
      <c r="BV102">
        <v>0.675</v>
      </c>
      <c r="BW102">
        <v>0.6625</v>
      </c>
      <c r="BX102">
        <v>0.649999999999999</v>
      </c>
      <c r="BY102">
        <v>0.637499999999999</v>
      </c>
      <c r="BZ102">
        <v>0.625</v>
      </c>
      <c r="CA102">
        <v>0.6125</v>
      </c>
      <c r="CB102">
        <v>0.6</v>
      </c>
      <c r="CC102" t="e">
        <v>#VALUE!</v>
      </c>
      <c r="CD102" t="e">
        <v>#VALUE!</v>
      </c>
      <c r="CE102" t="e">
        <v>#VALUE!</v>
      </c>
      <c r="CF102" t="e">
        <v>#VALUE!</v>
      </c>
      <c r="CG102" t="e">
        <v>#VALUE!</v>
      </c>
      <c r="CH102" t="e">
        <v>#VALUE!</v>
      </c>
      <c r="CI102" t="e">
        <v>#VALUE!</v>
      </c>
      <c r="CJ102" t="e">
        <v>#VALUE!</v>
      </c>
    </row>
    <row r="103" spans="1:88">
      <c r="A103" t="s">
        <v>12</v>
      </c>
      <c r="B103" t="s">
        <v>278</v>
      </c>
      <c r="C103" t="s">
        <v>278</v>
      </c>
      <c r="D103">
        <v>2.0970592632</v>
      </c>
      <c r="E103">
        <v>2.11971648311455</v>
      </c>
      <c r="F103">
        <v>2.53522356103843</v>
      </c>
      <c r="G103">
        <v>2.79509257505275</v>
      </c>
      <c r="H103">
        <v>2.97509962654314</v>
      </c>
      <c r="I103">
        <v>3.09670349772716</v>
      </c>
      <c r="J103">
        <v>3.17916221374873</v>
      </c>
      <c r="K103">
        <v>3.2448639841027</v>
      </c>
      <c r="L103">
        <v>3.30131715502267</v>
      </c>
      <c r="M103">
        <v>3.35584136628785</v>
      </c>
      <c r="N103">
        <v>3.4078732947124</v>
      </c>
      <c r="O103">
        <v>3.45554162639449</v>
      </c>
      <c r="P103">
        <v>3.497744931667</v>
      </c>
      <c r="Q103">
        <v>3.53456287888775</v>
      </c>
      <c r="R103">
        <v>3.56871140864303</v>
      </c>
      <c r="S103">
        <v>3.60234870339627</v>
      </c>
      <c r="T103">
        <v>3.63581541321089</v>
      </c>
      <c r="U103">
        <v>3.66757733606657</v>
      </c>
      <c r="V103">
        <v>5</v>
      </c>
      <c r="AF103" s="99" t="s">
        <v>272</v>
      </c>
      <c r="AH103">
        <v>1</v>
      </c>
      <c r="AI103">
        <v>1.01354665343015</v>
      </c>
      <c r="AJ103">
        <v>1.26651860911973</v>
      </c>
      <c r="AK103">
        <v>1.43442777575904</v>
      </c>
      <c r="AL103">
        <v>1.55582290744437</v>
      </c>
      <c r="AM103">
        <v>1.64075103127405</v>
      </c>
      <c r="AN103">
        <v>1.70006493979853</v>
      </c>
      <c r="AO103">
        <v>1.74856667792587</v>
      </c>
      <c r="AP103">
        <v>1.79128115037486</v>
      </c>
      <c r="AQ103">
        <v>1.83354488386238</v>
      </c>
      <c r="AR103">
        <v>1.87489601006984</v>
      </c>
      <c r="AS103">
        <v>1.91374859561425</v>
      </c>
      <c r="AT103">
        <v>1.949028657538</v>
      </c>
      <c r="AU103">
        <v>1.98059151419911</v>
      </c>
      <c r="AV103">
        <v>2.01060739022698</v>
      </c>
      <c r="AW103">
        <v>2.04092932357437</v>
      </c>
      <c r="AX103">
        <v>2.07188563027497</v>
      </c>
      <c r="AY103">
        <v>2.10205175262333</v>
      </c>
      <c r="AZ103">
        <v>0</v>
      </c>
      <c r="BA103">
        <v>0</v>
      </c>
      <c r="BB103">
        <v>0</v>
      </c>
      <c r="BC103">
        <v>0</v>
      </c>
      <c r="BD103">
        <v>0</v>
      </c>
      <c r="BE103">
        <v>0</v>
      </c>
      <c r="BF103">
        <v>0</v>
      </c>
      <c r="BG103">
        <v>0</v>
      </c>
      <c r="BI103" t="s">
        <v>287</v>
      </c>
      <c r="BK103">
        <v>0.8</v>
      </c>
      <c r="BL103">
        <v>0.797560975609756</v>
      </c>
      <c r="BM103">
        <v>0.785365853658536</v>
      </c>
      <c r="BN103">
        <v>0.773170731707317</v>
      </c>
      <c r="BO103">
        <v>0.760975609756097</v>
      </c>
      <c r="BP103">
        <v>0.748780487804878</v>
      </c>
      <c r="BQ103">
        <v>0.736585365853658</v>
      </c>
      <c r="BR103">
        <v>0.724390243902439</v>
      </c>
      <c r="BS103">
        <v>0.71219512195122</v>
      </c>
      <c r="BT103">
        <v>0.699999999999999</v>
      </c>
      <c r="BU103">
        <v>0.687499999999999</v>
      </c>
      <c r="BV103">
        <v>0.675</v>
      </c>
      <c r="BW103">
        <v>0.6625</v>
      </c>
      <c r="BX103">
        <v>0.649999999999999</v>
      </c>
      <c r="BY103">
        <v>0.637499999999999</v>
      </c>
      <c r="BZ103">
        <v>0.625</v>
      </c>
      <c r="CA103">
        <v>0.6125</v>
      </c>
      <c r="CB103">
        <v>0.6</v>
      </c>
      <c r="CC103" t="e">
        <v>#VALUE!</v>
      </c>
      <c r="CD103" t="e">
        <v>#VALUE!</v>
      </c>
      <c r="CE103" t="e">
        <v>#VALUE!</v>
      </c>
      <c r="CF103" t="e">
        <v>#VALUE!</v>
      </c>
      <c r="CG103" t="e">
        <v>#VALUE!</v>
      </c>
      <c r="CH103" t="e">
        <v>#VALUE!</v>
      </c>
      <c r="CI103" t="e">
        <v>#VALUE!</v>
      </c>
      <c r="CJ103" t="e">
        <v>#VALUE!</v>
      </c>
    </row>
    <row r="104" spans="1:88">
      <c r="A104" t="s">
        <v>12</v>
      </c>
      <c r="B104" t="s">
        <v>279</v>
      </c>
      <c r="C104" t="s">
        <v>279</v>
      </c>
      <c r="D104">
        <v>8.84492901</v>
      </c>
      <c r="E104">
        <v>8.94049211840846</v>
      </c>
      <c r="F104">
        <v>10.6930084501507</v>
      </c>
      <c r="G104">
        <v>11.7890780849916</v>
      </c>
      <c r="H104">
        <v>12.5483077451502</v>
      </c>
      <c r="I104">
        <v>13.061205795691</v>
      </c>
      <c r="J104">
        <v>13.4089982983949</v>
      </c>
      <c r="K104">
        <v>13.6861137356217</v>
      </c>
      <c r="L104">
        <v>13.9242206398656</v>
      </c>
      <c r="M104">
        <v>14.1541916218162</v>
      </c>
      <c r="N104">
        <v>14.3736507097135</v>
      </c>
      <c r="O104">
        <v>14.5747051182141</v>
      </c>
      <c r="P104">
        <v>14.7527092622424</v>
      </c>
      <c r="Q104">
        <v>14.9079991651918</v>
      </c>
      <c r="R104">
        <v>15.0520300596838</v>
      </c>
      <c r="S104">
        <v>15.1939046787762</v>
      </c>
      <c r="T104">
        <v>15.3350598085826</v>
      </c>
      <c r="U104">
        <v>15.4690245266091</v>
      </c>
      <c r="V104">
        <v>5</v>
      </c>
      <c r="AF104" s="99" t="s">
        <v>272</v>
      </c>
      <c r="AH104">
        <v>1</v>
      </c>
      <c r="AI104">
        <v>1.01354665343015</v>
      </c>
      <c r="AJ104">
        <v>1.26651860911973</v>
      </c>
      <c r="AK104">
        <v>1.43442777575904</v>
      </c>
      <c r="AL104">
        <v>1.55582290744437</v>
      </c>
      <c r="AM104">
        <v>1.64075103127405</v>
      </c>
      <c r="AN104">
        <v>1.70006493979853</v>
      </c>
      <c r="AO104">
        <v>1.74856667792587</v>
      </c>
      <c r="AP104">
        <v>1.79128115037486</v>
      </c>
      <c r="AQ104">
        <v>1.83354488386238</v>
      </c>
      <c r="AR104">
        <v>1.87489601006984</v>
      </c>
      <c r="AS104">
        <v>1.91374859561425</v>
      </c>
      <c r="AT104">
        <v>1.949028657538</v>
      </c>
      <c r="AU104">
        <v>1.98059151419911</v>
      </c>
      <c r="AV104">
        <v>2.01060739022698</v>
      </c>
      <c r="AW104">
        <v>2.04092932357437</v>
      </c>
      <c r="AX104">
        <v>2.07188563027497</v>
      </c>
      <c r="AY104">
        <v>2.10205175262333</v>
      </c>
      <c r="AZ104">
        <v>0</v>
      </c>
      <c r="BA104">
        <v>0</v>
      </c>
      <c r="BB104">
        <v>0</v>
      </c>
      <c r="BC104">
        <v>0</v>
      </c>
      <c r="BD104">
        <v>0</v>
      </c>
      <c r="BE104">
        <v>0</v>
      </c>
      <c r="BF104">
        <v>0</v>
      </c>
      <c r="BG104">
        <v>0</v>
      </c>
      <c r="BI104" t="s">
        <v>287</v>
      </c>
      <c r="BK104">
        <v>0.8</v>
      </c>
      <c r="BL104">
        <v>0.797560975609756</v>
      </c>
      <c r="BM104">
        <v>0.785365853658536</v>
      </c>
      <c r="BN104">
        <v>0.773170731707317</v>
      </c>
      <c r="BO104">
        <v>0.760975609756097</v>
      </c>
      <c r="BP104">
        <v>0.748780487804878</v>
      </c>
      <c r="BQ104">
        <v>0.736585365853658</v>
      </c>
      <c r="BR104">
        <v>0.724390243902439</v>
      </c>
      <c r="BS104">
        <v>0.71219512195122</v>
      </c>
      <c r="BT104">
        <v>0.699999999999999</v>
      </c>
      <c r="BU104">
        <v>0.687499999999999</v>
      </c>
      <c r="BV104">
        <v>0.675</v>
      </c>
      <c r="BW104">
        <v>0.6625</v>
      </c>
      <c r="BX104">
        <v>0.649999999999999</v>
      </c>
      <c r="BY104">
        <v>0.637499999999999</v>
      </c>
      <c r="BZ104">
        <v>0.625</v>
      </c>
      <c r="CA104">
        <v>0.6125</v>
      </c>
      <c r="CB104">
        <v>0.6</v>
      </c>
      <c r="CC104" t="e">
        <v>#VALUE!</v>
      </c>
      <c r="CD104" t="e">
        <v>#VALUE!</v>
      </c>
      <c r="CE104" t="e">
        <v>#VALUE!</v>
      </c>
      <c r="CF104" t="e">
        <v>#VALUE!</v>
      </c>
      <c r="CG104" t="e">
        <v>#VALUE!</v>
      </c>
      <c r="CH104" t="e">
        <v>#VALUE!</v>
      </c>
      <c r="CI104" t="e">
        <v>#VALUE!</v>
      </c>
      <c r="CJ104" t="e">
        <v>#VALUE!</v>
      </c>
    </row>
    <row r="105" spans="1:88">
      <c r="A105" t="s">
        <v>12</v>
      </c>
      <c r="B105" t="s">
        <v>280</v>
      </c>
      <c r="C105" t="s">
        <v>280</v>
      </c>
      <c r="D105">
        <v>0.504</v>
      </c>
      <c r="E105">
        <v>0.50225309228261</v>
      </c>
      <c r="F105">
        <v>0.493644509405803</v>
      </c>
      <c r="G105">
        <v>0.484637376532017</v>
      </c>
      <c r="H105">
        <v>0.475959326015691</v>
      </c>
      <c r="I105">
        <v>0.467717736174244</v>
      </c>
      <c r="J105">
        <v>0.460049496056039</v>
      </c>
      <c r="K105">
        <v>0.452928381873909</v>
      </c>
      <c r="L105">
        <v>0.446222693691771</v>
      </c>
      <c r="M105">
        <v>0.439974927636424</v>
      </c>
      <c r="N105">
        <v>0.434049355975938</v>
      </c>
      <c r="O105">
        <v>0.428411794634936</v>
      </c>
      <c r="P105">
        <v>0.422972465515959</v>
      </c>
      <c r="Q105">
        <v>0.417751631496905</v>
      </c>
      <c r="R105">
        <v>0.412786474426179</v>
      </c>
      <c r="S105">
        <v>0.408077090432723</v>
      </c>
      <c r="T105">
        <v>0.403499702181505</v>
      </c>
      <c r="U105">
        <v>0.398879335581905</v>
      </c>
      <c r="V105">
        <v>5</v>
      </c>
      <c r="AF105" s="99" t="s">
        <v>277</v>
      </c>
      <c r="AH105">
        <v>1</v>
      </c>
      <c r="AI105">
        <v>0.99565414200688</v>
      </c>
      <c r="AJ105">
        <v>0.973924852041279</v>
      </c>
      <c r="AK105">
        <v>0.950941027310412</v>
      </c>
      <c r="AL105">
        <v>0.928564735527901</v>
      </c>
      <c r="AM105">
        <v>0.907091433932438</v>
      </c>
      <c r="AN105">
        <v>0.886901270047469</v>
      </c>
      <c r="AO105">
        <v>0.867949661628756</v>
      </c>
      <c r="AP105">
        <v>0.849906636151745</v>
      </c>
      <c r="AQ105">
        <v>0.8329067393141</v>
      </c>
      <c r="AR105">
        <v>0.816590277095107</v>
      </c>
      <c r="AS105">
        <v>0.800877512792707</v>
      </c>
      <c r="AT105">
        <v>0.785529076507733</v>
      </c>
      <c r="AU105">
        <v>0.770612241089016</v>
      </c>
      <c r="AV105">
        <v>0.756245093556239</v>
      </c>
      <c r="AW105">
        <v>0.7424405771416</v>
      </c>
      <c r="AX105">
        <v>0.72884395140708</v>
      </c>
      <c r="AY105">
        <v>0.714934291204956</v>
      </c>
      <c r="AZ105">
        <v>0</v>
      </c>
      <c r="BA105">
        <v>0</v>
      </c>
      <c r="BB105">
        <v>0</v>
      </c>
      <c r="BC105">
        <v>0</v>
      </c>
      <c r="BD105">
        <v>0</v>
      </c>
      <c r="BE105">
        <v>0</v>
      </c>
      <c r="BF105">
        <v>0</v>
      </c>
      <c r="BG105">
        <v>0</v>
      </c>
      <c r="BI105" t="s">
        <v>287</v>
      </c>
      <c r="BK105">
        <v>0.8</v>
      </c>
      <c r="BL105">
        <v>0.797560975609756</v>
      </c>
      <c r="BM105">
        <v>0.785365853658536</v>
      </c>
      <c r="BN105">
        <v>0.773170731707317</v>
      </c>
      <c r="BO105">
        <v>0.760975609756097</v>
      </c>
      <c r="BP105">
        <v>0.748780487804878</v>
      </c>
      <c r="BQ105">
        <v>0.736585365853658</v>
      </c>
      <c r="BR105">
        <v>0.724390243902439</v>
      </c>
      <c r="BS105">
        <v>0.71219512195122</v>
      </c>
      <c r="BT105">
        <v>0.699999999999999</v>
      </c>
      <c r="BU105">
        <v>0.687499999999999</v>
      </c>
      <c r="BV105">
        <v>0.675</v>
      </c>
      <c r="BW105">
        <v>0.6625</v>
      </c>
      <c r="BX105">
        <v>0.649999999999999</v>
      </c>
      <c r="BY105">
        <v>0.637499999999999</v>
      </c>
      <c r="BZ105">
        <v>0.625</v>
      </c>
      <c r="CA105">
        <v>0.6125</v>
      </c>
      <c r="CB105">
        <v>0.6</v>
      </c>
      <c r="CC105" t="e">
        <v>#VALUE!</v>
      </c>
      <c r="CD105" t="e">
        <v>#VALUE!</v>
      </c>
      <c r="CE105" t="e">
        <v>#VALUE!</v>
      </c>
      <c r="CF105" t="e">
        <v>#VALUE!</v>
      </c>
      <c r="CG105" t="e">
        <v>#VALUE!</v>
      </c>
      <c r="CH105" t="e">
        <v>#VALUE!</v>
      </c>
      <c r="CI105" t="e">
        <v>#VALUE!</v>
      </c>
      <c r="CJ105" t="e">
        <v>#VALUE!</v>
      </c>
    </row>
    <row r="106" spans="1:88">
      <c r="A106" t="s">
        <v>12</v>
      </c>
      <c r="B106" t="s">
        <v>281</v>
      </c>
      <c r="C106" t="s">
        <v>281</v>
      </c>
      <c r="D106">
        <v>0.105</v>
      </c>
      <c r="E106">
        <v>0.10463606089221</v>
      </c>
      <c r="F106">
        <v>0.102842606126209</v>
      </c>
      <c r="G106">
        <v>0.100966120110837</v>
      </c>
      <c r="H106">
        <v>0.0991581929199356</v>
      </c>
      <c r="I106">
        <v>0.0974411950363009</v>
      </c>
      <c r="J106">
        <v>0.0958436450116748</v>
      </c>
      <c r="K106">
        <v>0.0943600795570643</v>
      </c>
      <c r="L106">
        <v>0.0929630611857857</v>
      </c>
      <c r="M106">
        <v>0.0916614432575883</v>
      </c>
      <c r="N106">
        <v>0.0904269491616537</v>
      </c>
      <c r="O106">
        <v>0.0892524572156116</v>
      </c>
      <c r="P106">
        <v>0.0881192636491582</v>
      </c>
      <c r="Q106">
        <v>0.0870315898951886</v>
      </c>
      <c r="R106">
        <v>0.0859971821721206</v>
      </c>
      <c r="S106">
        <v>0.0850160605068174</v>
      </c>
      <c r="T106">
        <v>0.0840624379544803</v>
      </c>
      <c r="U106">
        <v>0.0830998615795636</v>
      </c>
      <c r="V106">
        <v>5</v>
      </c>
      <c r="AF106" s="99" t="s">
        <v>277</v>
      </c>
      <c r="AH106">
        <v>1</v>
      </c>
      <c r="AI106">
        <v>0.99565414200688</v>
      </c>
      <c r="AJ106">
        <v>0.973924852041279</v>
      </c>
      <c r="AK106">
        <v>0.950941027310412</v>
      </c>
      <c r="AL106">
        <v>0.928564735527901</v>
      </c>
      <c r="AM106">
        <v>0.907091433932438</v>
      </c>
      <c r="AN106">
        <v>0.886901270047469</v>
      </c>
      <c r="AO106">
        <v>0.867949661628756</v>
      </c>
      <c r="AP106">
        <v>0.849906636151745</v>
      </c>
      <c r="AQ106">
        <v>0.8329067393141</v>
      </c>
      <c r="AR106">
        <v>0.816590277095107</v>
      </c>
      <c r="AS106">
        <v>0.800877512792707</v>
      </c>
      <c r="AT106">
        <v>0.785529076507733</v>
      </c>
      <c r="AU106">
        <v>0.770612241089016</v>
      </c>
      <c r="AV106">
        <v>0.756245093556239</v>
      </c>
      <c r="AW106">
        <v>0.7424405771416</v>
      </c>
      <c r="AX106">
        <v>0.72884395140708</v>
      </c>
      <c r="AY106">
        <v>0.714934291204956</v>
      </c>
      <c r="AZ106">
        <v>0</v>
      </c>
      <c r="BA106">
        <v>0</v>
      </c>
      <c r="BB106">
        <v>0</v>
      </c>
      <c r="BC106">
        <v>0</v>
      </c>
      <c r="BD106">
        <v>0</v>
      </c>
      <c r="BE106">
        <v>0</v>
      </c>
      <c r="BF106">
        <v>0</v>
      </c>
      <c r="BG106">
        <v>0</v>
      </c>
      <c r="BI106" t="s">
        <v>287</v>
      </c>
      <c r="BK106">
        <v>0.8</v>
      </c>
      <c r="BL106">
        <v>0.797560975609756</v>
      </c>
      <c r="BM106">
        <v>0.785365853658536</v>
      </c>
      <c r="BN106">
        <v>0.773170731707317</v>
      </c>
      <c r="BO106">
        <v>0.760975609756097</v>
      </c>
      <c r="BP106">
        <v>0.748780487804878</v>
      </c>
      <c r="BQ106">
        <v>0.736585365853658</v>
      </c>
      <c r="BR106">
        <v>0.724390243902439</v>
      </c>
      <c r="BS106">
        <v>0.71219512195122</v>
      </c>
      <c r="BT106">
        <v>0.699999999999999</v>
      </c>
      <c r="BU106">
        <v>0.687499999999999</v>
      </c>
      <c r="BV106">
        <v>0.675</v>
      </c>
      <c r="BW106">
        <v>0.6625</v>
      </c>
      <c r="BX106">
        <v>0.649999999999999</v>
      </c>
      <c r="BY106">
        <v>0.637499999999999</v>
      </c>
      <c r="BZ106">
        <v>0.625</v>
      </c>
      <c r="CA106">
        <v>0.6125</v>
      </c>
      <c r="CB106">
        <v>0.6</v>
      </c>
      <c r="CC106" t="e">
        <v>#VALUE!</v>
      </c>
      <c r="CD106" t="e">
        <v>#VALUE!</v>
      </c>
      <c r="CE106" t="e">
        <v>#VALUE!</v>
      </c>
      <c r="CF106" t="e">
        <v>#VALUE!</v>
      </c>
      <c r="CG106" t="e">
        <v>#VALUE!</v>
      </c>
      <c r="CH106" t="e">
        <v>#VALUE!</v>
      </c>
      <c r="CI106" t="e">
        <v>#VALUE!</v>
      </c>
      <c r="CJ106" t="e">
        <v>#VALUE!</v>
      </c>
    </row>
    <row r="107" spans="1:88">
      <c r="A107" t="s">
        <v>12</v>
      </c>
      <c r="B107" t="s">
        <v>282</v>
      </c>
      <c r="C107" t="s">
        <v>282</v>
      </c>
      <c r="D107">
        <v>0.805</v>
      </c>
      <c r="E107">
        <v>0.802209800173612</v>
      </c>
      <c r="F107">
        <v>0.788459980300935</v>
      </c>
      <c r="G107">
        <v>0.774073587516416</v>
      </c>
      <c r="H107">
        <v>0.760212812386173</v>
      </c>
      <c r="I107">
        <v>0.747049161944973</v>
      </c>
      <c r="J107">
        <v>0.73480127842284</v>
      </c>
      <c r="K107">
        <v>0.72342727660416</v>
      </c>
      <c r="L107">
        <v>0.712716802424357</v>
      </c>
      <c r="M107">
        <v>0.702737731641511</v>
      </c>
      <c r="N107">
        <v>0.693273276906012</v>
      </c>
      <c r="O107">
        <v>0.684268838653022</v>
      </c>
      <c r="P107">
        <v>0.675581021310213</v>
      </c>
      <c r="Q107">
        <v>0.667242189196446</v>
      </c>
      <c r="R107">
        <v>0.659311729986258</v>
      </c>
      <c r="S107">
        <v>0.651789797218933</v>
      </c>
      <c r="T107">
        <v>0.644478690984349</v>
      </c>
      <c r="U107">
        <v>0.637098938776654</v>
      </c>
      <c r="V107">
        <v>5</v>
      </c>
      <c r="AF107" s="99" t="s">
        <v>277</v>
      </c>
      <c r="AH107">
        <v>1</v>
      </c>
      <c r="AI107">
        <v>0.99565414200688</v>
      </c>
      <c r="AJ107">
        <v>0.973924852041279</v>
      </c>
      <c r="AK107">
        <v>0.950941027310412</v>
      </c>
      <c r="AL107">
        <v>0.928564735527901</v>
      </c>
      <c r="AM107">
        <v>0.907091433932438</v>
      </c>
      <c r="AN107">
        <v>0.886901270047469</v>
      </c>
      <c r="AO107">
        <v>0.867949661628756</v>
      </c>
      <c r="AP107">
        <v>0.849906636151745</v>
      </c>
      <c r="AQ107">
        <v>0.8329067393141</v>
      </c>
      <c r="AR107">
        <v>0.816590277095107</v>
      </c>
      <c r="AS107">
        <v>0.800877512792707</v>
      </c>
      <c r="AT107">
        <v>0.785529076507733</v>
      </c>
      <c r="AU107">
        <v>0.770612241089016</v>
      </c>
      <c r="AV107">
        <v>0.756245093556239</v>
      </c>
      <c r="AW107">
        <v>0.7424405771416</v>
      </c>
      <c r="AX107">
        <v>0.72884395140708</v>
      </c>
      <c r="AY107">
        <v>0.714934291204956</v>
      </c>
      <c r="AZ107">
        <v>0</v>
      </c>
      <c r="BA107">
        <v>0</v>
      </c>
      <c r="BB107">
        <v>0</v>
      </c>
      <c r="BC107">
        <v>0</v>
      </c>
      <c r="BD107">
        <v>0</v>
      </c>
      <c r="BE107">
        <v>0</v>
      </c>
      <c r="BF107">
        <v>0</v>
      </c>
      <c r="BG107">
        <v>0</v>
      </c>
      <c r="BI107" t="s">
        <v>287</v>
      </c>
      <c r="BK107">
        <v>0.8</v>
      </c>
      <c r="BL107">
        <v>0.797560975609756</v>
      </c>
      <c r="BM107">
        <v>0.785365853658536</v>
      </c>
      <c r="BN107">
        <v>0.773170731707317</v>
      </c>
      <c r="BO107">
        <v>0.760975609756097</v>
      </c>
      <c r="BP107">
        <v>0.748780487804878</v>
      </c>
      <c r="BQ107">
        <v>0.736585365853658</v>
      </c>
      <c r="BR107">
        <v>0.724390243902439</v>
      </c>
      <c r="BS107">
        <v>0.71219512195122</v>
      </c>
      <c r="BT107">
        <v>0.699999999999999</v>
      </c>
      <c r="BU107">
        <v>0.687499999999999</v>
      </c>
      <c r="BV107">
        <v>0.675</v>
      </c>
      <c r="BW107">
        <v>0.6625</v>
      </c>
      <c r="BX107">
        <v>0.649999999999999</v>
      </c>
      <c r="BY107">
        <v>0.637499999999999</v>
      </c>
      <c r="BZ107">
        <v>0.625</v>
      </c>
      <c r="CA107">
        <v>0.6125</v>
      </c>
      <c r="CB107">
        <v>0.6</v>
      </c>
      <c r="CC107" t="e">
        <v>#VALUE!</v>
      </c>
      <c r="CD107" t="e">
        <v>#VALUE!</v>
      </c>
      <c r="CE107" t="e">
        <v>#VALUE!</v>
      </c>
      <c r="CF107" t="e">
        <v>#VALUE!</v>
      </c>
      <c r="CG107" t="e">
        <v>#VALUE!</v>
      </c>
      <c r="CH107" t="e">
        <v>#VALUE!</v>
      </c>
      <c r="CI107" t="e">
        <v>#VALUE!</v>
      </c>
      <c r="CJ107" t="e">
        <v>#VALUE!</v>
      </c>
    </row>
    <row r="108" spans="1:88">
      <c r="A108" t="s">
        <v>12</v>
      </c>
      <c r="B108" t="s">
        <v>283</v>
      </c>
      <c r="C108" t="s">
        <v>283</v>
      </c>
      <c r="D108">
        <v>29.832</v>
      </c>
      <c r="E108">
        <v>30.2595718104059</v>
      </c>
      <c r="F108">
        <v>36.8536128709613</v>
      </c>
      <c r="G108">
        <v>41.4112272628376</v>
      </c>
      <c r="H108">
        <v>44.9018127908655</v>
      </c>
      <c r="I108">
        <v>47.5764849769605</v>
      </c>
      <c r="J108">
        <v>49.669961079823</v>
      </c>
      <c r="K108">
        <v>51.504502610094</v>
      </c>
      <c r="L108">
        <v>53.1983071427684</v>
      </c>
      <c r="M108">
        <v>54.8549140297763</v>
      </c>
      <c r="N108">
        <v>56.4759739288029</v>
      </c>
      <c r="O108">
        <v>58.0293600549186</v>
      </c>
      <c r="P108">
        <v>59.5030987542138</v>
      </c>
      <c r="Q108">
        <v>60.8902398682705</v>
      </c>
      <c r="R108">
        <v>62.2271514370812</v>
      </c>
      <c r="S108">
        <v>63.5477211982189</v>
      </c>
      <c r="T108">
        <v>64.8752191072002</v>
      </c>
      <c r="U108">
        <v>66.2103072685237</v>
      </c>
      <c r="V108">
        <v>5</v>
      </c>
      <c r="AF108" s="99" t="s">
        <v>284</v>
      </c>
      <c r="AH108">
        <v>1</v>
      </c>
      <c r="AI108">
        <v>1.01797060913864</v>
      </c>
      <c r="AJ108">
        <v>1.30042744721546</v>
      </c>
      <c r="AK108">
        <v>1.50842979171494</v>
      </c>
      <c r="AL108">
        <v>1.6755136695557</v>
      </c>
      <c r="AM108">
        <v>1.80880445994407</v>
      </c>
      <c r="AN108">
        <v>1.91685929112215</v>
      </c>
      <c r="AO108">
        <v>2.01459457296704</v>
      </c>
      <c r="AP108">
        <v>2.10762108940051</v>
      </c>
      <c r="AQ108">
        <v>2.20138077568241</v>
      </c>
      <c r="AR108">
        <v>2.29600579710488</v>
      </c>
      <c r="AS108">
        <v>2.38956465257828</v>
      </c>
      <c r="AT108">
        <v>2.4811667904171</v>
      </c>
      <c r="AU108">
        <v>2.57015319585396</v>
      </c>
      <c r="AV108">
        <v>2.65867164938831</v>
      </c>
      <c r="AW108">
        <v>2.7489463620536</v>
      </c>
      <c r="AX108">
        <v>2.8427012754583</v>
      </c>
      <c r="AY108">
        <v>2.9402027269954</v>
      </c>
      <c r="AZ108">
        <v>0</v>
      </c>
      <c r="BA108">
        <v>0</v>
      </c>
      <c r="BB108">
        <v>0</v>
      </c>
      <c r="BC108">
        <v>0</v>
      </c>
      <c r="BD108">
        <v>0</v>
      </c>
      <c r="BE108">
        <v>0</v>
      </c>
      <c r="BF108">
        <v>0</v>
      </c>
      <c r="BG108">
        <v>0</v>
      </c>
      <c r="BI108" t="s">
        <v>287</v>
      </c>
      <c r="BK108">
        <v>0.8</v>
      </c>
      <c r="BL108">
        <v>0.797560975609756</v>
      </c>
      <c r="BM108">
        <v>0.785365853658536</v>
      </c>
      <c r="BN108">
        <v>0.773170731707317</v>
      </c>
      <c r="BO108">
        <v>0.760975609756097</v>
      </c>
      <c r="BP108">
        <v>0.748780487804878</v>
      </c>
      <c r="BQ108">
        <v>0.736585365853658</v>
      </c>
      <c r="BR108">
        <v>0.724390243902439</v>
      </c>
      <c r="BS108">
        <v>0.71219512195122</v>
      </c>
      <c r="BT108">
        <v>0.699999999999999</v>
      </c>
      <c r="BU108">
        <v>0.687499999999999</v>
      </c>
      <c r="BV108">
        <v>0.675</v>
      </c>
      <c r="BW108">
        <v>0.6625</v>
      </c>
      <c r="BX108">
        <v>0.649999999999999</v>
      </c>
      <c r="BY108">
        <v>0.637499999999999</v>
      </c>
      <c r="BZ108">
        <v>0.625</v>
      </c>
      <c r="CA108">
        <v>0.6125</v>
      </c>
      <c r="CB108">
        <v>0.6</v>
      </c>
      <c r="CC108" t="e">
        <v>#VALUE!</v>
      </c>
      <c r="CD108" t="e">
        <v>#VALUE!</v>
      </c>
      <c r="CE108" t="e">
        <v>#VALUE!</v>
      </c>
      <c r="CF108" t="e">
        <v>#VALUE!</v>
      </c>
      <c r="CG108" t="e">
        <v>#VALUE!</v>
      </c>
      <c r="CH108" t="e">
        <v>#VALUE!</v>
      </c>
      <c r="CI108" t="e">
        <v>#VALUE!</v>
      </c>
      <c r="CJ108" t="e">
        <v>#VALUE!</v>
      </c>
    </row>
    <row r="109" spans="1:88">
      <c r="A109" t="s">
        <v>12</v>
      </c>
      <c r="B109" t="s">
        <v>285</v>
      </c>
      <c r="C109" t="s">
        <v>285</v>
      </c>
      <c r="D109">
        <v>10.8</v>
      </c>
      <c r="E109">
        <v>10.9166862469608</v>
      </c>
      <c r="F109">
        <v>13.0565763875619</v>
      </c>
      <c r="G109">
        <v>14.3949197527713</v>
      </c>
      <c r="H109">
        <v>15.3219684967966</v>
      </c>
      <c r="I109">
        <v>15.9482368297112</v>
      </c>
      <c r="J109">
        <v>16.3729049107048</v>
      </c>
      <c r="K109">
        <v>16.7112735645025</v>
      </c>
      <c r="L109">
        <v>17.002011292632</v>
      </c>
      <c r="M109">
        <v>17.2828147453514</v>
      </c>
      <c r="N109">
        <v>17.5507827693584</v>
      </c>
      <c r="O109">
        <v>17.7962779688508</v>
      </c>
      <c r="P109">
        <v>18.013627904993</v>
      </c>
      <c r="Q109">
        <v>18.2032428753288</v>
      </c>
      <c r="R109">
        <v>18.3791101614037</v>
      </c>
      <c r="S109">
        <v>18.5523445519189</v>
      </c>
      <c r="T109">
        <v>18.7247004182221</v>
      </c>
      <c r="U109">
        <v>18.8882765139772</v>
      </c>
      <c r="V109">
        <v>5</v>
      </c>
      <c r="AF109" s="99" t="s">
        <v>272</v>
      </c>
      <c r="AH109">
        <v>1</v>
      </c>
      <c r="AI109">
        <v>1.01354665343015</v>
      </c>
      <c r="AJ109">
        <v>1.26651860911973</v>
      </c>
      <c r="AK109">
        <v>1.43442777575904</v>
      </c>
      <c r="AL109">
        <v>1.55582290744437</v>
      </c>
      <c r="AM109">
        <v>1.64075103127405</v>
      </c>
      <c r="AN109">
        <v>1.70006493979853</v>
      </c>
      <c r="AO109">
        <v>1.74856667792587</v>
      </c>
      <c r="AP109">
        <v>1.79128115037486</v>
      </c>
      <c r="AQ109">
        <v>1.83354488386238</v>
      </c>
      <c r="AR109">
        <v>1.87489601006984</v>
      </c>
      <c r="AS109">
        <v>1.91374859561425</v>
      </c>
      <c r="AT109">
        <v>1.949028657538</v>
      </c>
      <c r="AU109">
        <v>1.98059151419911</v>
      </c>
      <c r="AV109">
        <v>2.01060739022698</v>
      </c>
      <c r="AW109">
        <v>2.04092932357437</v>
      </c>
      <c r="AX109">
        <v>2.07188563027497</v>
      </c>
      <c r="AY109">
        <v>2.10205175262333</v>
      </c>
      <c r="AZ109">
        <v>0</v>
      </c>
      <c r="BA109">
        <v>0</v>
      </c>
      <c r="BB109">
        <v>0</v>
      </c>
      <c r="BC109">
        <v>0</v>
      </c>
      <c r="BD109">
        <v>0</v>
      </c>
      <c r="BE109">
        <v>0</v>
      </c>
      <c r="BF109">
        <v>0</v>
      </c>
      <c r="BG109">
        <v>0</v>
      </c>
      <c r="BI109" t="s">
        <v>287</v>
      </c>
      <c r="BK109">
        <v>0.8</v>
      </c>
      <c r="BL109">
        <v>0.797560975609756</v>
      </c>
      <c r="BM109">
        <v>0.785365853658536</v>
      </c>
      <c r="BN109">
        <v>0.773170731707317</v>
      </c>
      <c r="BO109">
        <v>0.760975609756097</v>
      </c>
      <c r="BP109">
        <v>0.748780487804878</v>
      </c>
      <c r="BQ109">
        <v>0.736585365853658</v>
      </c>
      <c r="BR109">
        <v>0.724390243902439</v>
      </c>
      <c r="BS109">
        <v>0.71219512195122</v>
      </c>
      <c r="BT109">
        <v>0.699999999999999</v>
      </c>
      <c r="BU109">
        <v>0.687499999999999</v>
      </c>
      <c r="BV109">
        <v>0.675</v>
      </c>
      <c r="BW109">
        <v>0.6625</v>
      </c>
      <c r="BX109">
        <v>0.649999999999999</v>
      </c>
      <c r="BY109">
        <v>0.637499999999999</v>
      </c>
      <c r="BZ109">
        <v>0.625</v>
      </c>
      <c r="CA109">
        <v>0.6125</v>
      </c>
      <c r="CB109">
        <v>0.6</v>
      </c>
      <c r="CC109" t="e">
        <v>#VALUE!</v>
      </c>
      <c r="CD109" t="e">
        <v>#VALUE!</v>
      </c>
      <c r="CE109" t="e">
        <v>#VALUE!</v>
      </c>
      <c r="CF109" t="e">
        <v>#VALUE!</v>
      </c>
      <c r="CG109" t="e">
        <v>#VALUE!</v>
      </c>
      <c r="CH109" t="e">
        <v>#VALUE!</v>
      </c>
      <c r="CI109" t="e">
        <v>#VALUE!</v>
      </c>
      <c r="CJ109" t="e">
        <v>#VALUE!</v>
      </c>
    </row>
    <row r="110" spans="1:88">
      <c r="A110" t="s">
        <v>12</v>
      </c>
      <c r="B110" t="s">
        <v>286</v>
      </c>
      <c r="C110" t="s">
        <v>286</v>
      </c>
      <c r="D110">
        <v>7.16</v>
      </c>
      <c r="E110">
        <v>7.23735866002214</v>
      </c>
      <c r="F110">
        <v>8.65602656805028</v>
      </c>
      <c r="G110">
        <v>9.54329865091136</v>
      </c>
      <c r="H110">
        <v>10.1578976330614</v>
      </c>
      <c r="I110">
        <v>10.5730903426604</v>
      </c>
      <c r="J110">
        <v>10.8546295519117</v>
      </c>
      <c r="K110">
        <v>11.0789554372072</v>
      </c>
      <c r="L110">
        <v>11.271703782893</v>
      </c>
      <c r="M110">
        <v>11.4578660719182</v>
      </c>
      <c r="N110">
        <v>11.6355189470931</v>
      </c>
      <c r="O110">
        <v>11.7982731719418</v>
      </c>
      <c r="P110">
        <v>11.9423681296065</v>
      </c>
      <c r="Q110">
        <v>12.0680758321624</v>
      </c>
      <c r="R110">
        <v>12.1846693292269</v>
      </c>
      <c r="S110">
        <v>12.29951731405</v>
      </c>
      <c r="T110">
        <v>12.4137828698584</v>
      </c>
      <c r="U110">
        <v>12.5222277629701</v>
      </c>
      <c r="V110">
        <v>5</v>
      </c>
      <c r="AF110" s="99" t="s">
        <v>272</v>
      </c>
      <c r="AH110">
        <v>1</v>
      </c>
      <c r="AI110">
        <v>1.01354665343015</v>
      </c>
      <c r="AJ110">
        <v>1.26651860911973</v>
      </c>
      <c r="AK110">
        <v>1.43442777575904</v>
      </c>
      <c r="AL110">
        <v>1.55582290744437</v>
      </c>
      <c r="AM110">
        <v>1.64075103127405</v>
      </c>
      <c r="AN110">
        <v>1.70006493979853</v>
      </c>
      <c r="AO110">
        <v>1.74856667792587</v>
      </c>
      <c r="AP110">
        <v>1.79128115037486</v>
      </c>
      <c r="AQ110">
        <v>1.83354488386238</v>
      </c>
      <c r="AR110">
        <v>1.87489601006984</v>
      </c>
      <c r="AS110">
        <v>1.91374859561425</v>
      </c>
      <c r="AT110">
        <v>1.949028657538</v>
      </c>
      <c r="AU110">
        <v>1.98059151419911</v>
      </c>
      <c r="AV110">
        <v>2.01060739022698</v>
      </c>
      <c r="AW110">
        <v>2.04092932357437</v>
      </c>
      <c r="AX110">
        <v>2.07188563027497</v>
      </c>
      <c r="AY110">
        <v>2.10205175262333</v>
      </c>
      <c r="AZ110">
        <v>0</v>
      </c>
      <c r="BA110">
        <v>0</v>
      </c>
      <c r="BB110">
        <v>0</v>
      </c>
      <c r="BC110">
        <v>0</v>
      </c>
      <c r="BD110">
        <v>0</v>
      </c>
      <c r="BE110">
        <v>0</v>
      </c>
      <c r="BF110">
        <v>0</v>
      </c>
      <c r="BG110">
        <v>0</v>
      </c>
      <c r="BI110" t="s">
        <v>287</v>
      </c>
      <c r="BK110">
        <v>0.8</v>
      </c>
      <c r="BL110">
        <v>0.797560975609756</v>
      </c>
      <c r="BM110">
        <v>0.785365853658536</v>
      </c>
      <c r="BN110">
        <v>0.773170731707317</v>
      </c>
      <c r="BO110">
        <v>0.760975609756097</v>
      </c>
      <c r="BP110">
        <v>0.748780487804878</v>
      </c>
      <c r="BQ110">
        <v>0.736585365853658</v>
      </c>
      <c r="BR110">
        <v>0.724390243902439</v>
      </c>
      <c r="BS110">
        <v>0.71219512195122</v>
      </c>
      <c r="BT110">
        <v>0.699999999999999</v>
      </c>
      <c r="BU110">
        <v>0.687499999999999</v>
      </c>
      <c r="BV110">
        <v>0.675</v>
      </c>
      <c r="BW110">
        <v>0.6625</v>
      </c>
      <c r="BX110">
        <v>0.649999999999999</v>
      </c>
      <c r="BY110">
        <v>0.637499999999999</v>
      </c>
      <c r="BZ110">
        <v>0.625</v>
      </c>
      <c r="CA110">
        <v>0.6125</v>
      </c>
      <c r="CB110">
        <v>0.6</v>
      </c>
      <c r="CC110" t="e">
        <v>#VALUE!</v>
      </c>
      <c r="CD110" t="e">
        <v>#VALUE!</v>
      </c>
      <c r="CE110" t="e">
        <v>#VALUE!</v>
      </c>
      <c r="CF110" t="e">
        <v>#VALUE!</v>
      </c>
      <c r="CG110" t="e">
        <v>#VALUE!</v>
      </c>
      <c r="CH110" t="e">
        <v>#VALUE!</v>
      </c>
      <c r="CI110" t="e">
        <v>#VALUE!</v>
      </c>
      <c r="CJ110" t="e">
        <v>#VALUE!</v>
      </c>
    </row>
    <row r="111" spans="1:88">
      <c r="A111" t="s">
        <v>13</v>
      </c>
      <c r="B111" t="s">
        <v>271</v>
      </c>
      <c r="C111" t="s">
        <v>271</v>
      </c>
      <c r="D111">
        <v>1.9810011672</v>
      </c>
      <c r="E111">
        <v>2.00560851222116</v>
      </c>
      <c r="F111">
        <v>2.16962802049659</v>
      </c>
      <c r="G111">
        <v>2.32453971331531</v>
      </c>
      <c r="H111">
        <v>2.46870556357428</v>
      </c>
      <c r="I111">
        <v>2.60435181868293</v>
      </c>
      <c r="J111">
        <v>2.72512214246848</v>
      </c>
      <c r="K111">
        <v>2.83632404239352</v>
      </c>
      <c r="L111">
        <v>2.94490601422823</v>
      </c>
      <c r="M111">
        <v>3.04740275699253</v>
      </c>
      <c r="N111">
        <v>3.1454230581594</v>
      </c>
      <c r="O111">
        <v>3.2342007544509</v>
      </c>
      <c r="P111">
        <v>3.31099724675005</v>
      </c>
      <c r="Q111">
        <v>3.37750497297295</v>
      </c>
      <c r="R111">
        <v>3.43665492785159</v>
      </c>
      <c r="S111">
        <v>3.49071104902718</v>
      </c>
      <c r="T111">
        <v>3.54052503039801</v>
      </c>
      <c r="U111">
        <v>3.58369017519339</v>
      </c>
      <c r="V111">
        <v>5</v>
      </c>
      <c r="AF111" s="99" t="s">
        <v>272</v>
      </c>
      <c r="AH111">
        <v>1</v>
      </c>
      <c r="AI111">
        <v>1.01557457237373</v>
      </c>
      <c r="AJ111">
        <v>1.1213267076235</v>
      </c>
      <c r="AK111">
        <v>1.22487803718389</v>
      </c>
      <c r="AL111">
        <v>1.32470492634685</v>
      </c>
      <c r="AM111">
        <v>1.42191318091703</v>
      </c>
      <c r="AN111">
        <v>1.51143122248092</v>
      </c>
      <c r="AO111">
        <v>1.59657286647917</v>
      </c>
      <c r="AP111">
        <v>1.68239348244542</v>
      </c>
      <c r="AQ111">
        <v>1.76604390949538</v>
      </c>
      <c r="AR111">
        <v>1.84866957514004</v>
      </c>
      <c r="AS111">
        <v>1.92596972325319</v>
      </c>
      <c r="AT111">
        <v>1.99499974065792</v>
      </c>
      <c r="AU111">
        <v>2.05665111574725</v>
      </c>
      <c r="AV111">
        <v>2.1131498680237</v>
      </c>
      <c r="AW111">
        <v>2.16633120288619</v>
      </c>
      <c r="AX111">
        <v>2.21680385382328</v>
      </c>
      <c r="AY111">
        <v>2.26184833098965</v>
      </c>
      <c r="AZ111">
        <v>0</v>
      </c>
      <c r="BA111">
        <v>0</v>
      </c>
      <c r="BB111">
        <v>0</v>
      </c>
      <c r="BC111">
        <v>0</v>
      </c>
      <c r="BD111">
        <v>0</v>
      </c>
      <c r="BE111">
        <v>0</v>
      </c>
      <c r="BF111">
        <v>0</v>
      </c>
      <c r="BG111">
        <v>0</v>
      </c>
      <c r="BI111" t="s">
        <v>287</v>
      </c>
      <c r="BK111">
        <v>0.8</v>
      </c>
      <c r="BL111">
        <v>0.797560975609756</v>
      </c>
      <c r="BM111">
        <v>0.785365853658536</v>
      </c>
      <c r="BN111">
        <v>0.773170731707317</v>
      </c>
      <c r="BO111">
        <v>0.760975609756097</v>
      </c>
      <c r="BP111">
        <v>0.748780487804878</v>
      </c>
      <c r="BQ111">
        <v>0.736585365853658</v>
      </c>
      <c r="BR111">
        <v>0.724390243902439</v>
      </c>
      <c r="BS111">
        <v>0.71219512195122</v>
      </c>
      <c r="BT111">
        <v>0.699999999999999</v>
      </c>
      <c r="BU111">
        <v>0.687499999999999</v>
      </c>
      <c r="BV111">
        <v>0.675</v>
      </c>
      <c r="BW111">
        <v>0.6625</v>
      </c>
      <c r="BX111">
        <v>0.649999999999999</v>
      </c>
      <c r="BY111">
        <v>0.637499999999999</v>
      </c>
      <c r="BZ111">
        <v>0.625</v>
      </c>
      <c r="CA111">
        <v>0.6125</v>
      </c>
      <c r="CB111">
        <v>0.6</v>
      </c>
      <c r="CC111" t="e">
        <v>#VALUE!</v>
      </c>
      <c r="CD111" t="e">
        <v>#VALUE!</v>
      </c>
      <c r="CE111" t="e">
        <v>#VALUE!</v>
      </c>
      <c r="CF111" t="e">
        <v>#VALUE!</v>
      </c>
      <c r="CG111" t="e">
        <v>#VALUE!</v>
      </c>
      <c r="CH111" t="e">
        <v>#VALUE!</v>
      </c>
      <c r="CI111" t="e">
        <v>#VALUE!</v>
      </c>
      <c r="CJ111" t="e">
        <v>#VALUE!</v>
      </c>
    </row>
    <row r="112" spans="1:88">
      <c r="A112" t="s">
        <v>13</v>
      </c>
      <c r="B112" t="s">
        <v>274</v>
      </c>
      <c r="C112" t="s">
        <v>274</v>
      </c>
      <c r="D112">
        <v>19.3069969596</v>
      </c>
      <c r="E112">
        <v>19.5468221264771</v>
      </c>
      <c r="F112">
        <v>21.1453694670951</v>
      </c>
      <c r="G112">
        <v>22.6551513045712</v>
      </c>
      <c r="H112">
        <v>24.0602032948041</v>
      </c>
      <c r="I112">
        <v>25.3822226243866</v>
      </c>
      <c r="J112">
        <v>26.5592599289295</v>
      </c>
      <c r="K112">
        <v>27.6430426037217</v>
      </c>
      <c r="L112">
        <v>28.7012912482913</v>
      </c>
      <c r="M112">
        <v>29.7002327601311</v>
      </c>
      <c r="N112">
        <v>30.6555465115525</v>
      </c>
      <c r="O112">
        <v>31.5207810912993</v>
      </c>
      <c r="P112">
        <v>32.2692458917635</v>
      </c>
      <c r="Q112">
        <v>32.9174355492135</v>
      </c>
      <c r="R112">
        <v>33.4939157744203</v>
      </c>
      <c r="S112">
        <v>34.0207510860117</v>
      </c>
      <c r="T112">
        <v>34.5062421613308</v>
      </c>
      <c r="U112">
        <v>34.9269331397732</v>
      </c>
      <c r="V112">
        <v>5</v>
      </c>
      <c r="AF112" s="99" t="s">
        <v>272</v>
      </c>
      <c r="AH112">
        <v>1</v>
      </c>
      <c r="AI112">
        <v>1.01557457237373</v>
      </c>
      <c r="AJ112">
        <v>1.1213267076235</v>
      </c>
      <c r="AK112">
        <v>1.22487803718389</v>
      </c>
      <c r="AL112">
        <v>1.32470492634685</v>
      </c>
      <c r="AM112">
        <v>1.42191318091703</v>
      </c>
      <c r="AN112">
        <v>1.51143122248092</v>
      </c>
      <c r="AO112">
        <v>1.59657286647917</v>
      </c>
      <c r="AP112">
        <v>1.68239348244542</v>
      </c>
      <c r="AQ112">
        <v>1.76604390949538</v>
      </c>
      <c r="AR112">
        <v>1.84866957514004</v>
      </c>
      <c r="AS112">
        <v>1.92596972325319</v>
      </c>
      <c r="AT112">
        <v>1.99499974065792</v>
      </c>
      <c r="AU112">
        <v>2.05665111574725</v>
      </c>
      <c r="AV112">
        <v>2.1131498680237</v>
      </c>
      <c r="AW112">
        <v>2.16633120288619</v>
      </c>
      <c r="AX112">
        <v>2.21680385382328</v>
      </c>
      <c r="AY112">
        <v>2.26184833098965</v>
      </c>
      <c r="AZ112">
        <v>0</v>
      </c>
      <c r="BA112">
        <v>0</v>
      </c>
      <c r="BB112">
        <v>0</v>
      </c>
      <c r="BC112">
        <v>0</v>
      </c>
      <c r="BD112">
        <v>0</v>
      </c>
      <c r="BE112">
        <v>0</v>
      </c>
      <c r="BF112">
        <v>0</v>
      </c>
      <c r="BG112">
        <v>0</v>
      </c>
      <c r="BI112" t="s">
        <v>287</v>
      </c>
      <c r="BK112">
        <v>0.8</v>
      </c>
      <c r="BL112">
        <v>0.797560975609756</v>
      </c>
      <c r="BM112">
        <v>0.785365853658536</v>
      </c>
      <c r="BN112">
        <v>0.773170731707317</v>
      </c>
      <c r="BO112">
        <v>0.760975609756097</v>
      </c>
      <c r="BP112">
        <v>0.748780487804878</v>
      </c>
      <c r="BQ112">
        <v>0.736585365853658</v>
      </c>
      <c r="BR112">
        <v>0.724390243902439</v>
      </c>
      <c r="BS112">
        <v>0.71219512195122</v>
      </c>
      <c r="BT112">
        <v>0.699999999999999</v>
      </c>
      <c r="BU112">
        <v>0.687499999999999</v>
      </c>
      <c r="BV112">
        <v>0.675</v>
      </c>
      <c r="BW112">
        <v>0.6625</v>
      </c>
      <c r="BX112">
        <v>0.649999999999999</v>
      </c>
      <c r="BY112">
        <v>0.637499999999999</v>
      </c>
      <c r="BZ112">
        <v>0.625</v>
      </c>
      <c r="CA112">
        <v>0.6125</v>
      </c>
      <c r="CB112">
        <v>0.6</v>
      </c>
      <c r="CC112" t="e">
        <v>#VALUE!</v>
      </c>
      <c r="CD112" t="e">
        <v>#VALUE!</v>
      </c>
      <c r="CE112" t="e">
        <v>#VALUE!</v>
      </c>
      <c r="CF112" t="e">
        <v>#VALUE!</v>
      </c>
      <c r="CG112" t="e">
        <v>#VALUE!</v>
      </c>
      <c r="CH112" t="e">
        <v>#VALUE!</v>
      </c>
      <c r="CI112" t="e">
        <v>#VALUE!</v>
      </c>
      <c r="CJ112" t="e">
        <v>#VALUE!</v>
      </c>
    </row>
    <row r="113" spans="1:88">
      <c r="A113" t="s">
        <v>13</v>
      </c>
      <c r="B113" t="s">
        <v>275</v>
      </c>
      <c r="C113" t="s">
        <v>275</v>
      </c>
      <c r="D113">
        <v>3.87681686424</v>
      </c>
      <c r="E113">
        <v>3.92497340838634</v>
      </c>
      <c r="F113">
        <v>4.24595938571683</v>
      </c>
      <c r="G113">
        <v>4.54912137932455</v>
      </c>
      <c r="H113">
        <v>4.83125377216984</v>
      </c>
      <c r="I113">
        <v>5.09671332771343</v>
      </c>
      <c r="J113">
        <v>5.33306070382998</v>
      </c>
      <c r="K113">
        <v>5.5506826861402</v>
      </c>
      <c r="L113">
        <v>5.76317747237813</v>
      </c>
      <c r="M113">
        <v>5.9637634727589</v>
      </c>
      <c r="N113">
        <v>6.1555890824019</v>
      </c>
      <c r="O113">
        <v>6.32932692559444</v>
      </c>
      <c r="P113">
        <v>6.47961756721009</v>
      </c>
      <c r="Q113">
        <v>6.60977310618316</v>
      </c>
      <c r="R113">
        <v>6.72552949562369</v>
      </c>
      <c r="S113">
        <v>6.83131725872992</v>
      </c>
      <c r="T113">
        <v>6.92880315942039</v>
      </c>
      <c r="U113">
        <v>7.01327729505485</v>
      </c>
      <c r="V113">
        <v>5</v>
      </c>
      <c r="AF113" s="99" t="s">
        <v>272</v>
      </c>
      <c r="AH113">
        <v>1</v>
      </c>
      <c r="AI113">
        <v>1.01557457237373</v>
      </c>
      <c r="AJ113">
        <v>1.1213267076235</v>
      </c>
      <c r="AK113">
        <v>1.22487803718389</v>
      </c>
      <c r="AL113">
        <v>1.32470492634685</v>
      </c>
      <c r="AM113">
        <v>1.42191318091703</v>
      </c>
      <c r="AN113">
        <v>1.51143122248092</v>
      </c>
      <c r="AO113">
        <v>1.59657286647917</v>
      </c>
      <c r="AP113">
        <v>1.68239348244542</v>
      </c>
      <c r="AQ113">
        <v>1.76604390949538</v>
      </c>
      <c r="AR113">
        <v>1.84866957514004</v>
      </c>
      <c r="AS113">
        <v>1.92596972325319</v>
      </c>
      <c r="AT113">
        <v>1.99499974065792</v>
      </c>
      <c r="AU113">
        <v>2.05665111574725</v>
      </c>
      <c r="AV113">
        <v>2.1131498680237</v>
      </c>
      <c r="AW113">
        <v>2.16633120288619</v>
      </c>
      <c r="AX113">
        <v>2.21680385382328</v>
      </c>
      <c r="AY113">
        <v>2.26184833098965</v>
      </c>
      <c r="AZ113">
        <v>0</v>
      </c>
      <c r="BA113">
        <v>0</v>
      </c>
      <c r="BB113">
        <v>0</v>
      </c>
      <c r="BC113">
        <v>0</v>
      </c>
      <c r="BD113">
        <v>0</v>
      </c>
      <c r="BE113">
        <v>0</v>
      </c>
      <c r="BF113">
        <v>0</v>
      </c>
      <c r="BG113">
        <v>0</v>
      </c>
      <c r="BI113" t="s">
        <v>287</v>
      </c>
      <c r="BK113">
        <v>0.8</v>
      </c>
      <c r="BL113">
        <v>0.797560975609756</v>
      </c>
      <c r="BM113">
        <v>0.785365853658536</v>
      </c>
      <c r="BN113">
        <v>0.773170731707317</v>
      </c>
      <c r="BO113">
        <v>0.760975609756097</v>
      </c>
      <c r="BP113">
        <v>0.748780487804878</v>
      </c>
      <c r="BQ113">
        <v>0.736585365853658</v>
      </c>
      <c r="BR113">
        <v>0.724390243902439</v>
      </c>
      <c r="BS113">
        <v>0.71219512195122</v>
      </c>
      <c r="BT113">
        <v>0.699999999999999</v>
      </c>
      <c r="BU113">
        <v>0.687499999999999</v>
      </c>
      <c r="BV113">
        <v>0.675</v>
      </c>
      <c r="BW113">
        <v>0.6625</v>
      </c>
      <c r="BX113">
        <v>0.649999999999999</v>
      </c>
      <c r="BY113">
        <v>0.637499999999999</v>
      </c>
      <c r="BZ113">
        <v>0.625</v>
      </c>
      <c r="CA113">
        <v>0.6125</v>
      </c>
      <c r="CB113">
        <v>0.6</v>
      </c>
      <c r="CC113" t="e">
        <v>#VALUE!</v>
      </c>
      <c r="CD113" t="e">
        <v>#VALUE!</v>
      </c>
      <c r="CE113" t="e">
        <v>#VALUE!</v>
      </c>
      <c r="CF113" t="e">
        <v>#VALUE!</v>
      </c>
      <c r="CG113" t="e">
        <v>#VALUE!</v>
      </c>
      <c r="CH113" t="e">
        <v>#VALUE!</v>
      </c>
      <c r="CI113" t="e">
        <v>#VALUE!</v>
      </c>
      <c r="CJ113" t="e">
        <v>#VALUE!</v>
      </c>
    </row>
    <row r="114" spans="1:88">
      <c r="A114" t="s">
        <v>13</v>
      </c>
      <c r="B114" t="s">
        <v>276</v>
      </c>
      <c r="C114" t="s">
        <v>276</v>
      </c>
      <c r="D114">
        <v>7.07763551256</v>
      </c>
      <c r="E114">
        <v>7.10295902802551</v>
      </c>
      <c r="F114">
        <v>7.22752783071317</v>
      </c>
      <c r="G114">
        <v>7.16730485951014</v>
      </c>
      <c r="H114">
        <v>7.09434671357223</v>
      </c>
      <c r="I114">
        <v>7.02400495859201</v>
      </c>
      <c r="J114">
        <v>6.96590922086542</v>
      </c>
      <c r="K114">
        <v>6.91840009341947</v>
      </c>
      <c r="L114">
        <v>6.87225679224359</v>
      </c>
      <c r="M114">
        <v>6.81735504668398</v>
      </c>
      <c r="N114">
        <v>6.74610776987787</v>
      </c>
      <c r="O114">
        <v>6.66232601934666</v>
      </c>
      <c r="P114">
        <v>6.57702450869515</v>
      </c>
      <c r="Q114">
        <v>6.50033885369213</v>
      </c>
      <c r="R114">
        <v>6.43552124630316</v>
      </c>
      <c r="S114">
        <v>6.38012044919406</v>
      </c>
      <c r="T114">
        <v>6.33081576393459</v>
      </c>
      <c r="U114">
        <v>6.28230153212521</v>
      </c>
      <c r="V114">
        <v>5</v>
      </c>
      <c r="AF114" s="99" t="s">
        <v>277</v>
      </c>
      <c r="AH114">
        <v>1</v>
      </c>
      <c r="AI114">
        <v>1.00448613053112</v>
      </c>
      <c r="AJ114">
        <v>1.02691678318671</v>
      </c>
      <c r="AK114">
        <v>1.01584972350688</v>
      </c>
      <c r="AL114">
        <v>1.00226106324155</v>
      </c>
      <c r="AM114">
        <v>0.988989345700601</v>
      </c>
      <c r="AN114">
        <v>0.977884104689994</v>
      </c>
      <c r="AO114">
        <v>0.968677191718912</v>
      </c>
      <c r="AP114">
        <v>0.959605608958064</v>
      </c>
      <c r="AQ114">
        <v>0.948653909647699</v>
      </c>
      <c r="AR114">
        <v>0.93423317268371</v>
      </c>
      <c r="AS114">
        <v>0.917044289238451</v>
      </c>
      <c r="AT114">
        <v>0.899321369548259</v>
      </c>
      <c r="AU114">
        <v>0.88318944330414</v>
      </c>
      <c r="AV114">
        <v>0.869375086159187</v>
      </c>
      <c r="AW114">
        <v>0.857400529092767</v>
      </c>
      <c r="AX114">
        <v>0.846582778431326</v>
      </c>
      <c r="AY114">
        <v>0.835770240023922</v>
      </c>
      <c r="AZ114">
        <v>0</v>
      </c>
      <c r="BA114">
        <v>0</v>
      </c>
      <c r="BB114">
        <v>0</v>
      </c>
      <c r="BC114">
        <v>0</v>
      </c>
      <c r="BD114">
        <v>0</v>
      </c>
      <c r="BE114">
        <v>0</v>
      </c>
      <c r="BF114">
        <v>0</v>
      </c>
      <c r="BG114">
        <v>0</v>
      </c>
      <c r="BI114" t="s">
        <v>287</v>
      </c>
      <c r="BK114">
        <v>0.8</v>
      </c>
      <c r="BL114">
        <v>0.797560975609756</v>
      </c>
      <c r="BM114">
        <v>0.785365853658536</v>
      </c>
      <c r="BN114">
        <v>0.773170731707317</v>
      </c>
      <c r="BO114">
        <v>0.760975609756097</v>
      </c>
      <c r="BP114">
        <v>0.748780487804878</v>
      </c>
      <c r="BQ114">
        <v>0.736585365853658</v>
      </c>
      <c r="BR114">
        <v>0.724390243902439</v>
      </c>
      <c r="BS114">
        <v>0.71219512195122</v>
      </c>
      <c r="BT114">
        <v>0.699999999999999</v>
      </c>
      <c r="BU114">
        <v>0.687499999999999</v>
      </c>
      <c r="BV114">
        <v>0.675</v>
      </c>
      <c r="BW114">
        <v>0.6625</v>
      </c>
      <c r="BX114">
        <v>0.649999999999999</v>
      </c>
      <c r="BY114">
        <v>0.637499999999999</v>
      </c>
      <c r="BZ114">
        <v>0.625</v>
      </c>
      <c r="CA114">
        <v>0.6125</v>
      </c>
      <c r="CB114">
        <v>0.6</v>
      </c>
      <c r="CC114" t="e">
        <v>#VALUE!</v>
      </c>
      <c r="CD114" t="e">
        <v>#VALUE!</v>
      </c>
      <c r="CE114" t="e">
        <v>#VALUE!</v>
      </c>
      <c r="CF114" t="e">
        <v>#VALUE!</v>
      </c>
      <c r="CG114" t="e">
        <v>#VALUE!</v>
      </c>
      <c r="CH114" t="e">
        <v>#VALUE!</v>
      </c>
      <c r="CI114" t="e">
        <v>#VALUE!</v>
      </c>
      <c r="CJ114" t="e">
        <v>#VALUE!</v>
      </c>
    </row>
    <row r="115" spans="1:88">
      <c r="A115" t="s">
        <v>13</v>
      </c>
      <c r="B115" t="s">
        <v>278</v>
      </c>
      <c r="C115" t="s">
        <v>278</v>
      </c>
      <c r="D115">
        <v>0.2129992632</v>
      </c>
      <c r="E115">
        <v>0.215645069999914</v>
      </c>
      <c r="F115">
        <v>0.233280614587943</v>
      </c>
      <c r="G115">
        <v>0.249936877581513</v>
      </c>
      <c r="H115">
        <v>0.26543773663813</v>
      </c>
      <c r="I115">
        <v>0.28002256014675</v>
      </c>
      <c r="J115">
        <v>0.293007908367976</v>
      </c>
      <c r="K115">
        <v>0.304964449910025</v>
      </c>
      <c r="L115">
        <v>0.316639294115335</v>
      </c>
      <c r="M115">
        <v>0.327659848293025</v>
      </c>
      <c r="N115">
        <v>0.338199090910785</v>
      </c>
      <c r="O115">
        <v>0.347744559238504</v>
      </c>
      <c r="P115">
        <v>0.35600179630979</v>
      </c>
      <c r="Q115">
        <v>0.363152774773173</v>
      </c>
      <c r="R115">
        <v>0.369512638167535</v>
      </c>
      <c r="S115">
        <v>0.375324807373939</v>
      </c>
      <c r="T115">
        <v>0.380680857387803</v>
      </c>
      <c r="U115">
        <v>0.385322017721056</v>
      </c>
      <c r="V115">
        <v>5</v>
      </c>
      <c r="AF115" s="99" t="s">
        <v>272</v>
      </c>
      <c r="AH115">
        <v>1</v>
      </c>
      <c r="AI115">
        <v>1.01557457237373</v>
      </c>
      <c r="AJ115">
        <v>1.1213267076235</v>
      </c>
      <c r="AK115">
        <v>1.22487803718389</v>
      </c>
      <c r="AL115">
        <v>1.32470492634685</v>
      </c>
      <c r="AM115">
        <v>1.42191318091703</v>
      </c>
      <c r="AN115">
        <v>1.51143122248092</v>
      </c>
      <c r="AO115">
        <v>1.59657286647917</v>
      </c>
      <c r="AP115">
        <v>1.68239348244542</v>
      </c>
      <c r="AQ115">
        <v>1.76604390949538</v>
      </c>
      <c r="AR115">
        <v>1.84866957514004</v>
      </c>
      <c r="AS115">
        <v>1.92596972325319</v>
      </c>
      <c r="AT115">
        <v>1.99499974065792</v>
      </c>
      <c r="AU115">
        <v>2.05665111574725</v>
      </c>
      <c r="AV115">
        <v>2.1131498680237</v>
      </c>
      <c r="AW115">
        <v>2.16633120288619</v>
      </c>
      <c r="AX115">
        <v>2.21680385382328</v>
      </c>
      <c r="AY115">
        <v>2.26184833098965</v>
      </c>
      <c r="AZ115">
        <v>0</v>
      </c>
      <c r="BA115">
        <v>0</v>
      </c>
      <c r="BB115">
        <v>0</v>
      </c>
      <c r="BC115">
        <v>0</v>
      </c>
      <c r="BD115">
        <v>0</v>
      </c>
      <c r="BE115">
        <v>0</v>
      </c>
      <c r="BF115">
        <v>0</v>
      </c>
      <c r="BG115">
        <v>0</v>
      </c>
      <c r="BI115" t="s">
        <v>287</v>
      </c>
      <c r="BK115">
        <v>0.8</v>
      </c>
      <c r="BL115">
        <v>0.797560975609756</v>
      </c>
      <c r="BM115">
        <v>0.785365853658536</v>
      </c>
      <c r="BN115">
        <v>0.773170731707317</v>
      </c>
      <c r="BO115">
        <v>0.760975609756097</v>
      </c>
      <c r="BP115">
        <v>0.748780487804878</v>
      </c>
      <c r="BQ115">
        <v>0.736585365853658</v>
      </c>
      <c r="BR115">
        <v>0.724390243902439</v>
      </c>
      <c r="BS115">
        <v>0.71219512195122</v>
      </c>
      <c r="BT115">
        <v>0.699999999999999</v>
      </c>
      <c r="BU115">
        <v>0.687499999999999</v>
      </c>
      <c r="BV115">
        <v>0.675</v>
      </c>
      <c r="BW115">
        <v>0.6625</v>
      </c>
      <c r="BX115">
        <v>0.649999999999999</v>
      </c>
      <c r="BY115">
        <v>0.637499999999999</v>
      </c>
      <c r="BZ115">
        <v>0.625</v>
      </c>
      <c r="CA115">
        <v>0.6125</v>
      </c>
      <c r="CB115">
        <v>0.6</v>
      </c>
      <c r="CC115" t="e">
        <v>#VALUE!</v>
      </c>
      <c r="CD115" t="e">
        <v>#VALUE!</v>
      </c>
      <c r="CE115" t="e">
        <v>#VALUE!</v>
      </c>
      <c r="CF115" t="e">
        <v>#VALUE!</v>
      </c>
      <c r="CG115" t="e">
        <v>#VALUE!</v>
      </c>
      <c r="CH115" t="e">
        <v>#VALUE!</v>
      </c>
      <c r="CI115" t="e">
        <v>#VALUE!</v>
      </c>
      <c r="CJ115" t="e">
        <v>#VALUE!</v>
      </c>
    </row>
    <row r="116" spans="1:88">
      <c r="A116" t="s">
        <v>13</v>
      </c>
      <c r="B116" t="s">
        <v>279</v>
      </c>
      <c r="C116" t="s">
        <v>279</v>
      </c>
      <c r="D116">
        <v>0</v>
      </c>
      <c r="E116">
        <v>0</v>
      </c>
      <c r="F116">
        <v>0</v>
      </c>
      <c r="G116">
        <v>0</v>
      </c>
      <c r="H116">
        <v>0</v>
      </c>
      <c r="I116">
        <v>0</v>
      </c>
      <c r="J116">
        <v>0</v>
      </c>
      <c r="K116">
        <v>0</v>
      </c>
      <c r="L116">
        <v>0</v>
      </c>
      <c r="M116">
        <v>0</v>
      </c>
      <c r="N116">
        <v>0</v>
      </c>
      <c r="O116">
        <v>0</v>
      </c>
      <c r="P116">
        <v>0</v>
      </c>
      <c r="Q116">
        <v>0</v>
      </c>
      <c r="R116">
        <v>0</v>
      </c>
      <c r="S116">
        <v>0</v>
      </c>
      <c r="T116">
        <v>0</v>
      </c>
      <c r="U116">
        <v>0</v>
      </c>
      <c r="V116">
        <v>5</v>
      </c>
      <c r="AF116" s="99" t="s">
        <v>272</v>
      </c>
      <c r="AH116">
        <v>1</v>
      </c>
      <c r="AI116">
        <v>1.01557457237373</v>
      </c>
      <c r="AJ116">
        <v>1.1213267076235</v>
      </c>
      <c r="AK116">
        <v>1.22487803718389</v>
      </c>
      <c r="AL116">
        <v>1.32470492634685</v>
      </c>
      <c r="AM116">
        <v>1.42191318091703</v>
      </c>
      <c r="AN116">
        <v>1.51143122248092</v>
      </c>
      <c r="AO116">
        <v>1.59657286647917</v>
      </c>
      <c r="AP116">
        <v>1.68239348244542</v>
      </c>
      <c r="AQ116">
        <v>1.76604390949538</v>
      </c>
      <c r="AR116">
        <v>1.84866957514004</v>
      </c>
      <c r="AS116">
        <v>1.92596972325319</v>
      </c>
      <c r="AT116">
        <v>1.99499974065792</v>
      </c>
      <c r="AU116">
        <v>2.05665111574725</v>
      </c>
      <c r="AV116">
        <v>2.1131498680237</v>
      </c>
      <c r="AW116">
        <v>2.16633120288619</v>
      </c>
      <c r="AX116">
        <v>2.21680385382328</v>
      </c>
      <c r="AY116">
        <v>2.26184833098965</v>
      </c>
      <c r="AZ116">
        <v>0</v>
      </c>
      <c r="BA116">
        <v>0</v>
      </c>
      <c r="BB116">
        <v>0</v>
      </c>
      <c r="BC116">
        <v>0</v>
      </c>
      <c r="BD116">
        <v>0</v>
      </c>
      <c r="BE116">
        <v>0</v>
      </c>
      <c r="BF116">
        <v>0</v>
      </c>
      <c r="BG116">
        <v>0</v>
      </c>
      <c r="BI116" t="s">
        <v>287</v>
      </c>
      <c r="BK116">
        <v>0.8</v>
      </c>
      <c r="BL116">
        <v>0.797560975609756</v>
      </c>
      <c r="BM116">
        <v>0.785365853658536</v>
      </c>
      <c r="BN116">
        <v>0.773170731707317</v>
      </c>
      <c r="BO116">
        <v>0.760975609756097</v>
      </c>
      <c r="BP116">
        <v>0.748780487804878</v>
      </c>
      <c r="BQ116">
        <v>0.736585365853658</v>
      </c>
      <c r="BR116">
        <v>0.724390243902439</v>
      </c>
      <c r="BS116">
        <v>0.71219512195122</v>
      </c>
      <c r="BT116">
        <v>0.699999999999999</v>
      </c>
      <c r="BU116">
        <v>0.687499999999999</v>
      </c>
      <c r="BV116">
        <v>0.675</v>
      </c>
      <c r="BW116">
        <v>0.6625</v>
      </c>
      <c r="BX116">
        <v>0.649999999999999</v>
      </c>
      <c r="BY116">
        <v>0.637499999999999</v>
      </c>
      <c r="BZ116">
        <v>0.625</v>
      </c>
      <c r="CA116">
        <v>0.6125</v>
      </c>
      <c r="CB116">
        <v>0.6</v>
      </c>
      <c r="CC116" t="e">
        <v>#VALUE!</v>
      </c>
      <c r="CD116" t="e">
        <v>#VALUE!</v>
      </c>
      <c r="CE116" t="e">
        <v>#VALUE!</v>
      </c>
      <c r="CF116" t="e">
        <v>#VALUE!</v>
      </c>
      <c r="CG116" t="e">
        <v>#VALUE!</v>
      </c>
      <c r="CH116" t="e">
        <v>#VALUE!</v>
      </c>
      <c r="CI116" t="e">
        <v>#VALUE!</v>
      </c>
      <c r="CJ116" t="e">
        <v>#VALUE!</v>
      </c>
    </row>
    <row r="117" spans="1:88">
      <c r="A117" t="s">
        <v>13</v>
      </c>
      <c r="B117" t="s">
        <v>280</v>
      </c>
      <c r="C117" t="s">
        <v>280</v>
      </c>
      <c r="D117">
        <v>1.19</v>
      </c>
      <c r="E117">
        <v>1.1942577755453</v>
      </c>
      <c r="F117">
        <v>1.21520218204028</v>
      </c>
      <c r="G117">
        <v>1.20507657786012</v>
      </c>
      <c r="H117">
        <v>1.19280974192147</v>
      </c>
      <c r="I117">
        <v>1.18098281352457</v>
      </c>
      <c r="J117">
        <v>1.17121487227188</v>
      </c>
      <c r="K117">
        <v>1.16322691336097</v>
      </c>
      <c r="L117">
        <v>1.15546859798829</v>
      </c>
      <c r="M117">
        <v>1.14623767939974</v>
      </c>
      <c r="N117">
        <v>1.13425850086634</v>
      </c>
      <c r="O117">
        <v>1.12017183548844</v>
      </c>
      <c r="P117">
        <v>1.10582964486629</v>
      </c>
      <c r="Q117">
        <v>1.09293608326769</v>
      </c>
      <c r="R117">
        <v>1.08203795879434</v>
      </c>
      <c r="S117">
        <v>1.0727231320499</v>
      </c>
      <c r="T117">
        <v>1.06443327658127</v>
      </c>
      <c r="U117">
        <v>1.05627632419926</v>
      </c>
      <c r="V117">
        <v>5</v>
      </c>
      <c r="AF117" s="99" t="s">
        <v>277</v>
      </c>
      <c r="AH117">
        <v>1</v>
      </c>
      <c r="AI117">
        <v>1.00448613053112</v>
      </c>
      <c r="AJ117">
        <v>1.02691678318671</v>
      </c>
      <c r="AK117">
        <v>1.01584972350688</v>
      </c>
      <c r="AL117">
        <v>1.00226106324155</v>
      </c>
      <c r="AM117">
        <v>0.988989345700601</v>
      </c>
      <c r="AN117">
        <v>0.977884104689994</v>
      </c>
      <c r="AO117">
        <v>0.968677191718912</v>
      </c>
      <c r="AP117">
        <v>0.959605608958064</v>
      </c>
      <c r="AQ117">
        <v>0.948653909647699</v>
      </c>
      <c r="AR117">
        <v>0.93423317268371</v>
      </c>
      <c r="AS117">
        <v>0.917044289238451</v>
      </c>
      <c r="AT117">
        <v>0.899321369548259</v>
      </c>
      <c r="AU117">
        <v>0.88318944330414</v>
      </c>
      <c r="AV117">
        <v>0.869375086159187</v>
      </c>
      <c r="AW117">
        <v>0.857400529092767</v>
      </c>
      <c r="AX117">
        <v>0.846582778431326</v>
      </c>
      <c r="AY117">
        <v>0.835770240023922</v>
      </c>
      <c r="AZ117">
        <v>0</v>
      </c>
      <c r="BA117">
        <v>0</v>
      </c>
      <c r="BB117">
        <v>0</v>
      </c>
      <c r="BC117">
        <v>0</v>
      </c>
      <c r="BD117">
        <v>0</v>
      </c>
      <c r="BE117">
        <v>0</v>
      </c>
      <c r="BF117">
        <v>0</v>
      </c>
      <c r="BG117">
        <v>0</v>
      </c>
      <c r="BI117" t="s">
        <v>287</v>
      </c>
      <c r="BK117">
        <v>0.8</v>
      </c>
      <c r="BL117">
        <v>0.797560975609756</v>
      </c>
      <c r="BM117">
        <v>0.785365853658536</v>
      </c>
      <c r="BN117">
        <v>0.773170731707317</v>
      </c>
      <c r="BO117">
        <v>0.760975609756097</v>
      </c>
      <c r="BP117">
        <v>0.748780487804878</v>
      </c>
      <c r="BQ117">
        <v>0.736585365853658</v>
      </c>
      <c r="BR117">
        <v>0.724390243902439</v>
      </c>
      <c r="BS117">
        <v>0.71219512195122</v>
      </c>
      <c r="BT117">
        <v>0.699999999999999</v>
      </c>
      <c r="BU117">
        <v>0.687499999999999</v>
      </c>
      <c r="BV117">
        <v>0.675</v>
      </c>
      <c r="BW117">
        <v>0.6625</v>
      </c>
      <c r="BX117">
        <v>0.649999999999999</v>
      </c>
      <c r="BY117">
        <v>0.637499999999999</v>
      </c>
      <c r="BZ117">
        <v>0.625</v>
      </c>
      <c r="CA117">
        <v>0.6125</v>
      </c>
      <c r="CB117">
        <v>0.6</v>
      </c>
      <c r="CC117" t="e">
        <v>#VALUE!</v>
      </c>
      <c r="CD117" t="e">
        <v>#VALUE!</v>
      </c>
      <c r="CE117" t="e">
        <v>#VALUE!</v>
      </c>
      <c r="CF117" t="e">
        <v>#VALUE!</v>
      </c>
      <c r="CG117" t="e">
        <v>#VALUE!</v>
      </c>
      <c r="CH117" t="e">
        <v>#VALUE!</v>
      </c>
      <c r="CI117" t="e">
        <v>#VALUE!</v>
      </c>
      <c r="CJ117" t="e">
        <v>#VALUE!</v>
      </c>
    </row>
    <row r="118" spans="1:88">
      <c r="A118" t="s">
        <v>13</v>
      </c>
      <c r="B118" t="s">
        <v>281</v>
      </c>
      <c r="C118" t="s">
        <v>281</v>
      </c>
      <c r="D118">
        <v>0.24</v>
      </c>
      <c r="E118">
        <v>0.240858711034347</v>
      </c>
      <c r="F118">
        <v>0.245082793016527</v>
      </c>
      <c r="G118">
        <v>0.243040654358344</v>
      </c>
      <c r="H118">
        <v>0.240566670639625</v>
      </c>
      <c r="I118">
        <v>0.23818140776966</v>
      </c>
      <c r="J118">
        <v>0.236211402811135</v>
      </c>
      <c r="K118">
        <v>0.234600385887927</v>
      </c>
      <c r="L118">
        <v>0.233035683627891</v>
      </c>
      <c r="M118">
        <v>0.231173985761291</v>
      </c>
      <c r="N118">
        <v>0.228758016981447</v>
      </c>
      <c r="O118">
        <v>0.225917008838005</v>
      </c>
      <c r="P118">
        <v>0.22302446619152</v>
      </c>
      <c r="Q118">
        <v>0.220424084020375</v>
      </c>
      <c r="R118">
        <v>0.218226142950119</v>
      </c>
      <c r="S118">
        <v>0.216347522430231</v>
      </c>
      <c r="T118">
        <v>0.214675618806306</v>
      </c>
      <c r="U118">
        <v>0.213030519166237</v>
      </c>
      <c r="V118">
        <v>5</v>
      </c>
      <c r="AF118" s="99" t="s">
        <v>277</v>
      </c>
      <c r="AH118">
        <v>1</v>
      </c>
      <c r="AI118">
        <v>1.00448613053112</v>
      </c>
      <c r="AJ118">
        <v>1.02691678318671</v>
      </c>
      <c r="AK118">
        <v>1.01584972350688</v>
      </c>
      <c r="AL118">
        <v>1.00226106324155</v>
      </c>
      <c r="AM118">
        <v>0.988989345700601</v>
      </c>
      <c r="AN118">
        <v>0.977884104689994</v>
      </c>
      <c r="AO118">
        <v>0.968677191718912</v>
      </c>
      <c r="AP118">
        <v>0.959605608958064</v>
      </c>
      <c r="AQ118">
        <v>0.948653909647699</v>
      </c>
      <c r="AR118">
        <v>0.93423317268371</v>
      </c>
      <c r="AS118">
        <v>0.917044289238451</v>
      </c>
      <c r="AT118">
        <v>0.899321369548259</v>
      </c>
      <c r="AU118">
        <v>0.88318944330414</v>
      </c>
      <c r="AV118">
        <v>0.869375086159187</v>
      </c>
      <c r="AW118">
        <v>0.857400529092767</v>
      </c>
      <c r="AX118">
        <v>0.846582778431326</v>
      </c>
      <c r="AY118">
        <v>0.835770240023922</v>
      </c>
      <c r="AZ118">
        <v>0</v>
      </c>
      <c r="BA118">
        <v>0</v>
      </c>
      <c r="BB118">
        <v>0</v>
      </c>
      <c r="BC118">
        <v>0</v>
      </c>
      <c r="BD118">
        <v>0</v>
      </c>
      <c r="BE118">
        <v>0</v>
      </c>
      <c r="BF118">
        <v>0</v>
      </c>
      <c r="BG118">
        <v>0</v>
      </c>
      <c r="BI118" t="s">
        <v>287</v>
      </c>
      <c r="BK118">
        <v>0.8</v>
      </c>
      <c r="BL118">
        <v>0.797560975609756</v>
      </c>
      <c r="BM118">
        <v>0.785365853658536</v>
      </c>
      <c r="BN118">
        <v>0.773170731707317</v>
      </c>
      <c r="BO118">
        <v>0.760975609756097</v>
      </c>
      <c r="BP118">
        <v>0.748780487804878</v>
      </c>
      <c r="BQ118">
        <v>0.736585365853658</v>
      </c>
      <c r="BR118">
        <v>0.724390243902439</v>
      </c>
      <c r="BS118">
        <v>0.71219512195122</v>
      </c>
      <c r="BT118">
        <v>0.699999999999999</v>
      </c>
      <c r="BU118">
        <v>0.687499999999999</v>
      </c>
      <c r="BV118">
        <v>0.675</v>
      </c>
      <c r="BW118">
        <v>0.6625</v>
      </c>
      <c r="BX118">
        <v>0.649999999999999</v>
      </c>
      <c r="BY118">
        <v>0.637499999999999</v>
      </c>
      <c r="BZ118">
        <v>0.625</v>
      </c>
      <c r="CA118">
        <v>0.6125</v>
      </c>
      <c r="CB118">
        <v>0.6</v>
      </c>
      <c r="CC118" t="e">
        <v>#VALUE!</v>
      </c>
      <c r="CD118" t="e">
        <v>#VALUE!</v>
      </c>
      <c r="CE118" t="e">
        <v>#VALUE!</v>
      </c>
      <c r="CF118" t="e">
        <v>#VALUE!</v>
      </c>
      <c r="CG118" t="e">
        <v>#VALUE!</v>
      </c>
      <c r="CH118" t="e">
        <v>#VALUE!</v>
      </c>
      <c r="CI118" t="e">
        <v>#VALUE!</v>
      </c>
      <c r="CJ118" t="e">
        <v>#VALUE!</v>
      </c>
    </row>
    <row r="119" spans="1:88">
      <c r="A119" t="s">
        <v>13</v>
      </c>
      <c r="B119" t="s">
        <v>282</v>
      </c>
      <c r="C119" t="s">
        <v>282</v>
      </c>
      <c r="D119">
        <v>1.995</v>
      </c>
      <c r="E119">
        <v>2.00213803547301</v>
      </c>
      <c r="F119">
        <v>2.03725071694988</v>
      </c>
      <c r="G119">
        <v>2.02027543935373</v>
      </c>
      <c r="H119">
        <v>1.99971044969188</v>
      </c>
      <c r="I119">
        <v>1.9798829520853</v>
      </c>
      <c r="J119">
        <v>1.96350728586756</v>
      </c>
      <c r="K119">
        <v>1.95011570769339</v>
      </c>
      <c r="L119">
        <v>1.93710912015685</v>
      </c>
      <c r="M119">
        <v>1.92163375664073</v>
      </c>
      <c r="N119">
        <v>1.90155101615827</v>
      </c>
      <c r="O119">
        <v>1.87793513596592</v>
      </c>
      <c r="P119">
        <v>1.85389087521701</v>
      </c>
      <c r="Q119">
        <v>1.83227519841936</v>
      </c>
      <c r="R119">
        <v>1.81400481327287</v>
      </c>
      <c r="S119">
        <v>1.7983887802013</v>
      </c>
      <c r="T119">
        <v>1.78449108132742</v>
      </c>
      <c r="U119">
        <v>1.77081619056934</v>
      </c>
      <c r="V119">
        <v>5</v>
      </c>
      <c r="AF119" s="99" t="s">
        <v>277</v>
      </c>
      <c r="AH119">
        <v>1</v>
      </c>
      <c r="AI119">
        <v>1.00448613053112</v>
      </c>
      <c r="AJ119">
        <v>1.02691678318671</v>
      </c>
      <c r="AK119">
        <v>1.01584972350688</v>
      </c>
      <c r="AL119">
        <v>1.00226106324155</v>
      </c>
      <c r="AM119">
        <v>0.988989345700601</v>
      </c>
      <c r="AN119">
        <v>0.977884104689994</v>
      </c>
      <c r="AO119">
        <v>0.968677191718912</v>
      </c>
      <c r="AP119">
        <v>0.959605608958064</v>
      </c>
      <c r="AQ119">
        <v>0.948653909647699</v>
      </c>
      <c r="AR119">
        <v>0.93423317268371</v>
      </c>
      <c r="AS119">
        <v>0.917044289238451</v>
      </c>
      <c r="AT119">
        <v>0.899321369548259</v>
      </c>
      <c r="AU119">
        <v>0.88318944330414</v>
      </c>
      <c r="AV119">
        <v>0.869375086159187</v>
      </c>
      <c r="AW119">
        <v>0.857400529092767</v>
      </c>
      <c r="AX119">
        <v>0.846582778431326</v>
      </c>
      <c r="AY119">
        <v>0.835770240023922</v>
      </c>
      <c r="AZ119">
        <v>0</v>
      </c>
      <c r="BA119">
        <v>0</v>
      </c>
      <c r="BB119">
        <v>0</v>
      </c>
      <c r="BC119">
        <v>0</v>
      </c>
      <c r="BD119">
        <v>0</v>
      </c>
      <c r="BE119">
        <v>0</v>
      </c>
      <c r="BF119">
        <v>0</v>
      </c>
      <c r="BG119">
        <v>0</v>
      </c>
      <c r="BI119" t="s">
        <v>287</v>
      </c>
      <c r="BK119">
        <v>0.8</v>
      </c>
      <c r="BL119">
        <v>0.797560975609756</v>
      </c>
      <c r="BM119">
        <v>0.785365853658536</v>
      </c>
      <c r="BN119">
        <v>0.773170731707317</v>
      </c>
      <c r="BO119">
        <v>0.760975609756097</v>
      </c>
      <c r="BP119">
        <v>0.748780487804878</v>
      </c>
      <c r="BQ119">
        <v>0.736585365853658</v>
      </c>
      <c r="BR119">
        <v>0.724390243902439</v>
      </c>
      <c r="BS119">
        <v>0.71219512195122</v>
      </c>
      <c r="BT119">
        <v>0.699999999999999</v>
      </c>
      <c r="BU119">
        <v>0.687499999999999</v>
      </c>
      <c r="BV119">
        <v>0.675</v>
      </c>
      <c r="BW119">
        <v>0.6625</v>
      </c>
      <c r="BX119">
        <v>0.649999999999999</v>
      </c>
      <c r="BY119">
        <v>0.637499999999999</v>
      </c>
      <c r="BZ119">
        <v>0.625</v>
      </c>
      <c r="CA119">
        <v>0.6125</v>
      </c>
      <c r="CB119">
        <v>0.6</v>
      </c>
      <c r="CC119" t="e">
        <v>#VALUE!</v>
      </c>
      <c r="CD119" t="e">
        <v>#VALUE!</v>
      </c>
      <c r="CE119" t="e">
        <v>#VALUE!</v>
      </c>
      <c r="CF119" t="e">
        <v>#VALUE!</v>
      </c>
      <c r="CG119" t="e">
        <v>#VALUE!</v>
      </c>
      <c r="CH119" t="e">
        <v>#VALUE!</v>
      </c>
      <c r="CI119" t="e">
        <v>#VALUE!</v>
      </c>
      <c r="CJ119" t="e">
        <v>#VALUE!</v>
      </c>
    </row>
    <row r="120" spans="1:88">
      <c r="A120" t="s">
        <v>13</v>
      </c>
      <c r="B120" t="s">
        <v>283</v>
      </c>
      <c r="C120" t="s">
        <v>283</v>
      </c>
      <c r="D120">
        <v>66.732</v>
      </c>
      <c r="E120">
        <v>67.319522651914</v>
      </c>
      <c r="F120">
        <v>71.5498538704285</v>
      </c>
      <c r="G120">
        <v>77.3168577806685</v>
      </c>
      <c r="H120">
        <v>82.9746937037038</v>
      </c>
      <c r="I120">
        <v>88.4287778865639</v>
      </c>
      <c r="J120">
        <v>93.3157136922764</v>
      </c>
      <c r="K120">
        <v>97.8022503943406</v>
      </c>
      <c r="L120">
        <v>102.240246892509</v>
      </c>
      <c r="M120">
        <v>106.66599043192</v>
      </c>
      <c r="N120">
        <v>111.281841655096</v>
      </c>
      <c r="O120">
        <v>115.88952134692</v>
      </c>
      <c r="P120">
        <v>120.208602110223</v>
      </c>
      <c r="Q120">
        <v>124.094514876352</v>
      </c>
      <c r="R120">
        <v>127.559365229034</v>
      </c>
      <c r="S120">
        <v>130.707247794221</v>
      </c>
      <c r="T120">
        <v>133.619326609121</v>
      </c>
      <c r="U120">
        <v>136.306650577676</v>
      </c>
      <c r="V120">
        <v>5</v>
      </c>
      <c r="AF120" s="99" t="s">
        <v>284</v>
      </c>
      <c r="AH120">
        <v>1</v>
      </c>
      <c r="AI120">
        <v>1.01103891980743</v>
      </c>
      <c r="AJ120">
        <v>1.09193532132548</v>
      </c>
      <c r="AK120">
        <v>1.20576696418779</v>
      </c>
      <c r="AL120">
        <v>1.32171644188436</v>
      </c>
      <c r="AM120">
        <v>1.43774367954364</v>
      </c>
      <c r="AN120">
        <v>1.54561385672597</v>
      </c>
      <c r="AO120">
        <v>1.6481990906032</v>
      </c>
      <c r="AP120">
        <v>1.75321347305604</v>
      </c>
      <c r="AQ120">
        <v>1.86163140375528</v>
      </c>
      <c r="AR120">
        <v>1.97880960470446</v>
      </c>
      <c r="AS120">
        <v>2.10019270154617</v>
      </c>
      <c r="AT120">
        <v>2.21833908123415</v>
      </c>
      <c r="AU120">
        <v>2.32866360817564</v>
      </c>
      <c r="AV120">
        <v>2.4306538129122</v>
      </c>
      <c r="AW120">
        <v>2.52662685568719</v>
      </c>
      <c r="AX120">
        <v>2.61853171397002</v>
      </c>
      <c r="AY120">
        <v>2.70630398484266</v>
      </c>
      <c r="AZ120">
        <v>0</v>
      </c>
      <c r="BA120">
        <v>0</v>
      </c>
      <c r="BB120">
        <v>0</v>
      </c>
      <c r="BC120">
        <v>0</v>
      </c>
      <c r="BD120">
        <v>0</v>
      </c>
      <c r="BE120">
        <v>0</v>
      </c>
      <c r="BF120">
        <v>0</v>
      </c>
      <c r="BG120">
        <v>0</v>
      </c>
      <c r="BI120" t="s">
        <v>287</v>
      </c>
      <c r="BK120">
        <v>0.8</v>
      </c>
      <c r="BL120">
        <v>0.797560975609756</v>
      </c>
      <c r="BM120">
        <v>0.785365853658536</v>
      </c>
      <c r="BN120">
        <v>0.773170731707317</v>
      </c>
      <c r="BO120">
        <v>0.760975609756097</v>
      </c>
      <c r="BP120">
        <v>0.748780487804878</v>
      </c>
      <c r="BQ120">
        <v>0.736585365853658</v>
      </c>
      <c r="BR120">
        <v>0.724390243902439</v>
      </c>
      <c r="BS120">
        <v>0.71219512195122</v>
      </c>
      <c r="BT120">
        <v>0.699999999999999</v>
      </c>
      <c r="BU120">
        <v>0.687499999999999</v>
      </c>
      <c r="BV120">
        <v>0.675</v>
      </c>
      <c r="BW120">
        <v>0.6625</v>
      </c>
      <c r="BX120">
        <v>0.649999999999999</v>
      </c>
      <c r="BY120">
        <v>0.637499999999999</v>
      </c>
      <c r="BZ120">
        <v>0.625</v>
      </c>
      <c r="CA120">
        <v>0.6125</v>
      </c>
      <c r="CB120">
        <v>0.6</v>
      </c>
      <c r="CC120" t="e">
        <v>#VALUE!</v>
      </c>
      <c r="CD120" t="e">
        <v>#VALUE!</v>
      </c>
      <c r="CE120" t="e">
        <v>#VALUE!</v>
      </c>
      <c r="CF120" t="e">
        <v>#VALUE!</v>
      </c>
      <c r="CG120" t="e">
        <v>#VALUE!</v>
      </c>
      <c r="CH120" t="e">
        <v>#VALUE!</v>
      </c>
      <c r="CI120" t="e">
        <v>#VALUE!</v>
      </c>
      <c r="CJ120" t="e">
        <v>#VALUE!</v>
      </c>
    </row>
    <row r="121" spans="1:88">
      <c r="A121" t="s">
        <v>13</v>
      </c>
      <c r="B121" t="s">
        <v>285</v>
      </c>
      <c r="C121" t="s">
        <v>285</v>
      </c>
      <c r="D121">
        <v>23.5</v>
      </c>
      <c r="E121">
        <v>23.7919092717218</v>
      </c>
      <c r="F121">
        <v>25.7376216258041</v>
      </c>
      <c r="G121">
        <v>27.5752908011259</v>
      </c>
      <c r="H121">
        <v>29.2854853922145</v>
      </c>
      <c r="I121">
        <v>30.8946146788766</v>
      </c>
      <c r="J121">
        <v>32.3272754243379</v>
      </c>
      <c r="K121">
        <v>33.6464289369692</v>
      </c>
      <c r="L121">
        <v>34.9345030584611</v>
      </c>
      <c r="M121">
        <v>36.1503900023166</v>
      </c>
      <c r="N121">
        <v>37.3131743133816</v>
      </c>
      <c r="O121">
        <v>38.3663164807832</v>
      </c>
      <c r="P121">
        <v>39.2773293559452</v>
      </c>
      <c r="Q121">
        <v>40.0662898028728</v>
      </c>
      <c r="R121">
        <v>40.7679672994149</v>
      </c>
      <c r="S121">
        <v>41.4092182328618</v>
      </c>
      <c r="T121">
        <v>42.0001459827273</v>
      </c>
      <c r="U121">
        <v>42.5122006546209</v>
      </c>
      <c r="V121">
        <v>5</v>
      </c>
      <c r="AF121" s="99" t="s">
        <v>272</v>
      </c>
      <c r="AH121">
        <v>1</v>
      </c>
      <c r="AI121">
        <v>1.01557457237373</v>
      </c>
      <c r="AJ121">
        <v>1.1213267076235</v>
      </c>
      <c r="AK121">
        <v>1.22487803718389</v>
      </c>
      <c r="AL121">
        <v>1.32470492634685</v>
      </c>
      <c r="AM121">
        <v>1.42191318091703</v>
      </c>
      <c r="AN121">
        <v>1.51143122248092</v>
      </c>
      <c r="AO121">
        <v>1.59657286647917</v>
      </c>
      <c r="AP121">
        <v>1.68239348244542</v>
      </c>
      <c r="AQ121">
        <v>1.76604390949538</v>
      </c>
      <c r="AR121">
        <v>1.84866957514004</v>
      </c>
      <c r="AS121">
        <v>1.92596972325319</v>
      </c>
      <c r="AT121">
        <v>1.99499974065792</v>
      </c>
      <c r="AU121">
        <v>2.05665111574725</v>
      </c>
      <c r="AV121">
        <v>2.1131498680237</v>
      </c>
      <c r="AW121">
        <v>2.16633120288619</v>
      </c>
      <c r="AX121">
        <v>2.21680385382328</v>
      </c>
      <c r="AY121">
        <v>2.26184833098965</v>
      </c>
      <c r="AZ121">
        <v>0</v>
      </c>
      <c r="BA121">
        <v>0</v>
      </c>
      <c r="BB121">
        <v>0</v>
      </c>
      <c r="BC121">
        <v>0</v>
      </c>
      <c r="BD121">
        <v>0</v>
      </c>
      <c r="BE121">
        <v>0</v>
      </c>
      <c r="BF121">
        <v>0</v>
      </c>
      <c r="BG121">
        <v>0</v>
      </c>
      <c r="BI121" t="s">
        <v>287</v>
      </c>
      <c r="BK121">
        <v>0.8</v>
      </c>
      <c r="BL121">
        <v>0.797560975609756</v>
      </c>
      <c r="BM121">
        <v>0.785365853658536</v>
      </c>
      <c r="BN121">
        <v>0.773170731707317</v>
      </c>
      <c r="BO121">
        <v>0.760975609756097</v>
      </c>
      <c r="BP121">
        <v>0.748780487804878</v>
      </c>
      <c r="BQ121">
        <v>0.736585365853658</v>
      </c>
      <c r="BR121">
        <v>0.724390243902439</v>
      </c>
      <c r="BS121">
        <v>0.71219512195122</v>
      </c>
      <c r="BT121">
        <v>0.699999999999999</v>
      </c>
      <c r="BU121">
        <v>0.687499999999999</v>
      </c>
      <c r="BV121">
        <v>0.675</v>
      </c>
      <c r="BW121">
        <v>0.6625</v>
      </c>
      <c r="BX121">
        <v>0.649999999999999</v>
      </c>
      <c r="BY121">
        <v>0.637499999999999</v>
      </c>
      <c r="BZ121">
        <v>0.625</v>
      </c>
      <c r="CA121">
        <v>0.6125</v>
      </c>
      <c r="CB121">
        <v>0.6</v>
      </c>
      <c r="CC121" t="e">
        <v>#VALUE!</v>
      </c>
      <c r="CD121" t="e">
        <v>#VALUE!</v>
      </c>
      <c r="CE121" t="e">
        <v>#VALUE!</v>
      </c>
      <c r="CF121" t="e">
        <v>#VALUE!</v>
      </c>
      <c r="CG121" t="e">
        <v>#VALUE!</v>
      </c>
      <c r="CH121" t="e">
        <v>#VALUE!</v>
      </c>
      <c r="CI121" t="e">
        <v>#VALUE!</v>
      </c>
      <c r="CJ121" t="e">
        <v>#VALUE!</v>
      </c>
    </row>
    <row r="122" spans="1:88">
      <c r="A122" t="s">
        <v>13</v>
      </c>
      <c r="B122" t="s">
        <v>286</v>
      </c>
      <c r="C122" t="s">
        <v>286</v>
      </c>
      <c r="D122">
        <v>14.96</v>
      </c>
      <c r="E122">
        <v>15.145828200211</v>
      </c>
      <c r="F122">
        <v>16.3844604051928</v>
      </c>
      <c r="G122">
        <v>17.5543127823338</v>
      </c>
      <c r="H122">
        <v>18.643015381597</v>
      </c>
      <c r="I122">
        <v>19.6673802381274</v>
      </c>
      <c r="J122">
        <v>20.5794059722594</v>
      </c>
      <c r="K122">
        <v>21.4191734849812</v>
      </c>
      <c r="L122">
        <v>22.2391559895565</v>
      </c>
      <c r="M122">
        <v>23.0131844440279</v>
      </c>
      <c r="N122">
        <v>23.7534079884336</v>
      </c>
      <c r="O122">
        <v>24.4238338107454</v>
      </c>
      <c r="P122">
        <v>25.003780730423</v>
      </c>
      <c r="Q122">
        <v>25.5060295936586</v>
      </c>
      <c r="R122">
        <v>25.9527145020956</v>
      </c>
      <c r="S122">
        <v>26.3609321176005</v>
      </c>
      <c r="T122">
        <v>26.7371142085788</v>
      </c>
      <c r="U122">
        <v>27.0630860337502</v>
      </c>
      <c r="V122">
        <v>5</v>
      </c>
      <c r="AF122" s="99" t="s">
        <v>272</v>
      </c>
      <c r="AH122">
        <v>1</v>
      </c>
      <c r="AI122">
        <v>1.01557457237373</v>
      </c>
      <c r="AJ122">
        <v>1.1213267076235</v>
      </c>
      <c r="AK122">
        <v>1.22487803718389</v>
      </c>
      <c r="AL122">
        <v>1.32470492634685</v>
      </c>
      <c r="AM122">
        <v>1.42191318091703</v>
      </c>
      <c r="AN122">
        <v>1.51143122248092</v>
      </c>
      <c r="AO122">
        <v>1.59657286647917</v>
      </c>
      <c r="AP122">
        <v>1.68239348244542</v>
      </c>
      <c r="AQ122">
        <v>1.76604390949538</v>
      </c>
      <c r="AR122">
        <v>1.84866957514004</v>
      </c>
      <c r="AS122">
        <v>1.92596972325319</v>
      </c>
      <c r="AT122">
        <v>1.99499974065792</v>
      </c>
      <c r="AU122">
        <v>2.05665111574725</v>
      </c>
      <c r="AV122">
        <v>2.1131498680237</v>
      </c>
      <c r="AW122">
        <v>2.16633120288619</v>
      </c>
      <c r="AX122">
        <v>2.21680385382328</v>
      </c>
      <c r="AY122">
        <v>2.26184833098965</v>
      </c>
      <c r="AZ122">
        <v>0</v>
      </c>
      <c r="BA122">
        <v>0</v>
      </c>
      <c r="BB122">
        <v>0</v>
      </c>
      <c r="BC122">
        <v>0</v>
      </c>
      <c r="BD122">
        <v>0</v>
      </c>
      <c r="BE122">
        <v>0</v>
      </c>
      <c r="BF122">
        <v>0</v>
      </c>
      <c r="BG122">
        <v>0</v>
      </c>
      <c r="BI122" t="s">
        <v>287</v>
      </c>
      <c r="BK122">
        <v>0.8</v>
      </c>
      <c r="BL122">
        <v>0.797560975609756</v>
      </c>
      <c r="BM122">
        <v>0.785365853658536</v>
      </c>
      <c r="BN122">
        <v>0.773170731707317</v>
      </c>
      <c r="BO122">
        <v>0.760975609756097</v>
      </c>
      <c r="BP122">
        <v>0.748780487804878</v>
      </c>
      <c r="BQ122">
        <v>0.736585365853658</v>
      </c>
      <c r="BR122">
        <v>0.724390243902439</v>
      </c>
      <c r="BS122">
        <v>0.71219512195122</v>
      </c>
      <c r="BT122">
        <v>0.699999999999999</v>
      </c>
      <c r="BU122">
        <v>0.687499999999999</v>
      </c>
      <c r="BV122">
        <v>0.675</v>
      </c>
      <c r="BW122">
        <v>0.6625</v>
      </c>
      <c r="BX122">
        <v>0.649999999999999</v>
      </c>
      <c r="BY122">
        <v>0.637499999999999</v>
      </c>
      <c r="BZ122">
        <v>0.625</v>
      </c>
      <c r="CA122">
        <v>0.6125</v>
      </c>
      <c r="CB122">
        <v>0.6</v>
      </c>
      <c r="CC122" t="e">
        <v>#VALUE!</v>
      </c>
      <c r="CD122" t="e">
        <v>#VALUE!</v>
      </c>
      <c r="CE122" t="e">
        <v>#VALUE!</v>
      </c>
      <c r="CF122" t="e">
        <v>#VALUE!</v>
      </c>
      <c r="CG122" t="e">
        <v>#VALUE!</v>
      </c>
      <c r="CH122" t="e">
        <v>#VALUE!</v>
      </c>
      <c r="CI122" t="e">
        <v>#VALUE!</v>
      </c>
      <c r="CJ122" t="e">
        <v>#VALUE!</v>
      </c>
    </row>
    <row r="123" spans="1:88">
      <c r="A123" t="s">
        <v>14</v>
      </c>
      <c r="B123" t="s">
        <v>271</v>
      </c>
      <c r="C123" t="s">
        <v>271</v>
      </c>
      <c r="D123">
        <v>67.7992305024</v>
      </c>
      <c r="E123">
        <v>67.7006244221446</v>
      </c>
      <c r="F123">
        <v>74.1601310795596</v>
      </c>
      <c r="G123">
        <v>78.7691800095293</v>
      </c>
      <c r="H123">
        <v>82.8183808737791</v>
      </c>
      <c r="I123">
        <v>86.8182017627091</v>
      </c>
      <c r="J123">
        <v>90.7731111487504</v>
      </c>
      <c r="K123">
        <v>94.7473706389008</v>
      </c>
      <c r="L123">
        <v>98.7846907555665</v>
      </c>
      <c r="M123">
        <v>102.911670930414</v>
      </c>
      <c r="N123">
        <v>107.056416445576</v>
      </c>
      <c r="O123">
        <v>111.066191797736</v>
      </c>
      <c r="P123">
        <v>114.975022659636</v>
      </c>
      <c r="Q123">
        <v>118.832367964333</v>
      </c>
      <c r="R123">
        <v>122.646421121971</v>
      </c>
      <c r="S123">
        <v>126.394983336484</v>
      </c>
      <c r="T123">
        <v>130.004347426078</v>
      </c>
      <c r="U123">
        <v>133.340405620823</v>
      </c>
      <c r="V123">
        <v>5</v>
      </c>
      <c r="AF123" s="99" t="s">
        <v>272</v>
      </c>
      <c r="AH123">
        <v>1</v>
      </c>
      <c r="AI123">
        <v>0.998176461090183</v>
      </c>
      <c r="AJ123">
        <v>1.11944327994063</v>
      </c>
      <c r="AK123">
        <v>1.20942774060418</v>
      </c>
      <c r="AL123">
        <v>1.29112776475015</v>
      </c>
      <c r="AM123">
        <v>1.37440542410241</v>
      </c>
      <c r="AN123">
        <v>1.45940515005311</v>
      </c>
      <c r="AO123">
        <v>1.5476119935828</v>
      </c>
      <c r="AP123">
        <v>1.64020732941171</v>
      </c>
      <c r="AQ123">
        <v>1.73809848295191</v>
      </c>
      <c r="AR123">
        <v>1.83991891103174</v>
      </c>
      <c r="AS123">
        <v>1.94201338841971</v>
      </c>
      <c r="AT123">
        <v>2.04517813945703</v>
      </c>
      <c r="AU123">
        <v>2.15073897025602</v>
      </c>
      <c r="AV123">
        <v>2.25902177729124</v>
      </c>
      <c r="AW123">
        <v>2.36949327542252</v>
      </c>
      <c r="AX123">
        <v>2.4799647735538</v>
      </c>
      <c r="AY123">
        <v>2.58602926254072</v>
      </c>
      <c r="AZ123">
        <v>0</v>
      </c>
      <c r="BA123">
        <v>0</v>
      </c>
      <c r="BB123">
        <v>0</v>
      </c>
      <c r="BC123">
        <v>0</v>
      </c>
      <c r="BD123">
        <v>0</v>
      </c>
      <c r="BE123">
        <v>0</v>
      </c>
      <c r="BF123">
        <v>0</v>
      </c>
      <c r="BG123">
        <v>0</v>
      </c>
      <c r="BI123" t="s">
        <v>287</v>
      </c>
      <c r="BK123">
        <v>0.8</v>
      </c>
      <c r="BL123">
        <v>0.797560975609756</v>
      </c>
      <c r="BM123">
        <v>0.785365853658536</v>
      </c>
      <c r="BN123">
        <v>0.773170731707317</v>
      </c>
      <c r="BO123">
        <v>0.760975609756097</v>
      </c>
      <c r="BP123">
        <v>0.748780487804878</v>
      </c>
      <c r="BQ123">
        <v>0.736585365853658</v>
      </c>
      <c r="BR123">
        <v>0.724390243902439</v>
      </c>
      <c r="BS123">
        <v>0.71219512195122</v>
      </c>
      <c r="BT123">
        <v>0.699999999999999</v>
      </c>
      <c r="BU123">
        <v>0.687499999999999</v>
      </c>
      <c r="BV123">
        <v>0.675</v>
      </c>
      <c r="BW123">
        <v>0.6625</v>
      </c>
      <c r="BX123">
        <v>0.649999999999999</v>
      </c>
      <c r="BY123">
        <v>0.637499999999999</v>
      </c>
      <c r="BZ123">
        <v>0.625</v>
      </c>
      <c r="CA123">
        <v>0.6125</v>
      </c>
      <c r="CB123">
        <v>0.6</v>
      </c>
      <c r="CC123" t="e">
        <v>#VALUE!</v>
      </c>
      <c r="CD123" t="e">
        <v>#VALUE!</v>
      </c>
      <c r="CE123" t="e">
        <v>#VALUE!</v>
      </c>
      <c r="CF123" t="e">
        <v>#VALUE!</v>
      </c>
      <c r="CG123" t="e">
        <v>#VALUE!</v>
      </c>
      <c r="CH123" t="e">
        <v>#VALUE!</v>
      </c>
      <c r="CI123" t="e">
        <v>#VALUE!</v>
      </c>
      <c r="CJ123" t="e">
        <v>#VALUE!</v>
      </c>
    </row>
    <row r="124" spans="1:88">
      <c r="A124" t="s">
        <v>14</v>
      </c>
      <c r="B124" t="s">
        <v>274</v>
      </c>
      <c r="C124" t="s">
        <v>274</v>
      </c>
      <c r="D124">
        <v>260.0460249768</v>
      </c>
      <c r="E124">
        <v>259.667818336121</v>
      </c>
      <c r="F124">
        <v>284.443453946211</v>
      </c>
      <c r="G124">
        <v>302.121602271504</v>
      </c>
      <c r="H124">
        <v>317.652436195106</v>
      </c>
      <c r="I124">
        <v>332.993871711083</v>
      </c>
      <c r="J124">
        <v>348.163047782293</v>
      </c>
      <c r="K124">
        <v>363.40644177042</v>
      </c>
      <c r="L124">
        <v>378.89170672281</v>
      </c>
      <c r="M124">
        <v>394.72086557424</v>
      </c>
      <c r="N124">
        <v>410.618163932518</v>
      </c>
      <c r="O124">
        <v>425.997780097071</v>
      </c>
      <c r="P124">
        <v>440.990220577761</v>
      </c>
      <c r="Q124">
        <v>455.785186627029</v>
      </c>
      <c r="R124">
        <v>470.414104320407</v>
      </c>
      <c r="S124">
        <v>484.791829495735</v>
      </c>
      <c r="T124">
        <v>498.635655999926</v>
      </c>
      <c r="U124">
        <v>511.431209374299</v>
      </c>
      <c r="V124">
        <v>5</v>
      </c>
      <c r="AF124" s="99" t="s">
        <v>272</v>
      </c>
      <c r="AH124">
        <v>1</v>
      </c>
      <c r="AI124">
        <v>0.998176461090183</v>
      </c>
      <c r="AJ124">
        <v>1.11944327994063</v>
      </c>
      <c r="AK124">
        <v>1.20942774060418</v>
      </c>
      <c r="AL124">
        <v>1.29112776475015</v>
      </c>
      <c r="AM124">
        <v>1.37440542410241</v>
      </c>
      <c r="AN124">
        <v>1.45940515005311</v>
      </c>
      <c r="AO124">
        <v>1.5476119935828</v>
      </c>
      <c r="AP124">
        <v>1.64020732941171</v>
      </c>
      <c r="AQ124">
        <v>1.73809848295191</v>
      </c>
      <c r="AR124">
        <v>1.83991891103174</v>
      </c>
      <c r="AS124">
        <v>1.94201338841971</v>
      </c>
      <c r="AT124">
        <v>2.04517813945703</v>
      </c>
      <c r="AU124">
        <v>2.15073897025602</v>
      </c>
      <c r="AV124">
        <v>2.25902177729124</v>
      </c>
      <c r="AW124">
        <v>2.36949327542252</v>
      </c>
      <c r="AX124">
        <v>2.4799647735538</v>
      </c>
      <c r="AY124">
        <v>2.58602926254072</v>
      </c>
      <c r="AZ124">
        <v>0</v>
      </c>
      <c r="BA124">
        <v>0</v>
      </c>
      <c r="BB124">
        <v>0</v>
      </c>
      <c r="BC124">
        <v>0</v>
      </c>
      <c r="BD124">
        <v>0</v>
      </c>
      <c r="BE124">
        <v>0</v>
      </c>
      <c r="BF124">
        <v>0</v>
      </c>
      <c r="BG124">
        <v>0</v>
      </c>
      <c r="BI124" t="s">
        <v>287</v>
      </c>
      <c r="BK124">
        <v>0.8</v>
      </c>
      <c r="BL124">
        <v>0.797560975609756</v>
      </c>
      <c r="BM124">
        <v>0.785365853658536</v>
      </c>
      <c r="BN124">
        <v>0.773170731707317</v>
      </c>
      <c r="BO124">
        <v>0.760975609756097</v>
      </c>
      <c r="BP124">
        <v>0.748780487804878</v>
      </c>
      <c r="BQ124">
        <v>0.736585365853658</v>
      </c>
      <c r="BR124">
        <v>0.724390243902439</v>
      </c>
      <c r="BS124">
        <v>0.71219512195122</v>
      </c>
      <c r="BT124">
        <v>0.699999999999999</v>
      </c>
      <c r="BU124">
        <v>0.687499999999999</v>
      </c>
      <c r="BV124">
        <v>0.675</v>
      </c>
      <c r="BW124">
        <v>0.6625</v>
      </c>
      <c r="BX124">
        <v>0.649999999999999</v>
      </c>
      <c r="BY124">
        <v>0.637499999999999</v>
      </c>
      <c r="BZ124">
        <v>0.625</v>
      </c>
      <c r="CA124">
        <v>0.6125</v>
      </c>
      <c r="CB124">
        <v>0.6</v>
      </c>
      <c r="CC124" t="e">
        <v>#VALUE!</v>
      </c>
      <c r="CD124" t="e">
        <v>#VALUE!</v>
      </c>
      <c r="CE124" t="e">
        <v>#VALUE!</v>
      </c>
      <c r="CF124" t="e">
        <v>#VALUE!</v>
      </c>
      <c r="CG124" t="e">
        <v>#VALUE!</v>
      </c>
      <c r="CH124" t="e">
        <v>#VALUE!</v>
      </c>
      <c r="CI124" t="e">
        <v>#VALUE!</v>
      </c>
      <c r="CJ124" t="e">
        <v>#VALUE!</v>
      </c>
    </row>
    <row r="125" spans="1:88">
      <c r="A125" t="s">
        <v>14</v>
      </c>
      <c r="B125" t="s">
        <v>275</v>
      </c>
      <c r="C125" t="s">
        <v>275</v>
      </c>
      <c r="D125">
        <v>4.72945407876</v>
      </c>
      <c r="E125">
        <v>4.72257563891638</v>
      </c>
      <c r="F125">
        <v>5.17316984007929</v>
      </c>
      <c r="G125">
        <v>5.49468212125891</v>
      </c>
      <c r="H125">
        <v>5.77714122000144</v>
      </c>
      <c r="I125">
        <v>6.05615573207307</v>
      </c>
      <c r="J125">
        <v>6.33203736359508</v>
      </c>
      <c r="K125">
        <v>6.60926879552228</v>
      </c>
      <c r="L125">
        <v>6.89089913190713</v>
      </c>
      <c r="M125">
        <v>7.17878386269628</v>
      </c>
      <c r="N125">
        <v>7.46790784591629</v>
      </c>
      <c r="O125">
        <v>7.74761674900642</v>
      </c>
      <c r="P125">
        <v>8.02028409236723</v>
      </c>
      <c r="Q125">
        <v>8.28935997050484</v>
      </c>
      <c r="R125">
        <v>8.55541592909511</v>
      </c>
      <c r="S125">
        <v>8.81690345223573</v>
      </c>
      <c r="T125">
        <v>9.06868096635744</v>
      </c>
      <c r="U125">
        <v>9.30139354906975</v>
      </c>
      <c r="V125">
        <v>5</v>
      </c>
      <c r="AF125" s="99" t="s">
        <v>272</v>
      </c>
      <c r="AH125">
        <v>1</v>
      </c>
      <c r="AI125">
        <v>0.998176461090183</v>
      </c>
      <c r="AJ125">
        <v>1.11944327994063</v>
      </c>
      <c r="AK125">
        <v>1.20942774060418</v>
      </c>
      <c r="AL125">
        <v>1.29112776475015</v>
      </c>
      <c r="AM125">
        <v>1.37440542410241</v>
      </c>
      <c r="AN125">
        <v>1.45940515005311</v>
      </c>
      <c r="AO125">
        <v>1.5476119935828</v>
      </c>
      <c r="AP125">
        <v>1.64020732941171</v>
      </c>
      <c r="AQ125">
        <v>1.73809848295191</v>
      </c>
      <c r="AR125">
        <v>1.83991891103174</v>
      </c>
      <c r="AS125">
        <v>1.94201338841971</v>
      </c>
      <c r="AT125">
        <v>2.04517813945703</v>
      </c>
      <c r="AU125">
        <v>2.15073897025602</v>
      </c>
      <c r="AV125">
        <v>2.25902177729124</v>
      </c>
      <c r="AW125">
        <v>2.36949327542252</v>
      </c>
      <c r="AX125">
        <v>2.4799647735538</v>
      </c>
      <c r="AY125">
        <v>2.58602926254072</v>
      </c>
      <c r="AZ125">
        <v>0</v>
      </c>
      <c r="BA125">
        <v>0</v>
      </c>
      <c r="BB125">
        <v>0</v>
      </c>
      <c r="BC125">
        <v>0</v>
      </c>
      <c r="BD125">
        <v>0</v>
      </c>
      <c r="BE125">
        <v>0</v>
      </c>
      <c r="BF125">
        <v>0</v>
      </c>
      <c r="BG125">
        <v>0</v>
      </c>
      <c r="BI125" t="s">
        <v>287</v>
      </c>
      <c r="BK125">
        <v>0.8</v>
      </c>
      <c r="BL125">
        <v>0.797560975609756</v>
      </c>
      <c r="BM125">
        <v>0.785365853658536</v>
      </c>
      <c r="BN125">
        <v>0.773170731707317</v>
      </c>
      <c r="BO125">
        <v>0.760975609756097</v>
      </c>
      <c r="BP125">
        <v>0.748780487804878</v>
      </c>
      <c r="BQ125">
        <v>0.736585365853658</v>
      </c>
      <c r="BR125">
        <v>0.724390243902439</v>
      </c>
      <c r="BS125">
        <v>0.71219512195122</v>
      </c>
      <c r="BT125">
        <v>0.699999999999999</v>
      </c>
      <c r="BU125">
        <v>0.687499999999999</v>
      </c>
      <c r="BV125">
        <v>0.675</v>
      </c>
      <c r="BW125">
        <v>0.6625</v>
      </c>
      <c r="BX125">
        <v>0.649999999999999</v>
      </c>
      <c r="BY125">
        <v>0.637499999999999</v>
      </c>
      <c r="BZ125">
        <v>0.625</v>
      </c>
      <c r="CA125">
        <v>0.6125</v>
      </c>
      <c r="CB125">
        <v>0.6</v>
      </c>
      <c r="CC125" t="e">
        <v>#VALUE!</v>
      </c>
      <c r="CD125" t="e">
        <v>#VALUE!</v>
      </c>
      <c r="CE125" t="e">
        <v>#VALUE!</v>
      </c>
      <c r="CF125" t="e">
        <v>#VALUE!</v>
      </c>
      <c r="CG125" t="e">
        <v>#VALUE!</v>
      </c>
      <c r="CH125" t="e">
        <v>#VALUE!</v>
      </c>
      <c r="CI125" t="e">
        <v>#VALUE!</v>
      </c>
      <c r="CJ125" t="e">
        <v>#VALUE!</v>
      </c>
    </row>
    <row r="126" spans="1:88">
      <c r="A126" t="s">
        <v>14</v>
      </c>
      <c r="B126" t="s">
        <v>276</v>
      </c>
      <c r="C126" t="s">
        <v>276</v>
      </c>
      <c r="D126">
        <v>31.01840309844</v>
      </c>
      <c r="E126">
        <v>31.0685582966778</v>
      </c>
      <c r="F126">
        <v>31.3153986483044</v>
      </c>
      <c r="G126">
        <v>31.5631612411363</v>
      </c>
      <c r="H126">
        <v>31.8370089157593</v>
      </c>
      <c r="I126">
        <v>32.1180186747229</v>
      </c>
      <c r="J126">
        <v>32.3642272597574</v>
      </c>
      <c r="K126">
        <v>32.5692744879249</v>
      </c>
      <c r="L126">
        <v>32.7318467514486</v>
      </c>
      <c r="M126">
        <v>32.8830478765774</v>
      </c>
      <c r="N126">
        <v>33.0309978237725</v>
      </c>
      <c r="O126">
        <v>33.1812275259866</v>
      </c>
      <c r="P126">
        <v>33.339248880093</v>
      </c>
      <c r="Q126">
        <v>33.4957847335741</v>
      </c>
      <c r="R126">
        <v>33.6339182349992</v>
      </c>
      <c r="S126">
        <v>33.7513297770209</v>
      </c>
      <c r="T126">
        <v>33.8477335482003</v>
      </c>
      <c r="U126">
        <v>33.9075290194786</v>
      </c>
      <c r="V126">
        <v>5</v>
      </c>
      <c r="AF126" s="99" t="s">
        <v>277</v>
      </c>
      <c r="AH126">
        <v>1</v>
      </c>
      <c r="AI126">
        <v>1.00202736815179</v>
      </c>
      <c r="AJ126">
        <v>1.01216420891075</v>
      </c>
      <c r="AK126">
        <v>1.02252167125991</v>
      </c>
      <c r="AL126">
        <v>1.03417984027998</v>
      </c>
      <c r="AM126">
        <v>1.04637059777809</v>
      </c>
      <c r="AN126">
        <v>1.05726032214999</v>
      </c>
      <c r="AO126">
        <v>1.06650726134955</v>
      </c>
      <c r="AP126">
        <v>1.07398212353871</v>
      </c>
      <c r="AQ126">
        <v>1.08106946775996</v>
      </c>
      <c r="AR126">
        <v>1.0881444222259</v>
      </c>
      <c r="AS126">
        <v>1.09547632809153</v>
      </c>
      <c r="AT126">
        <v>1.10335114464037</v>
      </c>
      <c r="AU126">
        <v>1.11132114622281</v>
      </c>
      <c r="AV126">
        <v>1.11851014240138</v>
      </c>
      <c r="AW126">
        <v>1.12475745499428</v>
      </c>
      <c r="AX126">
        <v>1.13000258095548</v>
      </c>
      <c r="AY126">
        <v>1.13332968884872</v>
      </c>
      <c r="AZ126">
        <v>0</v>
      </c>
      <c r="BA126">
        <v>0</v>
      </c>
      <c r="BB126">
        <v>0</v>
      </c>
      <c r="BC126">
        <v>0</v>
      </c>
      <c r="BD126">
        <v>0</v>
      </c>
      <c r="BE126">
        <v>0</v>
      </c>
      <c r="BF126">
        <v>0</v>
      </c>
      <c r="BG126">
        <v>0</v>
      </c>
      <c r="BI126" t="s">
        <v>287</v>
      </c>
      <c r="BK126">
        <v>0.8</v>
      </c>
      <c r="BL126">
        <v>0.797560975609756</v>
      </c>
      <c r="BM126">
        <v>0.785365853658536</v>
      </c>
      <c r="BN126">
        <v>0.773170731707317</v>
      </c>
      <c r="BO126">
        <v>0.760975609756097</v>
      </c>
      <c r="BP126">
        <v>0.748780487804878</v>
      </c>
      <c r="BQ126">
        <v>0.736585365853658</v>
      </c>
      <c r="BR126">
        <v>0.724390243902439</v>
      </c>
      <c r="BS126">
        <v>0.71219512195122</v>
      </c>
      <c r="BT126">
        <v>0.699999999999999</v>
      </c>
      <c r="BU126">
        <v>0.687499999999999</v>
      </c>
      <c r="BV126">
        <v>0.675</v>
      </c>
      <c r="BW126">
        <v>0.6625</v>
      </c>
      <c r="BX126">
        <v>0.649999999999999</v>
      </c>
      <c r="BY126">
        <v>0.637499999999999</v>
      </c>
      <c r="BZ126">
        <v>0.625</v>
      </c>
      <c r="CA126">
        <v>0.6125</v>
      </c>
      <c r="CB126">
        <v>0.6</v>
      </c>
      <c r="CC126" t="e">
        <v>#VALUE!</v>
      </c>
      <c r="CD126" t="e">
        <v>#VALUE!</v>
      </c>
      <c r="CE126" t="e">
        <v>#VALUE!</v>
      </c>
      <c r="CF126" t="e">
        <v>#VALUE!</v>
      </c>
      <c r="CG126" t="e">
        <v>#VALUE!</v>
      </c>
      <c r="CH126" t="e">
        <v>#VALUE!</v>
      </c>
      <c r="CI126" t="e">
        <v>#VALUE!</v>
      </c>
      <c r="CJ126" t="e">
        <v>#VALUE!</v>
      </c>
    </row>
    <row r="127" spans="1:88">
      <c r="A127" t="s">
        <v>14</v>
      </c>
      <c r="B127" t="s">
        <v>278</v>
      </c>
      <c r="C127" t="s">
        <v>278</v>
      </c>
      <c r="D127">
        <v>21.093370542</v>
      </c>
      <c r="E127">
        <v>21.0626926925154</v>
      </c>
      <c r="F127">
        <v>23.0723433394877</v>
      </c>
      <c r="G127">
        <v>24.506288477296</v>
      </c>
      <c r="H127">
        <v>25.7660563772515</v>
      </c>
      <c r="I127">
        <v>27.0104614167577</v>
      </c>
      <c r="J127">
        <v>28.2408938054683</v>
      </c>
      <c r="K127">
        <v>29.477346305513</v>
      </c>
      <c r="L127">
        <v>30.7334179244156</v>
      </c>
      <c r="M127">
        <v>32.0173841494374</v>
      </c>
      <c r="N127">
        <v>33.3068774417029</v>
      </c>
      <c r="O127">
        <v>34.5543794659373</v>
      </c>
      <c r="P127">
        <v>35.7704761258123</v>
      </c>
      <c r="Q127">
        <v>36.9705548467286</v>
      </c>
      <c r="R127">
        <v>38.1571647230471</v>
      </c>
      <c r="S127">
        <v>39.3233993720916</v>
      </c>
      <c r="T127">
        <v>40.4463273699263</v>
      </c>
      <c r="U127">
        <v>41.4842257521057</v>
      </c>
      <c r="V127">
        <v>5</v>
      </c>
      <c r="AF127" s="99" t="s">
        <v>272</v>
      </c>
      <c r="AH127">
        <v>1</v>
      </c>
      <c r="AI127">
        <v>0.998176461090183</v>
      </c>
      <c r="AJ127">
        <v>1.11944327994063</v>
      </c>
      <c r="AK127">
        <v>1.20942774060418</v>
      </c>
      <c r="AL127">
        <v>1.29112776475015</v>
      </c>
      <c r="AM127">
        <v>1.37440542410241</v>
      </c>
      <c r="AN127">
        <v>1.45940515005311</v>
      </c>
      <c r="AO127">
        <v>1.5476119935828</v>
      </c>
      <c r="AP127">
        <v>1.64020732941171</v>
      </c>
      <c r="AQ127">
        <v>1.73809848295191</v>
      </c>
      <c r="AR127">
        <v>1.83991891103174</v>
      </c>
      <c r="AS127">
        <v>1.94201338841971</v>
      </c>
      <c r="AT127">
        <v>2.04517813945703</v>
      </c>
      <c r="AU127">
        <v>2.15073897025602</v>
      </c>
      <c r="AV127">
        <v>2.25902177729124</v>
      </c>
      <c r="AW127">
        <v>2.36949327542252</v>
      </c>
      <c r="AX127">
        <v>2.4799647735538</v>
      </c>
      <c r="AY127">
        <v>2.58602926254072</v>
      </c>
      <c r="AZ127">
        <v>0</v>
      </c>
      <c r="BA127">
        <v>0</v>
      </c>
      <c r="BB127">
        <v>0</v>
      </c>
      <c r="BC127">
        <v>0</v>
      </c>
      <c r="BD127">
        <v>0</v>
      </c>
      <c r="BE127">
        <v>0</v>
      </c>
      <c r="BF127">
        <v>0</v>
      </c>
      <c r="BG127">
        <v>0</v>
      </c>
      <c r="BI127" t="s">
        <v>287</v>
      </c>
      <c r="BK127">
        <v>0.8</v>
      </c>
      <c r="BL127">
        <v>0.797560975609756</v>
      </c>
      <c r="BM127">
        <v>0.785365853658536</v>
      </c>
      <c r="BN127">
        <v>0.773170731707317</v>
      </c>
      <c r="BO127">
        <v>0.760975609756097</v>
      </c>
      <c r="BP127">
        <v>0.748780487804878</v>
      </c>
      <c r="BQ127">
        <v>0.736585365853658</v>
      </c>
      <c r="BR127">
        <v>0.724390243902439</v>
      </c>
      <c r="BS127">
        <v>0.71219512195122</v>
      </c>
      <c r="BT127">
        <v>0.699999999999999</v>
      </c>
      <c r="BU127">
        <v>0.687499999999999</v>
      </c>
      <c r="BV127">
        <v>0.675</v>
      </c>
      <c r="BW127">
        <v>0.6625</v>
      </c>
      <c r="BX127">
        <v>0.649999999999999</v>
      </c>
      <c r="BY127">
        <v>0.637499999999999</v>
      </c>
      <c r="BZ127">
        <v>0.625</v>
      </c>
      <c r="CA127">
        <v>0.6125</v>
      </c>
      <c r="CB127">
        <v>0.6</v>
      </c>
      <c r="CC127" t="e">
        <v>#VALUE!</v>
      </c>
      <c r="CD127" t="e">
        <v>#VALUE!</v>
      </c>
      <c r="CE127" t="e">
        <v>#VALUE!</v>
      </c>
      <c r="CF127" t="e">
        <v>#VALUE!</v>
      </c>
      <c r="CG127" t="e">
        <v>#VALUE!</v>
      </c>
      <c r="CH127" t="e">
        <v>#VALUE!</v>
      </c>
      <c r="CI127" t="e">
        <v>#VALUE!</v>
      </c>
      <c r="CJ127" t="e">
        <v>#VALUE!</v>
      </c>
    </row>
    <row r="128" spans="1:88">
      <c r="A128" t="s">
        <v>14</v>
      </c>
      <c r="B128" t="s">
        <v>279</v>
      </c>
      <c r="C128" t="s">
        <v>279</v>
      </c>
      <c r="D128">
        <v>71.088116814</v>
      </c>
      <c r="E128">
        <v>70.9847274318518</v>
      </c>
      <c r="F128">
        <v>77.7575795781144</v>
      </c>
      <c r="G128">
        <v>82.5902097762333</v>
      </c>
      <c r="H128">
        <v>86.8358341278394</v>
      </c>
      <c r="I128">
        <v>91.0296831211146</v>
      </c>
      <c r="J128">
        <v>95.1764419905053</v>
      </c>
      <c r="K128">
        <v>99.3434896220409</v>
      </c>
      <c r="L128">
        <v>103.576656900523</v>
      </c>
      <c r="M128">
        <v>107.903833574722</v>
      </c>
      <c r="N128">
        <v>112.249637371651</v>
      </c>
      <c r="O128">
        <v>116.453923711185</v>
      </c>
      <c r="P128">
        <v>120.552368824174</v>
      </c>
      <c r="Q128">
        <v>124.596830856859</v>
      </c>
      <c r="R128">
        <v>128.595900675143</v>
      </c>
      <c r="S128">
        <v>132.526302637159</v>
      </c>
      <c r="T128">
        <v>136.310754084823</v>
      </c>
      <c r="U128">
        <v>139.808641787811</v>
      </c>
      <c r="V128">
        <v>5</v>
      </c>
      <c r="AF128" s="99" t="s">
        <v>272</v>
      </c>
      <c r="AH128">
        <v>1</v>
      </c>
      <c r="AI128">
        <v>0.998176461090183</v>
      </c>
      <c r="AJ128">
        <v>1.11944327994063</v>
      </c>
      <c r="AK128">
        <v>1.20942774060418</v>
      </c>
      <c r="AL128">
        <v>1.29112776475015</v>
      </c>
      <c r="AM128">
        <v>1.37440542410241</v>
      </c>
      <c r="AN128">
        <v>1.45940515005311</v>
      </c>
      <c r="AO128">
        <v>1.5476119935828</v>
      </c>
      <c r="AP128">
        <v>1.64020732941171</v>
      </c>
      <c r="AQ128">
        <v>1.73809848295191</v>
      </c>
      <c r="AR128">
        <v>1.83991891103174</v>
      </c>
      <c r="AS128">
        <v>1.94201338841971</v>
      </c>
      <c r="AT128">
        <v>2.04517813945703</v>
      </c>
      <c r="AU128">
        <v>2.15073897025602</v>
      </c>
      <c r="AV128">
        <v>2.25902177729124</v>
      </c>
      <c r="AW128">
        <v>2.36949327542252</v>
      </c>
      <c r="AX128">
        <v>2.4799647735538</v>
      </c>
      <c r="AY128">
        <v>2.58602926254072</v>
      </c>
      <c r="AZ128">
        <v>0</v>
      </c>
      <c r="BA128">
        <v>0</v>
      </c>
      <c r="BB128">
        <v>0</v>
      </c>
      <c r="BC128">
        <v>0</v>
      </c>
      <c r="BD128">
        <v>0</v>
      </c>
      <c r="BE128">
        <v>0</v>
      </c>
      <c r="BF128">
        <v>0</v>
      </c>
      <c r="BG128">
        <v>0</v>
      </c>
      <c r="BI128" t="s">
        <v>287</v>
      </c>
      <c r="BK128">
        <v>0.8</v>
      </c>
      <c r="BL128">
        <v>0.797560975609756</v>
      </c>
      <c r="BM128">
        <v>0.785365853658536</v>
      </c>
      <c r="BN128">
        <v>0.773170731707317</v>
      </c>
      <c r="BO128">
        <v>0.760975609756097</v>
      </c>
      <c r="BP128">
        <v>0.748780487804878</v>
      </c>
      <c r="BQ128">
        <v>0.736585365853658</v>
      </c>
      <c r="BR128">
        <v>0.724390243902439</v>
      </c>
      <c r="BS128">
        <v>0.71219512195122</v>
      </c>
      <c r="BT128">
        <v>0.699999999999999</v>
      </c>
      <c r="BU128">
        <v>0.687499999999999</v>
      </c>
      <c r="BV128">
        <v>0.675</v>
      </c>
      <c r="BW128">
        <v>0.6625</v>
      </c>
      <c r="BX128">
        <v>0.649999999999999</v>
      </c>
      <c r="BY128">
        <v>0.637499999999999</v>
      </c>
      <c r="BZ128">
        <v>0.625</v>
      </c>
      <c r="CA128">
        <v>0.6125</v>
      </c>
      <c r="CB128">
        <v>0.6</v>
      </c>
      <c r="CC128" t="e">
        <v>#VALUE!</v>
      </c>
      <c r="CD128" t="e">
        <v>#VALUE!</v>
      </c>
      <c r="CE128" t="e">
        <v>#VALUE!</v>
      </c>
      <c r="CF128" t="e">
        <v>#VALUE!</v>
      </c>
      <c r="CG128" t="e">
        <v>#VALUE!</v>
      </c>
      <c r="CH128" t="e">
        <v>#VALUE!</v>
      </c>
      <c r="CI128" t="e">
        <v>#VALUE!</v>
      </c>
      <c r="CJ128" t="e">
        <v>#VALUE!</v>
      </c>
    </row>
    <row r="129" spans="1:88">
      <c r="A129" t="s">
        <v>14</v>
      </c>
      <c r="B129" t="s">
        <v>280</v>
      </c>
      <c r="C129" t="s">
        <v>280</v>
      </c>
      <c r="D129">
        <v>1.582</v>
      </c>
      <c r="E129">
        <v>1.58455801445872</v>
      </c>
      <c r="F129">
        <v>1.59714736133883</v>
      </c>
      <c r="G129">
        <v>1.6097837443472</v>
      </c>
      <c r="H129">
        <v>1.62375051819687</v>
      </c>
      <c r="I129">
        <v>1.63808257253473</v>
      </c>
      <c r="J129">
        <v>1.65063969806722</v>
      </c>
      <c r="K129">
        <v>1.66109751286611</v>
      </c>
      <c r="L129">
        <v>1.66938902033277</v>
      </c>
      <c r="M129">
        <v>1.67710057721707</v>
      </c>
      <c r="N129">
        <v>1.68464631758674</v>
      </c>
      <c r="O129">
        <v>1.69230832997817</v>
      </c>
      <c r="P129">
        <v>1.70036773205</v>
      </c>
      <c r="Q129">
        <v>1.70835137064742</v>
      </c>
      <c r="R129">
        <v>1.71539645283818</v>
      </c>
      <c r="S129">
        <v>1.72138467405282</v>
      </c>
      <c r="T129">
        <v>1.72630145734182</v>
      </c>
      <c r="U129">
        <v>1.72935114482128</v>
      </c>
      <c r="V129">
        <v>5</v>
      </c>
      <c r="AF129" s="99" t="s">
        <v>277</v>
      </c>
      <c r="AH129">
        <v>1</v>
      </c>
      <c r="AI129">
        <v>1.00202736815179</v>
      </c>
      <c r="AJ129">
        <v>1.01216420891075</v>
      </c>
      <c r="AK129">
        <v>1.02252167125991</v>
      </c>
      <c r="AL129">
        <v>1.03417984027998</v>
      </c>
      <c r="AM129">
        <v>1.04637059777809</v>
      </c>
      <c r="AN129">
        <v>1.05726032214999</v>
      </c>
      <c r="AO129">
        <v>1.06650726134955</v>
      </c>
      <c r="AP129">
        <v>1.07398212353871</v>
      </c>
      <c r="AQ129">
        <v>1.08106946775996</v>
      </c>
      <c r="AR129">
        <v>1.0881444222259</v>
      </c>
      <c r="AS129">
        <v>1.09547632809153</v>
      </c>
      <c r="AT129">
        <v>1.10335114464037</v>
      </c>
      <c r="AU129">
        <v>1.11132114622281</v>
      </c>
      <c r="AV129">
        <v>1.11851014240138</v>
      </c>
      <c r="AW129">
        <v>1.12475745499428</v>
      </c>
      <c r="AX129">
        <v>1.13000258095548</v>
      </c>
      <c r="AY129">
        <v>1.13332968884872</v>
      </c>
      <c r="AZ129">
        <v>0</v>
      </c>
      <c r="BA129">
        <v>0</v>
      </c>
      <c r="BB129">
        <v>0</v>
      </c>
      <c r="BC129">
        <v>0</v>
      </c>
      <c r="BD129">
        <v>0</v>
      </c>
      <c r="BE129">
        <v>0</v>
      </c>
      <c r="BF129">
        <v>0</v>
      </c>
      <c r="BG129">
        <v>0</v>
      </c>
      <c r="BI129" t="s">
        <v>287</v>
      </c>
      <c r="BK129">
        <v>0.8</v>
      </c>
      <c r="BL129">
        <v>0.797560975609756</v>
      </c>
      <c r="BM129">
        <v>0.785365853658536</v>
      </c>
      <c r="BN129">
        <v>0.773170731707317</v>
      </c>
      <c r="BO129">
        <v>0.760975609756097</v>
      </c>
      <c r="BP129">
        <v>0.748780487804878</v>
      </c>
      <c r="BQ129">
        <v>0.736585365853658</v>
      </c>
      <c r="BR129">
        <v>0.724390243902439</v>
      </c>
      <c r="BS129">
        <v>0.71219512195122</v>
      </c>
      <c r="BT129">
        <v>0.699999999999999</v>
      </c>
      <c r="BU129">
        <v>0.687499999999999</v>
      </c>
      <c r="BV129">
        <v>0.675</v>
      </c>
      <c r="BW129">
        <v>0.6625</v>
      </c>
      <c r="BX129">
        <v>0.649999999999999</v>
      </c>
      <c r="BY129">
        <v>0.637499999999999</v>
      </c>
      <c r="BZ129">
        <v>0.625</v>
      </c>
      <c r="CA129">
        <v>0.6125</v>
      </c>
      <c r="CB129">
        <v>0.6</v>
      </c>
      <c r="CC129" t="e">
        <v>#VALUE!</v>
      </c>
      <c r="CD129" t="e">
        <v>#VALUE!</v>
      </c>
      <c r="CE129" t="e">
        <v>#VALUE!</v>
      </c>
      <c r="CF129" t="e">
        <v>#VALUE!</v>
      </c>
      <c r="CG129" t="e">
        <v>#VALUE!</v>
      </c>
      <c r="CH129" t="e">
        <v>#VALUE!</v>
      </c>
      <c r="CI129" t="e">
        <v>#VALUE!</v>
      </c>
      <c r="CJ129" t="e">
        <v>#VALUE!</v>
      </c>
    </row>
    <row r="130" spans="1:88">
      <c r="A130" t="s">
        <v>14</v>
      </c>
      <c r="B130" t="s">
        <v>281</v>
      </c>
      <c r="C130" t="s">
        <v>281</v>
      </c>
      <c r="D130">
        <v>0.93</v>
      </c>
      <c r="E130">
        <v>0.931503763240587</v>
      </c>
      <c r="F130">
        <v>0.938904580306644</v>
      </c>
      <c r="G130">
        <v>0.946333048193994</v>
      </c>
      <c r="H130">
        <v>0.954543604249739</v>
      </c>
      <c r="I130">
        <v>0.962968895358594</v>
      </c>
      <c r="J130">
        <v>0.970350770671626</v>
      </c>
      <c r="K130">
        <v>0.976498537904856</v>
      </c>
      <c r="L130">
        <v>0.981372812205736</v>
      </c>
      <c r="M130">
        <v>0.985906154748341</v>
      </c>
      <c r="N130">
        <v>0.990342019820272</v>
      </c>
      <c r="O130">
        <v>0.994846236965678</v>
      </c>
      <c r="P130">
        <v>0.999584064985146</v>
      </c>
      <c r="Q130">
        <v>1.00427735442611</v>
      </c>
      <c r="R130">
        <v>1.00841890084672</v>
      </c>
      <c r="S130">
        <v>1.01193915731297</v>
      </c>
      <c r="T130">
        <v>1.01482955456883</v>
      </c>
      <c r="U130">
        <v>1.01662235441453</v>
      </c>
      <c r="V130">
        <v>5</v>
      </c>
      <c r="AF130" s="99" t="s">
        <v>277</v>
      </c>
      <c r="AH130">
        <v>1</v>
      </c>
      <c r="AI130">
        <v>1.00202736815179</v>
      </c>
      <c r="AJ130">
        <v>1.01216420891075</v>
      </c>
      <c r="AK130">
        <v>1.02252167125991</v>
      </c>
      <c r="AL130">
        <v>1.03417984027998</v>
      </c>
      <c r="AM130">
        <v>1.04637059777809</v>
      </c>
      <c r="AN130">
        <v>1.05726032214999</v>
      </c>
      <c r="AO130">
        <v>1.06650726134955</v>
      </c>
      <c r="AP130">
        <v>1.07398212353871</v>
      </c>
      <c r="AQ130">
        <v>1.08106946775996</v>
      </c>
      <c r="AR130">
        <v>1.0881444222259</v>
      </c>
      <c r="AS130">
        <v>1.09547632809153</v>
      </c>
      <c r="AT130">
        <v>1.10335114464037</v>
      </c>
      <c r="AU130">
        <v>1.11132114622281</v>
      </c>
      <c r="AV130">
        <v>1.11851014240138</v>
      </c>
      <c r="AW130">
        <v>1.12475745499428</v>
      </c>
      <c r="AX130">
        <v>1.13000258095548</v>
      </c>
      <c r="AY130">
        <v>1.13332968884872</v>
      </c>
      <c r="AZ130">
        <v>0</v>
      </c>
      <c r="BA130">
        <v>0</v>
      </c>
      <c r="BB130">
        <v>0</v>
      </c>
      <c r="BC130">
        <v>0</v>
      </c>
      <c r="BD130">
        <v>0</v>
      </c>
      <c r="BE130">
        <v>0</v>
      </c>
      <c r="BF130">
        <v>0</v>
      </c>
      <c r="BG130">
        <v>0</v>
      </c>
      <c r="BI130" t="s">
        <v>287</v>
      </c>
      <c r="BK130">
        <v>0.8</v>
      </c>
      <c r="BL130">
        <v>0.797560975609756</v>
      </c>
      <c r="BM130">
        <v>0.785365853658536</v>
      </c>
      <c r="BN130">
        <v>0.773170731707317</v>
      </c>
      <c r="BO130">
        <v>0.760975609756097</v>
      </c>
      <c r="BP130">
        <v>0.748780487804878</v>
      </c>
      <c r="BQ130">
        <v>0.736585365853658</v>
      </c>
      <c r="BR130">
        <v>0.724390243902439</v>
      </c>
      <c r="BS130">
        <v>0.71219512195122</v>
      </c>
      <c r="BT130">
        <v>0.699999999999999</v>
      </c>
      <c r="BU130">
        <v>0.687499999999999</v>
      </c>
      <c r="BV130">
        <v>0.675</v>
      </c>
      <c r="BW130">
        <v>0.6625</v>
      </c>
      <c r="BX130">
        <v>0.649999999999999</v>
      </c>
      <c r="BY130">
        <v>0.637499999999999</v>
      </c>
      <c r="BZ130">
        <v>0.625</v>
      </c>
      <c r="CA130">
        <v>0.6125</v>
      </c>
      <c r="CB130">
        <v>0.6</v>
      </c>
      <c r="CC130" t="e">
        <v>#VALUE!</v>
      </c>
      <c r="CD130" t="e">
        <v>#VALUE!</v>
      </c>
      <c r="CE130" t="e">
        <v>#VALUE!</v>
      </c>
      <c r="CF130" t="e">
        <v>#VALUE!</v>
      </c>
      <c r="CG130" t="e">
        <v>#VALUE!</v>
      </c>
      <c r="CH130" t="e">
        <v>#VALUE!</v>
      </c>
      <c r="CI130" t="e">
        <v>#VALUE!</v>
      </c>
      <c r="CJ130" t="e">
        <v>#VALUE!</v>
      </c>
    </row>
    <row r="131" spans="1:88">
      <c r="A131" t="s">
        <v>14</v>
      </c>
      <c r="B131" t="s">
        <v>282</v>
      </c>
      <c r="C131" t="s">
        <v>282</v>
      </c>
      <c r="D131">
        <v>4.2</v>
      </c>
      <c r="E131">
        <v>4.20679118882846</v>
      </c>
      <c r="F131">
        <v>4.24021423364291</v>
      </c>
      <c r="G131">
        <v>4.27376215313417</v>
      </c>
      <c r="H131">
        <v>4.3108420837085</v>
      </c>
      <c r="I131">
        <v>4.34889178549042</v>
      </c>
      <c r="J131">
        <v>4.38222928690412</v>
      </c>
      <c r="K131">
        <v>4.40999339698967</v>
      </c>
      <c r="L131">
        <v>4.43200624867107</v>
      </c>
      <c r="M131">
        <v>4.4524794085409</v>
      </c>
      <c r="N131">
        <v>4.47251234757542</v>
      </c>
      <c r="O131">
        <v>4.49285397339339</v>
      </c>
      <c r="P131">
        <v>4.51425061606195</v>
      </c>
      <c r="Q131">
        <v>4.53544611676307</v>
      </c>
      <c r="R131">
        <v>4.55414987479162</v>
      </c>
      <c r="S131">
        <v>4.57004780721988</v>
      </c>
      <c r="T131">
        <v>4.58310121418181</v>
      </c>
      <c r="U131">
        <v>4.59119772961402</v>
      </c>
      <c r="V131">
        <v>5</v>
      </c>
      <c r="AF131" s="99" t="s">
        <v>277</v>
      </c>
      <c r="AH131">
        <v>1</v>
      </c>
      <c r="AI131">
        <v>1.00202736815179</v>
      </c>
      <c r="AJ131">
        <v>1.01216420891075</v>
      </c>
      <c r="AK131">
        <v>1.02252167125991</v>
      </c>
      <c r="AL131">
        <v>1.03417984027998</v>
      </c>
      <c r="AM131">
        <v>1.04637059777809</v>
      </c>
      <c r="AN131">
        <v>1.05726032214999</v>
      </c>
      <c r="AO131">
        <v>1.06650726134955</v>
      </c>
      <c r="AP131">
        <v>1.07398212353871</v>
      </c>
      <c r="AQ131">
        <v>1.08106946775996</v>
      </c>
      <c r="AR131">
        <v>1.0881444222259</v>
      </c>
      <c r="AS131">
        <v>1.09547632809153</v>
      </c>
      <c r="AT131">
        <v>1.10335114464037</v>
      </c>
      <c r="AU131">
        <v>1.11132114622281</v>
      </c>
      <c r="AV131">
        <v>1.11851014240138</v>
      </c>
      <c r="AW131">
        <v>1.12475745499428</v>
      </c>
      <c r="AX131">
        <v>1.13000258095548</v>
      </c>
      <c r="AY131">
        <v>1.13332968884872</v>
      </c>
      <c r="AZ131">
        <v>0</v>
      </c>
      <c r="BA131">
        <v>0</v>
      </c>
      <c r="BB131">
        <v>0</v>
      </c>
      <c r="BC131">
        <v>0</v>
      </c>
      <c r="BD131">
        <v>0</v>
      </c>
      <c r="BE131">
        <v>0</v>
      </c>
      <c r="BF131">
        <v>0</v>
      </c>
      <c r="BG131">
        <v>0</v>
      </c>
      <c r="BI131" t="s">
        <v>287</v>
      </c>
      <c r="BK131">
        <v>0.8</v>
      </c>
      <c r="BL131">
        <v>0.797560975609756</v>
      </c>
      <c r="BM131">
        <v>0.785365853658536</v>
      </c>
      <c r="BN131">
        <v>0.773170731707317</v>
      </c>
      <c r="BO131">
        <v>0.760975609756097</v>
      </c>
      <c r="BP131">
        <v>0.748780487804878</v>
      </c>
      <c r="BQ131">
        <v>0.736585365853658</v>
      </c>
      <c r="BR131">
        <v>0.724390243902439</v>
      </c>
      <c r="BS131">
        <v>0.71219512195122</v>
      </c>
      <c r="BT131">
        <v>0.699999999999999</v>
      </c>
      <c r="BU131">
        <v>0.687499999999999</v>
      </c>
      <c r="BV131">
        <v>0.675</v>
      </c>
      <c r="BW131">
        <v>0.6625</v>
      </c>
      <c r="BX131">
        <v>0.649999999999999</v>
      </c>
      <c r="BY131">
        <v>0.637499999999999</v>
      </c>
      <c r="BZ131">
        <v>0.625</v>
      </c>
      <c r="CA131">
        <v>0.6125</v>
      </c>
      <c r="CB131">
        <v>0.6</v>
      </c>
      <c r="CC131" t="e">
        <v>#VALUE!</v>
      </c>
      <c r="CD131" t="e">
        <v>#VALUE!</v>
      </c>
      <c r="CE131" t="e">
        <v>#VALUE!</v>
      </c>
      <c r="CF131" t="e">
        <v>#VALUE!</v>
      </c>
      <c r="CG131" t="e">
        <v>#VALUE!</v>
      </c>
      <c r="CH131" t="e">
        <v>#VALUE!</v>
      </c>
      <c r="CI131" t="e">
        <v>#VALUE!</v>
      </c>
      <c r="CJ131" t="e">
        <v>#VALUE!</v>
      </c>
    </row>
    <row r="132" spans="1:88">
      <c r="A132" t="s">
        <v>14</v>
      </c>
      <c r="B132" t="s">
        <v>283</v>
      </c>
      <c r="C132" t="s">
        <v>283</v>
      </c>
      <c r="D132">
        <v>298.44</v>
      </c>
      <c r="E132">
        <v>297.525245865269</v>
      </c>
      <c r="F132">
        <v>323.288491045269</v>
      </c>
      <c r="G132">
        <v>340.645434814256</v>
      </c>
      <c r="H132">
        <v>355.037035714167</v>
      </c>
      <c r="I132">
        <v>368.887008582106</v>
      </c>
      <c r="J132">
        <v>382.719506746578</v>
      </c>
      <c r="K132">
        <v>396.926841447533</v>
      </c>
      <c r="L132">
        <v>411.755236442612</v>
      </c>
      <c r="M132">
        <v>426.954989711792</v>
      </c>
      <c r="N132">
        <v>442.130208920396</v>
      </c>
      <c r="O132">
        <v>456.58185557105</v>
      </c>
      <c r="P132">
        <v>470.377083478719</v>
      </c>
      <c r="Q132">
        <v>483.852091280731</v>
      </c>
      <c r="R132">
        <v>497.299495990273</v>
      </c>
      <c r="S132">
        <v>510.688158251854</v>
      </c>
      <c r="T132">
        <v>523.751889350563</v>
      </c>
      <c r="U132">
        <v>536.229952887879</v>
      </c>
      <c r="V132">
        <v>5</v>
      </c>
      <c r="AF132" s="99" t="s">
        <v>284</v>
      </c>
      <c r="AH132">
        <v>1</v>
      </c>
      <c r="AI132">
        <v>0.996156884348667</v>
      </c>
      <c r="AJ132">
        <v>1.10598978909294</v>
      </c>
      <c r="AK132">
        <v>1.18278934774456</v>
      </c>
      <c r="AL132">
        <v>1.24845574673029</v>
      </c>
      <c r="AM132">
        <v>1.31349774833209</v>
      </c>
      <c r="AN132">
        <v>1.38036500517236</v>
      </c>
      <c r="AO132">
        <v>1.4511031004369</v>
      </c>
      <c r="AP132">
        <v>1.52722032654261</v>
      </c>
      <c r="AQ132">
        <v>1.60775836778866</v>
      </c>
      <c r="AR132">
        <v>1.69087749148962</v>
      </c>
      <c r="AS132">
        <v>1.77275705427882</v>
      </c>
      <c r="AT132">
        <v>1.85360585285262</v>
      </c>
      <c r="AU132">
        <v>1.93529924051749</v>
      </c>
      <c r="AV132">
        <v>2.01967035581925</v>
      </c>
      <c r="AW132">
        <v>2.10667043361324</v>
      </c>
      <c r="AX132">
        <v>2.19465407898171</v>
      </c>
      <c r="AY132">
        <v>2.28179786339816</v>
      </c>
      <c r="AZ132">
        <v>0</v>
      </c>
      <c r="BA132">
        <v>0</v>
      </c>
      <c r="BB132">
        <v>0</v>
      </c>
      <c r="BC132">
        <v>0</v>
      </c>
      <c r="BD132">
        <v>0</v>
      </c>
      <c r="BE132">
        <v>0</v>
      </c>
      <c r="BF132">
        <v>0</v>
      </c>
      <c r="BG132">
        <v>0</v>
      </c>
      <c r="BI132" t="s">
        <v>287</v>
      </c>
      <c r="BK132">
        <v>0.8</v>
      </c>
      <c r="BL132">
        <v>0.797560975609756</v>
      </c>
      <c r="BM132">
        <v>0.785365853658536</v>
      </c>
      <c r="BN132">
        <v>0.773170731707317</v>
      </c>
      <c r="BO132">
        <v>0.760975609756097</v>
      </c>
      <c r="BP132">
        <v>0.748780487804878</v>
      </c>
      <c r="BQ132">
        <v>0.736585365853658</v>
      </c>
      <c r="BR132">
        <v>0.724390243902439</v>
      </c>
      <c r="BS132">
        <v>0.71219512195122</v>
      </c>
      <c r="BT132">
        <v>0.699999999999999</v>
      </c>
      <c r="BU132">
        <v>0.687499999999999</v>
      </c>
      <c r="BV132">
        <v>0.675</v>
      </c>
      <c r="BW132">
        <v>0.6625</v>
      </c>
      <c r="BX132">
        <v>0.649999999999999</v>
      </c>
      <c r="BY132">
        <v>0.637499999999999</v>
      </c>
      <c r="BZ132">
        <v>0.625</v>
      </c>
      <c r="CA132">
        <v>0.6125</v>
      </c>
      <c r="CB132">
        <v>0.6</v>
      </c>
      <c r="CC132" t="e">
        <v>#VALUE!</v>
      </c>
      <c r="CD132" t="e">
        <v>#VALUE!</v>
      </c>
      <c r="CE132" t="e">
        <v>#VALUE!</v>
      </c>
      <c r="CF132" t="e">
        <v>#VALUE!</v>
      </c>
      <c r="CG132" t="e">
        <v>#VALUE!</v>
      </c>
      <c r="CH132" t="e">
        <v>#VALUE!</v>
      </c>
      <c r="CI132" t="e">
        <v>#VALUE!</v>
      </c>
      <c r="CJ132" t="e">
        <v>#VALUE!</v>
      </c>
    </row>
    <row r="133" spans="1:88">
      <c r="A133" t="s">
        <v>14</v>
      </c>
      <c r="B133" t="s">
        <v>285</v>
      </c>
      <c r="C133" t="s">
        <v>285</v>
      </c>
      <c r="D133">
        <v>124.1</v>
      </c>
      <c r="E133">
        <v>123.919511011128</v>
      </c>
      <c r="F133">
        <v>135.743019482317</v>
      </c>
      <c r="G133">
        <v>144.179442255418</v>
      </c>
      <c r="H133">
        <v>151.591116746851</v>
      </c>
      <c r="I133">
        <v>158.912405921345</v>
      </c>
      <c r="J133">
        <v>166.15148888985</v>
      </c>
      <c r="K133">
        <v>173.425990371253</v>
      </c>
      <c r="L133">
        <v>180.815918291755</v>
      </c>
      <c r="M133">
        <v>188.36996036426</v>
      </c>
      <c r="N133">
        <v>195.956520191269</v>
      </c>
      <c r="O133">
        <v>203.296030057614</v>
      </c>
      <c r="P133">
        <v>210.450770699466</v>
      </c>
      <c r="Q133">
        <v>217.511271958341</v>
      </c>
      <c r="R133">
        <v>224.492531087029</v>
      </c>
      <c r="S133">
        <v>231.353915314753</v>
      </c>
      <c r="T133">
        <v>237.960510702332</v>
      </c>
      <c r="U133">
        <v>244.066845817054</v>
      </c>
      <c r="V133">
        <v>5</v>
      </c>
      <c r="AF133" s="99" t="s">
        <v>272</v>
      </c>
      <c r="AH133">
        <v>1</v>
      </c>
      <c r="AI133">
        <v>0.998176461090183</v>
      </c>
      <c r="AJ133">
        <v>1.11944327994063</v>
      </c>
      <c r="AK133">
        <v>1.20942774060418</v>
      </c>
      <c r="AL133">
        <v>1.29112776475015</v>
      </c>
      <c r="AM133">
        <v>1.37440542410241</v>
      </c>
      <c r="AN133">
        <v>1.45940515005311</v>
      </c>
      <c r="AO133">
        <v>1.5476119935828</v>
      </c>
      <c r="AP133">
        <v>1.64020732941171</v>
      </c>
      <c r="AQ133">
        <v>1.73809848295191</v>
      </c>
      <c r="AR133">
        <v>1.83991891103174</v>
      </c>
      <c r="AS133">
        <v>1.94201338841971</v>
      </c>
      <c r="AT133">
        <v>2.04517813945703</v>
      </c>
      <c r="AU133">
        <v>2.15073897025602</v>
      </c>
      <c r="AV133">
        <v>2.25902177729124</v>
      </c>
      <c r="AW133">
        <v>2.36949327542252</v>
      </c>
      <c r="AX133">
        <v>2.4799647735538</v>
      </c>
      <c r="AY133">
        <v>2.58602926254072</v>
      </c>
      <c r="AZ133">
        <v>0</v>
      </c>
      <c r="BA133">
        <v>0</v>
      </c>
      <c r="BB133">
        <v>0</v>
      </c>
      <c r="BC133">
        <v>0</v>
      </c>
      <c r="BD133">
        <v>0</v>
      </c>
      <c r="BE133">
        <v>0</v>
      </c>
      <c r="BF133">
        <v>0</v>
      </c>
      <c r="BG133">
        <v>0</v>
      </c>
      <c r="BI133" t="s">
        <v>287</v>
      </c>
      <c r="BK133">
        <v>0.8</v>
      </c>
      <c r="BL133">
        <v>0.797560975609756</v>
      </c>
      <c r="BM133">
        <v>0.785365853658536</v>
      </c>
      <c r="BN133">
        <v>0.773170731707317</v>
      </c>
      <c r="BO133">
        <v>0.760975609756097</v>
      </c>
      <c r="BP133">
        <v>0.748780487804878</v>
      </c>
      <c r="BQ133">
        <v>0.736585365853658</v>
      </c>
      <c r="BR133">
        <v>0.724390243902439</v>
      </c>
      <c r="BS133">
        <v>0.71219512195122</v>
      </c>
      <c r="BT133">
        <v>0.699999999999999</v>
      </c>
      <c r="BU133">
        <v>0.687499999999999</v>
      </c>
      <c r="BV133">
        <v>0.675</v>
      </c>
      <c r="BW133">
        <v>0.6625</v>
      </c>
      <c r="BX133">
        <v>0.649999999999999</v>
      </c>
      <c r="BY133">
        <v>0.637499999999999</v>
      </c>
      <c r="BZ133">
        <v>0.625</v>
      </c>
      <c r="CA133">
        <v>0.6125</v>
      </c>
      <c r="CB133">
        <v>0.6</v>
      </c>
      <c r="CC133" t="e">
        <v>#VALUE!</v>
      </c>
      <c r="CD133" t="e">
        <v>#VALUE!</v>
      </c>
      <c r="CE133" t="e">
        <v>#VALUE!</v>
      </c>
      <c r="CF133" t="e">
        <v>#VALUE!</v>
      </c>
      <c r="CG133" t="e">
        <v>#VALUE!</v>
      </c>
      <c r="CH133" t="e">
        <v>#VALUE!</v>
      </c>
      <c r="CI133" t="e">
        <v>#VALUE!</v>
      </c>
      <c r="CJ133" t="e">
        <v>#VALUE!</v>
      </c>
    </row>
    <row r="134" spans="1:88">
      <c r="A134" t="s">
        <v>14</v>
      </c>
      <c r="B134" t="s">
        <v>286</v>
      </c>
      <c r="C134" t="s">
        <v>286</v>
      </c>
      <c r="D134">
        <v>67.16</v>
      </c>
      <c r="E134">
        <v>67.0623236060221</v>
      </c>
      <c r="F134">
        <v>73.4609281904301</v>
      </c>
      <c r="G134">
        <v>78.0265216911676</v>
      </c>
      <c r="H134">
        <v>82.03754553359</v>
      </c>
      <c r="I134">
        <v>85.9996549691982</v>
      </c>
      <c r="J134">
        <v>89.9172763403896</v>
      </c>
      <c r="K134">
        <v>93.854065377384</v>
      </c>
      <c r="L134">
        <v>97.8533204873026</v>
      </c>
      <c r="M134">
        <v>101.941390314776</v>
      </c>
      <c r="N134">
        <v>106.047057985863</v>
      </c>
      <c r="O134">
        <v>110.019028031179</v>
      </c>
      <c r="P134">
        <v>113.891005319711</v>
      </c>
      <c r="Q134">
        <v>117.711982471573</v>
      </c>
      <c r="R134">
        <v>121.490075647098</v>
      </c>
      <c r="S134">
        <v>125.203295346807</v>
      </c>
      <c r="T134">
        <v>128.778629321262</v>
      </c>
      <c r="U134">
        <v>132.083234206877</v>
      </c>
      <c r="V134">
        <v>5</v>
      </c>
      <c r="AF134" s="99" t="s">
        <v>272</v>
      </c>
      <c r="AH134">
        <v>1</v>
      </c>
      <c r="AI134">
        <v>0.998176461090183</v>
      </c>
      <c r="AJ134">
        <v>1.11944327994063</v>
      </c>
      <c r="AK134">
        <v>1.20942774060418</v>
      </c>
      <c r="AL134">
        <v>1.29112776475015</v>
      </c>
      <c r="AM134">
        <v>1.37440542410241</v>
      </c>
      <c r="AN134">
        <v>1.45940515005311</v>
      </c>
      <c r="AO134">
        <v>1.5476119935828</v>
      </c>
      <c r="AP134">
        <v>1.64020732941171</v>
      </c>
      <c r="AQ134">
        <v>1.73809848295191</v>
      </c>
      <c r="AR134">
        <v>1.83991891103174</v>
      </c>
      <c r="AS134">
        <v>1.94201338841971</v>
      </c>
      <c r="AT134">
        <v>2.04517813945703</v>
      </c>
      <c r="AU134">
        <v>2.15073897025602</v>
      </c>
      <c r="AV134">
        <v>2.25902177729124</v>
      </c>
      <c r="AW134">
        <v>2.36949327542252</v>
      </c>
      <c r="AX134">
        <v>2.4799647735538</v>
      </c>
      <c r="AY134">
        <v>2.58602926254072</v>
      </c>
      <c r="AZ134">
        <v>0</v>
      </c>
      <c r="BA134">
        <v>0</v>
      </c>
      <c r="BB134">
        <v>0</v>
      </c>
      <c r="BC134">
        <v>0</v>
      </c>
      <c r="BD134">
        <v>0</v>
      </c>
      <c r="BE134">
        <v>0</v>
      </c>
      <c r="BF134">
        <v>0</v>
      </c>
      <c r="BG134">
        <v>0</v>
      </c>
      <c r="BI134" t="s">
        <v>287</v>
      </c>
      <c r="BK134">
        <v>0.8</v>
      </c>
      <c r="BL134">
        <v>0.797560975609756</v>
      </c>
      <c r="BM134">
        <v>0.785365853658536</v>
      </c>
      <c r="BN134">
        <v>0.773170731707317</v>
      </c>
      <c r="BO134">
        <v>0.760975609756097</v>
      </c>
      <c r="BP134">
        <v>0.748780487804878</v>
      </c>
      <c r="BQ134">
        <v>0.736585365853658</v>
      </c>
      <c r="BR134">
        <v>0.724390243902439</v>
      </c>
      <c r="BS134">
        <v>0.71219512195122</v>
      </c>
      <c r="BT134">
        <v>0.699999999999999</v>
      </c>
      <c r="BU134">
        <v>0.687499999999999</v>
      </c>
      <c r="BV134">
        <v>0.675</v>
      </c>
      <c r="BW134">
        <v>0.6625</v>
      </c>
      <c r="BX134">
        <v>0.649999999999999</v>
      </c>
      <c r="BY134">
        <v>0.637499999999999</v>
      </c>
      <c r="BZ134">
        <v>0.625</v>
      </c>
      <c r="CA134">
        <v>0.6125</v>
      </c>
      <c r="CB134">
        <v>0.6</v>
      </c>
      <c r="CC134" t="e">
        <v>#VALUE!</v>
      </c>
      <c r="CD134" t="e">
        <v>#VALUE!</v>
      </c>
      <c r="CE134" t="e">
        <v>#VALUE!</v>
      </c>
      <c r="CF134" t="e">
        <v>#VALUE!</v>
      </c>
      <c r="CG134" t="e">
        <v>#VALUE!</v>
      </c>
      <c r="CH134" t="e">
        <v>#VALUE!</v>
      </c>
      <c r="CI134" t="e">
        <v>#VALUE!</v>
      </c>
      <c r="CJ134" t="e">
        <v>#VALUE!</v>
      </c>
    </row>
    <row r="135" spans="1:88">
      <c r="A135" t="s">
        <v>15</v>
      </c>
      <c r="B135" t="s">
        <v>271</v>
      </c>
      <c r="C135" t="s">
        <v>271</v>
      </c>
      <c r="D135">
        <v>30.7530005904</v>
      </c>
      <c r="E135">
        <v>30.8925002060472</v>
      </c>
      <c r="F135">
        <v>32.5762784277265</v>
      </c>
      <c r="G135">
        <v>33.904186737333</v>
      </c>
      <c r="H135">
        <v>35.2803809042127</v>
      </c>
      <c r="I135">
        <v>36.8479409086583</v>
      </c>
      <c r="J135">
        <v>38.4609920775693</v>
      </c>
      <c r="K135">
        <v>39.9644226828276</v>
      </c>
      <c r="L135">
        <v>41.3529755615995</v>
      </c>
      <c r="M135">
        <v>42.6760081442252</v>
      </c>
      <c r="N135">
        <v>43.9724951481889</v>
      </c>
      <c r="O135">
        <v>45.2216905775495</v>
      </c>
      <c r="P135">
        <v>46.390526249791</v>
      </c>
      <c r="Q135">
        <v>47.4030208323069</v>
      </c>
      <c r="R135">
        <v>48.2181463464656</v>
      </c>
      <c r="S135">
        <v>48.8523859347423</v>
      </c>
      <c r="T135">
        <v>49.3427772276474</v>
      </c>
      <c r="U135">
        <v>49.7097888217992</v>
      </c>
      <c r="V135">
        <v>5</v>
      </c>
      <c r="AF135" s="99" t="s">
        <v>272</v>
      </c>
      <c r="AH135">
        <v>1</v>
      </c>
      <c r="AI135">
        <v>1.0056875027351</v>
      </c>
      <c r="AJ135">
        <v>1.07548227075571</v>
      </c>
      <c r="AK135">
        <v>1.13218376061282</v>
      </c>
      <c r="AL135">
        <v>1.19257480849257</v>
      </c>
      <c r="AM135">
        <v>1.26334038046461</v>
      </c>
      <c r="AN135">
        <v>1.33842175445903</v>
      </c>
      <c r="AO135">
        <v>1.41064604739435</v>
      </c>
      <c r="AP135">
        <v>1.47946498139125</v>
      </c>
      <c r="AQ135">
        <v>1.54708424314766</v>
      </c>
      <c r="AR135">
        <v>1.61544795560257</v>
      </c>
      <c r="AS135">
        <v>1.68343692767209</v>
      </c>
      <c r="AT135">
        <v>1.74911458152565</v>
      </c>
      <c r="AU135">
        <v>1.80784570555063</v>
      </c>
      <c r="AV135">
        <v>1.85660974133859</v>
      </c>
      <c r="AW135">
        <v>1.89568334286532</v>
      </c>
      <c r="AX135">
        <v>1.92675158434702</v>
      </c>
      <c r="AY135">
        <v>1.95063688260264</v>
      </c>
      <c r="AZ135">
        <v>0</v>
      </c>
      <c r="BA135">
        <v>0</v>
      </c>
      <c r="BB135">
        <v>0</v>
      </c>
      <c r="BC135">
        <v>0</v>
      </c>
      <c r="BD135">
        <v>0</v>
      </c>
      <c r="BE135">
        <v>0</v>
      </c>
      <c r="BF135">
        <v>0</v>
      </c>
      <c r="BG135">
        <v>0</v>
      </c>
      <c r="BI135" t="s">
        <v>287</v>
      </c>
      <c r="BK135">
        <v>0.8</v>
      </c>
      <c r="BL135">
        <v>0.797560975609756</v>
      </c>
      <c r="BM135">
        <v>0.785365853658536</v>
      </c>
      <c r="BN135">
        <v>0.773170731707317</v>
      </c>
      <c r="BO135">
        <v>0.760975609756097</v>
      </c>
      <c r="BP135">
        <v>0.748780487804878</v>
      </c>
      <c r="BQ135">
        <v>0.736585365853658</v>
      </c>
      <c r="BR135">
        <v>0.724390243902439</v>
      </c>
      <c r="BS135">
        <v>0.71219512195122</v>
      </c>
      <c r="BT135">
        <v>0.699999999999999</v>
      </c>
      <c r="BU135">
        <v>0.687499999999999</v>
      </c>
      <c r="BV135">
        <v>0.675</v>
      </c>
      <c r="BW135">
        <v>0.6625</v>
      </c>
      <c r="BX135">
        <v>0.649999999999999</v>
      </c>
      <c r="BY135">
        <v>0.637499999999999</v>
      </c>
      <c r="BZ135">
        <v>0.625</v>
      </c>
      <c r="CA135">
        <v>0.6125</v>
      </c>
      <c r="CB135">
        <v>0.6</v>
      </c>
      <c r="CC135" t="e">
        <v>#VALUE!</v>
      </c>
      <c r="CD135" t="e">
        <v>#VALUE!</v>
      </c>
      <c r="CE135" t="e">
        <v>#VALUE!</v>
      </c>
      <c r="CF135" t="e">
        <v>#VALUE!</v>
      </c>
      <c r="CG135" t="e">
        <v>#VALUE!</v>
      </c>
      <c r="CH135" t="e">
        <v>#VALUE!</v>
      </c>
      <c r="CI135" t="e">
        <v>#VALUE!</v>
      </c>
      <c r="CJ135" t="e">
        <v>#VALUE!</v>
      </c>
    </row>
    <row r="136" spans="1:88">
      <c r="A136" t="s">
        <v>15</v>
      </c>
      <c r="B136" t="s">
        <v>274</v>
      </c>
      <c r="C136" t="s">
        <v>274</v>
      </c>
      <c r="D136">
        <v>409.8760011468</v>
      </c>
      <c r="E136">
        <v>411.735252066231</v>
      </c>
      <c r="F136">
        <v>434.176648712757</v>
      </c>
      <c r="G136">
        <v>451.875011063813</v>
      </c>
      <c r="H136">
        <v>470.216927335173</v>
      </c>
      <c r="I136">
        <v>491.109367547345</v>
      </c>
      <c r="J136">
        <v>512.608114013236</v>
      </c>
      <c r="K136">
        <v>532.645837573691</v>
      </c>
      <c r="L136">
        <v>551.15247076088</v>
      </c>
      <c r="M136">
        <v>568.785849421264</v>
      </c>
      <c r="N136">
        <v>586.065428601233</v>
      </c>
      <c r="O136">
        <v>602.714705660624</v>
      </c>
      <c r="P136">
        <v>618.292947852886</v>
      </c>
      <c r="Q136">
        <v>631.787475954121</v>
      </c>
      <c r="R136">
        <v>642.651469052745</v>
      </c>
      <c r="S136">
        <v>651.104614476642</v>
      </c>
      <c r="T136">
        <v>657.640549776429</v>
      </c>
      <c r="U136">
        <v>662.532080414009</v>
      </c>
      <c r="V136">
        <v>5</v>
      </c>
      <c r="AF136" s="99" t="s">
        <v>272</v>
      </c>
      <c r="AH136">
        <v>1</v>
      </c>
      <c r="AI136">
        <v>1.0056875027351</v>
      </c>
      <c r="AJ136">
        <v>1.07548227075571</v>
      </c>
      <c r="AK136">
        <v>1.13218376061282</v>
      </c>
      <c r="AL136">
        <v>1.19257480849257</v>
      </c>
      <c r="AM136">
        <v>1.26334038046461</v>
      </c>
      <c r="AN136">
        <v>1.33842175445903</v>
      </c>
      <c r="AO136">
        <v>1.41064604739435</v>
      </c>
      <c r="AP136">
        <v>1.47946498139125</v>
      </c>
      <c r="AQ136">
        <v>1.54708424314766</v>
      </c>
      <c r="AR136">
        <v>1.61544795560257</v>
      </c>
      <c r="AS136">
        <v>1.68343692767209</v>
      </c>
      <c r="AT136">
        <v>1.74911458152565</v>
      </c>
      <c r="AU136">
        <v>1.80784570555063</v>
      </c>
      <c r="AV136">
        <v>1.85660974133859</v>
      </c>
      <c r="AW136">
        <v>1.89568334286532</v>
      </c>
      <c r="AX136">
        <v>1.92675158434702</v>
      </c>
      <c r="AY136">
        <v>1.95063688260264</v>
      </c>
      <c r="AZ136">
        <v>0</v>
      </c>
      <c r="BA136">
        <v>0</v>
      </c>
      <c r="BB136">
        <v>0</v>
      </c>
      <c r="BC136">
        <v>0</v>
      </c>
      <c r="BD136">
        <v>0</v>
      </c>
      <c r="BE136">
        <v>0</v>
      </c>
      <c r="BF136">
        <v>0</v>
      </c>
      <c r="BG136">
        <v>0</v>
      </c>
      <c r="BI136" t="s">
        <v>287</v>
      </c>
      <c r="BK136">
        <v>0.8</v>
      </c>
      <c r="BL136">
        <v>0.797560975609756</v>
      </c>
      <c r="BM136">
        <v>0.785365853658536</v>
      </c>
      <c r="BN136">
        <v>0.773170731707317</v>
      </c>
      <c r="BO136">
        <v>0.760975609756097</v>
      </c>
      <c r="BP136">
        <v>0.748780487804878</v>
      </c>
      <c r="BQ136">
        <v>0.736585365853658</v>
      </c>
      <c r="BR136">
        <v>0.724390243902439</v>
      </c>
      <c r="BS136">
        <v>0.71219512195122</v>
      </c>
      <c r="BT136">
        <v>0.699999999999999</v>
      </c>
      <c r="BU136">
        <v>0.687499999999999</v>
      </c>
      <c r="BV136">
        <v>0.675</v>
      </c>
      <c r="BW136">
        <v>0.6625</v>
      </c>
      <c r="BX136">
        <v>0.649999999999999</v>
      </c>
      <c r="BY136">
        <v>0.637499999999999</v>
      </c>
      <c r="BZ136">
        <v>0.625</v>
      </c>
      <c r="CA136">
        <v>0.6125</v>
      </c>
      <c r="CB136">
        <v>0.6</v>
      </c>
      <c r="CC136" t="e">
        <v>#VALUE!</v>
      </c>
      <c r="CD136" t="e">
        <v>#VALUE!</v>
      </c>
      <c r="CE136" t="e">
        <v>#VALUE!</v>
      </c>
      <c r="CF136" t="e">
        <v>#VALUE!</v>
      </c>
      <c r="CG136" t="e">
        <v>#VALUE!</v>
      </c>
      <c r="CH136" t="e">
        <v>#VALUE!</v>
      </c>
      <c r="CI136" t="e">
        <v>#VALUE!</v>
      </c>
      <c r="CJ136" t="e">
        <v>#VALUE!</v>
      </c>
    </row>
    <row r="137" spans="1:88">
      <c r="A137" t="s">
        <v>15</v>
      </c>
      <c r="B137" t="s">
        <v>275</v>
      </c>
      <c r="C137" t="s">
        <v>275</v>
      </c>
      <c r="D137">
        <v>10.19603156004</v>
      </c>
      <c r="E137">
        <v>10.2422820870275</v>
      </c>
      <c r="F137">
        <v>10.8005318694474</v>
      </c>
      <c r="G137">
        <v>11.2407944380962</v>
      </c>
      <c r="H137">
        <v>11.6970659852254</v>
      </c>
      <c r="I137">
        <v>12.2167840930765</v>
      </c>
      <c r="J137">
        <v>12.7515846104383</v>
      </c>
      <c r="K137">
        <v>13.2500408782904</v>
      </c>
      <c r="L137">
        <v>13.710409905798</v>
      </c>
      <c r="M137">
        <v>14.149055947109</v>
      </c>
      <c r="N137">
        <v>14.5789009103911</v>
      </c>
      <c r="O137">
        <v>14.9930665455452</v>
      </c>
      <c r="P137">
        <v>15.3805892319134</v>
      </c>
      <c r="Q137">
        <v>15.7162776694483</v>
      </c>
      <c r="R137">
        <v>15.986529199647</v>
      </c>
      <c r="S137">
        <v>16.1968087409778</v>
      </c>
      <c r="T137">
        <v>16.3593959683455</v>
      </c>
      <c r="U137">
        <v>16.4810771612383</v>
      </c>
      <c r="V137">
        <v>5</v>
      </c>
      <c r="AF137" s="99" t="s">
        <v>272</v>
      </c>
      <c r="AH137">
        <v>1</v>
      </c>
      <c r="AI137">
        <v>1.0056875027351</v>
      </c>
      <c r="AJ137">
        <v>1.07548227075571</v>
      </c>
      <c r="AK137">
        <v>1.13218376061282</v>
      </c>
      <c r="AL137">
        <v>1.19257480849257</v>
      </c>
      <c r="AM137">
        <v>1.26334038046461</v>
      </c>
      <c r="AN137">
        <v>1.33842175445903</v>
      </c>
      <c r="AO137">
        <v>1.41064604739435</v>
      </c>
      <c r="AP137">
        <v>1.47946498139125</v>
      </c>
      <c r="AQ137">
        <v>1.54708424314766</v>
      </c>
      <c r="AR137">
        <v>1.61544795560257</v>
      </c>
      <c r="AS137">
        <v>1.68343692767209</v>
      </c>
      <c r="AT137">
        <v>1.74911458152565</v>
      </c>
      <c r="AU137">
        <v>1.80784570555063</v>
      </c>
      <c r="AV137">
        <v>1.85660974133859</v>
      </c>
      <c r="AW137">
        <v>1.89568334286532</v>
      </c>
      <c r="AX137">
        <v>1.92675158434702</v>
      </c>
      <c r="AY137">
        <v>1.95063688260264</v>
      </c>
      <c r="AZ137">
        <v>0</v>
      </c>
      <c r="BA137">
        <v>0</v>
      </c>
      <c r="BB137">
        <v>0</v>
      </c>
      <c r="BC137">
        <v>0</v>
      </c>
      <c r="BD137">
        <v>0</v>
      </c>
      <c r="BE137">
        <v>0</v>
      </c>
      <c r="BF137">
        <v>0</v>
      </c>
      <c r="BG137">
        <v>0</v>
      </c>
      <c r="BI137" t="s">
        <v>287</v>
      </c>
      <c r="BK137">
        <v>0.8</v>
      </c>
      <c r="BL137">
        <v>0.797560975609756</v>
      </c>
      <c r="BM137">
        <v>0.785365853658536</v>
      </c>
      <c r="BN137">
        <v>0.773170731707317</v>
      </c>
      <c r="BO137">
        <v>0.760975609756097</v>
      </c>
      <c r="BP137">
        <v>0.748780487804878</v>
      </c>
      <c r="BQ137">
        <v>0.736585365853658</v>
      </c>
      <c r="BR137">
        <v>0.724390243902439</v>
      </c>
      <c r="BS137">
        <v>0.71219512195122</v>
      </c>
      <c r="BT137">
        <v>0.699999999999999</v>
      </c>
      <c r="BU137">
        <v>0.687499999999999</v>
      </c>
      <c r="BV137">
        <v>0.675</v>
      </c>
      <c r="BW137">
        <v>0.6625</v>
      </c>
      <c r="BX137">
        <v>0.649999999999999</v>
      </c>
      <c r="BY137">
        <v>0.637499999999999</v>
      </c>
      <c r="BZ137">
        <v>0.625</v>
      </c>
      <c r="CA137">
        <v>0.6125</v>
      </c>
      <c r="CB137">
        <v>0.6</v>
      </c>
      <c r="CC137" t="e">
        <v>#VALUE!</v>
      </c>
      <c r="CD137" t="e">
        <v>#VALUE!</v>
      </c>
      <c r="CE137" t="e">
        <v>#VALUE!</v>
      </c>
      <c r="CF137" t="e">
        <v>#VALUE!</v>
      </c>
      <c r="CG137" t="e">
        <v>#VALUE!</v>
      </c>
      <c r="CH137" t="e">
        <v>#VALUE!</v>
      </c>
      <c r="CI137" t="e">
        <v>#VALUE!</v>
      </c>
      <c r="CJ137" t="e">
        <v>#VALUE!</v>
      </c>
    </row>
    <row r="138" spans="1:88">
      <c r="A138" t="s">
        <v>15</v>
      </c>
      <c r="B138" t="s">
        <v>276</v>
      </c>
      <c r="C138" t="s">
        <v>276</v>
      </c>
      <c r="D138">
        <v>41.70129292836</v>
      </c>
      <c r="E138">
        <v>41.728037261455</v>
      </c>
      <c r="F138">
        <v>41.8596928354183</v>
      </c>
      <c r="G138">
        <v>41.6335477206221</v>
      </c>
      <c r="H138">
        <v>41.4076364519895</v>
      </c>
      <c r="I138">
        <v>41.206691240923</v>
      </c>
      <c r="J138">
        <v>41.0341031750916</v>
      </c>
      <c r="K138">
        <v>40.8643391636625</v>
      </c>
      <c r="L138">
        <v>40.6766584244183</v>
      </c>
      <c r="M138">
        <v>40.479014037829</v>
      </c>
      <c r="N138">
        <v>40.2713808041122</v>
      </c>
      <c r="O138">
        <v>40.0843398639789</v>
      </c>
      <c r="P138">
        <v>39.8990305750106</v>
      </c>
      <c r="Q138">
        <v>39.6734581248869</v>
      </c>
      <c r="R138">
        <v>39.3909698128329</v>
      </c>
      <c r="S138">
        <v>39.0707106680317</v>
      </c>
      <c r="T138">
        <v>38.7346014147335</v>
      </c>
      <c r="U138">
        <v>38.3848419306435</v>
      </c>
      <c r="V138">
        <v>5</v>
      </c>
      <c r="AF138" s="99" t="s">
        <v>277</v>
      </c>
      <c r="AH138">
        <v>1</v>
      </c>
      <c r="AI138">
        <v>1.00080411535718</v>
      </c>
      <c r="AJ138">
        <v>1.0048246921431</v>
      </c>
      <c r="AK138">
        <v>0.997803577465389</v>
      </c>
      <c r="AL138">
        <v>0.990688677574286</v>
      </c>
      <c r="AM138">
        <v>0.984268014221844</v>
      </c>
      <c r="AN138">
        <v>0.978671297778821</v>
      </c>
      <c r="AO138">
        <v>0.973081900981446</v>
      </c>
      <c r="AP138">
        <v>0.966806729107691</v>
      </c>
      <c r="AQ138">
        <v>0.960095827983472</v>
      </c>
      <c r="AR138">
        <v>0.952932599200519</v>
      </c>
      <c r="AS138">
        <v>0.946375699093767</v>
      </c>
      <c r="AT138">
        <v>0.939771804217772</v>
      </c>
      <c r="AU138">
        <v>0.931597839341566</v>
      </c>
      <c r="AV138">
        <v>0.921192680609161</v>
      </c>
      <c r="AW138">
        <v>0.909209411083547</v>
      </c>
      <c r="AX138">
        <v>0.896439526043208</v>
      </c>
      <c r="AY138">
        <v>0.882948649897371</v>
      </c>
      <c r="AZ138">
        <v>0</v>
      </c>
      <c r="BA138">
        <v>0</v>
      </c>
      <c r="BB138">
        <v>0</v>
      </c>
      <c r="BC138">
        <v>0</v>
      </c>
      <c r="BD138">
        <v>0</v>
      </c>
      <c r="BE138">
        <v>0</v>
      </c>
      <c r="BF138">
        <v>0</v>
      </c>
      <c r="BG138">
        <v>0</v>
      </c>
      <c r="BI138" t="s">
        <v>287</v>
      </c>
      <c r="BK138">
        <v>0.8</v>
      </c>
      <c r="BL138">
        <v>0.797560975609756</v>
      </c>
      <c r="BM138">
        <v>0.785365853658536</v>
      </c>
      <c r="BN138">
        <v>0.773170731707317</v>
      </c>
      <c r="BO138">
        <v>0.760975609756097</v>
      </c>
      <c r="BP138">
        <v>0.748780487804878</v>
      </c>
      <c r="BQ138">
        <v>0.736585365853658</v>
      </c>
      <c r="BR138">
        <v>0.724390243902439</v>
      </c>
      <c r="BS138">
        <v>0.71219512195122</v>
      </c>
      <c r="BT138">
        <v>0.699999999999999</v>
      </c>
      <c r="BU138">
        <v>0.687499999999999</v>
      </c>
      <c r="BV138">
        <v>0.675</v>
      </c>
      <c r="BW138">
        <v>0.6625</v>
      </c>
      <c r="BX138">
        <v>0.649999999999999</v>
      </c>
      <c r="BY138">
        <v>0.637499999999999</v>
      </c>
      <c r="BZ138">
        <v>0.625</v>
      </c>
      <c r="CA138">
        <v>0.6125</v>
      </c>
      <c r="CB138">
        <v>0.6</v>
      </c>
      <c r="CC138" t="e">
        <v>#VALUE!</v>
      </c>
      <c r="CD138" t="e">
        <v>#VALUE!</v>
      </c>
      <c r="CE138" t="e">
        <v>#VALUE!</v>
      </c>
      <c r="CF138" t="e">
        <v>#VALUE!</v>
      </c>
      <c r="CG138" t="e">
        <v>#VALUE!</v>
      </c>
      <c r="CH138" t="e">
        <v>#VALUE!</v>
      </c>
      <c r="CI138" t="e">
        <v>#VALUE!</v>
      </c>
      <c r="CJ138" t="e">
        <v>#VALUE!</v>
      </c>
    </row>
    <row r="139" spans="1:88">
      <c r="A139" t="s">
        <v>15</v>
      </c>
      <c r="B139" t="s">
        <v>278</v>
      </c>
      <c r="C139" t="s">
        <v>278</v>
      </c>
      <c r="D139">
        <v>11.2463979408</v>
      </c>
      <c r="E139">
        <v>11.29741306648</v>
      </c>
      <c r="F139">
        <v>11.9131721651538</v>
      </c>
      <c r="G139">
        <v>12.3987893404545</v>
      </c>
      <c r="H139">
        <v>12.902064693994</v>
      </c>
      <c r="I139">
        <v>13.4753226937868</v>
      </c>
      <c r="J139">
        <v>14.0652168503299</v>
      </c>
      <c r="K139">
        <v>14.6150226754041</v>
      </c>
      <c r="L139">
        <v>15.1228176201806</v>
      </c>
      <c r="M139">
        <v>15.6066517380617</v>
      </c>
      <c r="N139">
        <v>16.080778115707</v>
      </c>
      <c r="O139">
        <v>16.5376099251144</v>
      </c>
      <c r="P139">
        <v>16.9650541043836</v>
      </c>
      <c r="Q139">
        <v>17.3353242168692</v>
      </c>
      <c r="R139">
        <v>17.6334162965992</v>
      </c>
      <c r="S139">
        <v>17.8653582425111</v>
      </c>
      <c r="T139">
        <v>18.0446947469443</v>
      </c>
      <c r="U139">
        <v>18.1789111927375</v>
      </c>
      <c r="V139">
        <v>5</v>
      </c>
      <c r="AF139" s="99" t="s">
        <v>272</v>
      </c>
      <c r="AH139">
        <v>1</v>
      </c>
      <c r="AI139">
        <v>1.0056875027351</v>
      </c>
      <c r="AJ139">
        <v>1.07548227075571</v>
      </c>
      <c r="AK139">
        <v>1.13218376061282</v>
      </c>
      <c r="AL139">
        <v>1.19257480849257</v>
      </c>
      <c r="AM139">
        <v>1.26334038046461</v>
      </c>
      <c r="AN139">
        <v>1.33842175445903</v>
      </c>
      <c r="AO139">
        <v>1.41064604739435</v>
      </c>
      <c r="AP139">
        <v>1.47946498139125</v>
      </c>
      <c r="AQ139">
        <v>1.54708424314766</v>
      </c>
      <c r="AR139">
        <v>1.61544795560257</v>
      </c>
      <c r="AS139">
        <v>1.68343692767209</v>
      </c>
      <c r="AT139">
        <v>1.74911458152565</v>
      </c>
      <c r="AU139">
        <v>1.80784570555063</v>
      </c>
      <c r="AV139">
        <v>1.85660974133859</v>
      </c>
      <c r="AW139">
        <v>1.89568334286532</v>
      </c>
      <c r="AX139">
        <v>1.92675158434702</v>
      </c>
      <c r="AY139">
        <v>1.95063688260264</v>
      </c>
      <c r="AZ139">
        <v>0</v>
      </c>
      <c r="BA139">
        <v>0</v>
      </c>
      <c r="BB139">
        <v>0</v>
      </c>
      <c r="BC139">
        <v>0</v>
      </c>
      <c r="BD139">
        <v>0</v>
      </c>
      <c r="BE139">
        <v>0</v>
      </c>
      <c r="BF139">
        <v>0</v>
      </c>
      <c r="BG139">
        <v>0</v>
      </c>
      <c r="BI139" t="s">
        <v>287</v>
      </c>
      <c r="BK139">
        <v>0.8</v>
      </c>
      <c r="BL139">
        <v>0.797560975609756</v>
      </c>
      <c r="BM139">
        <v>0.785365853658536</v>
      </c>
      <c r="BN139">
        <v>0.773170731707317</v>
      </c>
      <c r="BO139">
        <v>0.760975609756097</v>
      </c>
      <c r="BP139">
        <v>0.748780487804878</v>
      </c>
      <c r="BQ139">
        <v>0.736585365853658</v>
      </c>
      <c r="BR139">
        <v>0.724390243902439</v>
      </c>
      <c r="BS139">
        <v>0.71219512195122</v>
      </c>
      <c r="BT139">
        <v>0.699999999999999</v>
      </c>
      <c r="BU139">
        <v>0.687499999999999</v>
      </c>
      <c r="BV139">
        <v>0.675</v>
      </c>
      <c r="BW139">
        <v>0.6625</v>
      </c>
      <c r="BX139">
        <v>0.649999999999999</v>
      </c>
      <c r="BY139">
        <v>0.637499999999999</v>
      </c>
      <c r="BZ139">
        <v>0.625</v>
      </c>
      <c r="CA139">
        <v>0.6125</v>
      </c>
      <c r="CB139">
        <v>0.6</v>
      </c>
      <c r="CC139" t="e">
        <v>#VALUE!</v>
      </c>
      <c r="CD139" t="e">
        <v>#VALUE!</v>
      </c>
      <c r="CE139" t="e">
        <v>#VALUE!</v>
      </c>
      <c r="CF139" t="e">
        <v>#VALUE!</v>
      </c>
      <c r="CG139" t="e">
        <v>#VALUE!</v>
      </c>
      <c r="CH139" t="e">
        <v>#VALUE!</v>
      </c>
      <c r="CI139" t="e">
        <v>#VALUE!</v>
      </c>
      <c r="CJ139" t="e">
        <v>#VALUE!</v>
      </c>
    </row>
    <row r="140" spans="1:88">
      <c r="A140" t="s">
        <v>15</v>
      </c>
      <c r="B140" t="s">
        <v>279</v>
      </c>
      <c r="C140" t="s">
        <v>279</v>
      </c>
      <c r="D140">
        <v>56.7955999728</v>
      </c>
      <c r="E140">
        <v>57.0532322107784</v>
      </c>
      <c r="F140">
        <v>60.1628863090931</v>
      </c>
      <c r="G140">
        <v>62.6153087623517</v>
      </c>
      <c r="H140">
        <v>65.1569070417533</v>
      </c>
      <c r="I140">
        <v>68.0519257142937</v>
      </c>
      <c r="J140">
        <v>71.0309588871973</v>
      </c>
      <c r="K140">
        <v>73.8075413865898</v>
      </c>
      <c r="L140">
        <v>76.3719641202996</v>
      </c>
      <c r="M140">
        <v>78.8153819290075</v>
      </c>
      <c r="N140">
        <v>81.2097745356933</v>
      </c>
      <c r="O140">
        <v>83.5168275884599</v>
      </c>
      <c r="P140">
        <v>85.6754697371966</v>
      </c>
      <c r="Q140">
        <v>87.5453762887268</v>
      </c>
      <c r="R140">
        <v>89.0507754933896</v>
      </c>
      <c r="S140">
        <v>90.2221089324401</v>
      </c>
      <c r="T140">
        <v>91.1277788562614</v>
      </c>
      <c r="U140">
        <v>91.8055873070352</v>
      </c>
      <c r="V140">
        <v>5</v>
      </c>
      <c r="AF140" s="99" t="s">
        <v>272</v>
      </c>
      <c r="AH140">
        <v>1</v>
      </c>
      <c r="AI140">
        <v>1.0056875027351</v>
      </c>
      <c r="AJ140">
        <v>1.07548227075571</v>
      </c>
      <c r="AK140">
        <v>1.13218376061282</v>
      </c>
      <c r="AL140">
        <v>1.19257480849257</v>
      </c>
      <c r="AM140">
        <v>1.26334038046461</v>
      </c>
      <c r="AN140">
        <v>1.33842175445903</v>
      </c>
      <c r="AO140">
        <v>1.41064604739435</v>
      </c>
      <c r="AP140">
        <v>1.47946498139125</v>
      </c>
      <c r="AQ140">
        <v>1.54708424314766</v>
      </c>
      <c r="AR140">
        <v>1.61544795560257</v>
      </c>
      <c r="AS140">
        <v>1.68343692767209</v>
      </c>
      <c r="AT140">
        <v>1.74911458152565</v>
      </c>
      <c r="AU140">
        <v>1.80784570555063</v>
      </c>
      <c r="AV140">
        <v>1.85660974133859</v>
      </c>
      <c r="AW140">
        <v>1.89568334286532</v>
      </c>
      <c r="AX140">
        <v>1.92675158434702</v>
      </c>
      <c r="AY140">
        <v>1.95063688260264</v>
      </c>
      <c r="AZ140">
        <v>0</v>
      </c>
      <c r="BA140">
        <v>0</v>
      </c>
      <c r="BB140">
        <v>0</v>
      </c>
      <c r="BC140">
        <v>0</v>
      </c>
      <c r="BD140">
        <v>0</v>
      </c>
      <c r="BE140">
        <v>0</v>
      </c>
      <c r="BF140">
        <v>0</v>
      </c>
      <c r="BG140">
        <v>0</v>
      </c>
      <c r="BI140" t="s">
        <v>287</v>
      </c>
      <c r="BK140">
        <v>0.8</v>
      </c>
      <c r="BL140">
        <v>0.797560975609756</v>
      </c>
      <c r="BM140">
        <v>0.785365853658536</v>
      </c>
      <c r="BN140">
        <v>0.773170731707317</v>
      </c>
      <c r="BO140">
        <v>0.760975609756097</v>
      </c>
      <c r="BP140">
        <v>0.748780487804878</v>
      </c>
      <c r="BQ140">
        <v>0.736585365853658</v>
      </c>
      <c r="BR140">
        <v>0.724390243902439</v>
      </c>
      <c r="BS140">
        <v>0.71219512195122</v>
      </c>
      <c r="BT140">
        <v>0.699999999999999</v>
      </c>
      <c r="BU140">
        <v>0.687499999999999</v>
      </c>
      <c r="BV140">
        <v>0.675</v>
      </c>
      <c r="BW140">
        <v>0.6625</v>
      </c>
      <c r="BX140">
        <v>0.649999999999999</v>
      </c>
      <c r="BY140">
        <v>0.637499999999999</v>
      </c>
      <c r="BZ140">
        <v>0.625</v>
      </c>
      <c r="CA140">
        <v>0.6125</v>
      </c>
      <c r="CB140">
        <v>0.6</v>
      </c>
      <c r="CC140" t="e">
        <v>#VALUE!</v>
      </c>
      <c r="CD140" t="e">
        <v>#VALUE!</v>
      </c>
      <c r="CE140" t="e">
        <v>#VALUE!</v>
      </c>
      <c r="CF140" t="e">
        <v>#VALUE!</v>
      </c>
      <c r="CG140" t="e">
        <v>#VALUE!</v>
      </c>
      <c r="CH140" t="e">
        <v>#VALUE!</v>
      </c>
      <c r="CI140" t="e">
        <v>#VALUE!</v>
      </c>
      <c r="CJ140" t="e">
        <v>#VALUE!</v>
      </c>
    </row>
    <row r="141" spans="1:88">
      <c r="A141" t="s">
        <v>15</v>
      </c>
      <c r="B141" t="s">
        <v>280</v>
      </c>
      <c r="C141" t="s">
        <v>280</v>
      </c>
      <c r="D141">
        <v>3.472</v>
      </c>
      <c r="E141">
        <v>3.47422670133191</v>
      </c>
      <c r="F141">
        <v>3.48518818767205</v>
      </c>
      <c r="G141">
        <v>3.46635961466062</v>
      </c>
      <c r="H141">
        <v>3.44755051140237</v>
      </c>
      <c r="I141">
        <v>3.43082005237268</v>
      </c>
      <c r="J141">
        <v>3.41645057549349</v>
      </c>
      <c r="K141">
        <v>3.40231622602153</v>
      </c>
      <c r="L141">
        <v>3.3866901511232</v>
      </c>
      <c r="M141">
        <v>3.37023451480955</v>
      </c>
      <c r="N141">
        <v>3.35294721897671</v>
      </c>
      <c r="O141">
        <v>3.33737441299061</v>
      </c>
      <c r="P141">
        <v>3.32194578221882</v>
      </c>
      <c r="Q141">
        <v>3.30316488858621</v>
      </c>
      <c r="R141">
        <v>3.27964524805285</v>
      </c>
      <c r="S141">
        <v>3.2529808529546</v>
      </c>
      <c r="T141">
        <v>3.22499679669389</v>
      </c>
      <c r="U141">
        <v>3.19587623846932</v>
      </c>
      <c r="V141">
        <v>5</v>
      </c>
      <c r="AF141" s="99" t="s">
        <v>277</v>
      </c>
      <c r="AH141">
        <v>1</v>
      </c>
      <c r="AI141">
        <v>1.00080411535718</v>
      </c>
      <c r="AJ141">
        <v>1.0048246921431</v>
      </c>
      <c r="AK141">
        <v>0.997803577465389</v>
      </c>
      <c r="AL141">
        <v>0.990688677574286</v>
      </c>
      <c r="AM141">
        <v>0.984268014221844</v>
      </c>
      <c r="AN141">
        <v>0.978671297778821</v>
      </c>
      <c r="AO141">
        <v>0.973081900981446</v>
      </c>
      <c r="AP141">
        <v>0.966806729107691</v>
      </c>
      <c r="AQ141">
        <v>0.960095827983472</v>
      </c>
      <c r="AR141">
        <v>0.952932599200519</v>
      </c>
      <c r="AS141">
        <v>0.946375699093767</v>
      </c>
      <c r="AT141">
        <v>0.939771804217772</v>
      </c>
      <c r="AU141">
        <v>0.931597839341566</v>
      </c>
      <c r="AV141">
        <v>0.921192680609161</v>
      </c>
      <c r="AW141">
        <v>0.909209411083547</v>
      </c>
      <c r="AX141">
        <v>0.896439526043208</v>
      </c>
      <c r="AY141">
        <v>0.882948649897371</v>
      </c>
      <c r="AZ141">
        <v>0</v>
      </c>
      <c r="BA141">
        <v>0</v>
      </c>
      <c r="BB141">
        <v>0</v>
      </c>
      <c r="BC141">
        <v>0</v>
      </c>
      <c r="BD141">
        <v>0</v>
      </c>
      <c r="BE141">
        <v>0</v>
      </c>
      <c r="BF141">
        <v>0</v>
      </c>
      <c r="BG141">
        <v>0</v>
      </c>
      <c r="BI141" t="s">
        <v>287</v>
      </c>
      <c r="BK141">
        <v>0.8</v>
      </c>
      <c r="BL141">
        <v>0.797560975609756</v>
      </c>
      <c r="BM141">
        <v>0.785365853658536</v>
      </c>
      <c r="BN141">
        <v>0.773170731707317</v>
      </c>
      <c r="BO141">
        <v>0.760975609756097</v>
      </c>
      <c r="BP141">
        <v>0.748780487804878</v>
      </c>
      <c r="BQ141">
        <v>0.736585365853658</v>
      </c>
      <c r="BR141">
        <v>0.724390243902439</v>
      </c>
      <c r="BS141">
        <v>0.71219512195122</v>
      </c>
      <c r="BT141">
        <v>0.699999999999999</v>
      </c>
      <c r="BU141">
        <v>0.687499999999999</v>
      </c>
      <c r="BV141">
        <v>0.675</v>
      </c>
      <c r="BW141">
        <v>0.6625</v>
      </c>
      <c r="BX141">
        <v>0.649999999999999</v>
      </c>
      <c r="BY141">
        <v>0.637499999999999</v>
      </c>
      <c r="BZ141">
        <v>0.625</v>
      </c>
      <c r="CA141">
        <v>0.6125</v>
      </c>
      <c r="CB141">
        <v>0.6</v>
      </c>
      <c r="CC141" t="e">
        <v>#VALUE!</v>
      </c>
      <c r="CD141" t="e">
        <v>#VALUE!</v>
      </c>
      <c r="CE141" t="e">
        <v>#VALUE!</v>
      </c>
      <c r="CF141" t="e">
        <v>#VALUE!</v>
      </c>
      <c r="CG141" t="e">
        <v>#VALUE!</v>
      </c>
      <c r="CH141" t="e">
        <v>#VALUE!</v>
      </c>
      <c r="CI141" t="e">
        <v>#VALUE!</v>
      </c>
      <c r="CJ141" t="e">
        <v>#VALUE!</v>
      </c>
    </row>
    <row r="142" spans="1:88">
      <c r="A142" t="s">
        <v>15</v>
      </c>
      <c r="B142" t="s">
        <v>281</v>
      </c>
      <c r="C142" t="s">
        <v>281</v>
      </c>
      <c r="D142">
        <v>2.055</v>
      </c>
      <c r="E142">
        <v>2.05631793526413</v>
      </c>
      <c r="F142">
        <v>2.06280579656281</v>
      </c>
      <c r="G142">
        <v>2.05166158068191</v>
      </c>
      <c r="H142">
        <v>2.04052888851724</v>
      </c>
      <c r="I142">
        <v>2.03062649989224</v>
      </c>
      <c r="J142">
        <v>2.02212152437763</v>
      </c>
      <c r="K142">
        <v>2.01375571557438</v>
      </c>
      <c r="L142">
        <v>2.00450698748795</v>
      </c>
      <c r="M142">
        <v>1.99476726034955</v>
      </c>
      <c r="N142">
        <v>1.98453529233788</v>
      </c>
      <c r="O142">
        <v>1.97531809294231</v>
      </c>
      <c r="P142">
        <v>1.96618622766696</v>
      </c>
      <c r="Q142">
        <v>1.95507023215572</v>
      </c>
      <c r="R142">
        <v>1.94114947717414</v>
      </c>
      <c r="S142">
        <v>1.92536741152699</v>
      </c>
      <c r="T142">
        <v>1.90880426762844</v>
      </c>
      <c r="U142">
        <v>1.89156845335669</v>
      </c>
      <c r="V142">
        <v>5</v>
      </c>
      <c r="AF142" s="99" t="s">
        <v>277</v>
      </c>
      <c r="AH142">
        <v>1</v>
      </c>
      <c r="AI142">
        <v>1.00080411535718</v>
      </c>
      <c r="AJ142">
        <v>1.0048246921431</v>
      </c>
      <c r="AK142">
        <v>0.997803577465389</v>
      </c>
      <c r="AL142">
        <v>0.990688677574286</v>
      </c>
      <c r="AM142">
        <v>0.984268014221844</v>
      </c>
      <c r="AN142">
        <v>0.978671297778821</v>
      </c>
      <c r="AO142">
        <v>0.973081900981446</v>
      </c>
      <c r="AP142">
        <v>0.966806729107691</v>
      </c>
      <c r="AQ142">
        <v>0.960095827983472</v>
      </c>
      <c r="AR142">
        <v>0.952932599200519</v>
      </c>
      <c r="AS142">
        <v>0.946375699093767</v>
      </c>
      <c r="AT142">
        <v>0.939771804217772</v>
      </c>
      <c r="AU142">
        <v>0.931597839341566</v>
      </c>
      <c r="AV142">
        <v>0.921192680609161</v>
      </c>
      <c r="AW142">
        <v>0.909209411083547</v>
      </c>
      <c r="AX142">
        <v>0.896439526043208</v>
      </c>
      <c r="AY142">
        <v>0.882948649897371</v>
      </c>
      <c r="AZ142">
        <v>0</v>
      </c>
      <c r="BA142">
        <v>0</v>
      </c>
      <c r="BB142">
        <v>0</v>
      </c>
      <c r="BC142">
        <v>0</v>
      </c>
      <c r="BD142">
        <v>0</v>
      </c>
      <c r="BE142">
        <v>0</v>
      </c>
      <c r="BF142">
        <v>0</v>
      </c>
      <c r="BG142">
        <v>0</v>
      </c>
      <c r="BI142" t="s">
        <v>287</v>
      </c>
      <c r="BK142">
        <v>0.8</v>
      </c>
      <c r="BL142">
        <v>0.797560975609756</v>
      </c>
      <c r="BM142">
        <v>0.785365853658536</v>
      </c>
      <c r="BN142">
        <v>0.773170731707317</v>
      </c>
      <c r="BO142">
        <v>0.760975609756097</v>
      </c>
      <c r="BP142">
        <v>0.748780487804878</v>
      </c>
      <c r="BQ142">
        <v>0.736585365853658</v>
      </c>
      <c r="BR142">
        <v>0.724390243902439</v>
      </c>
      <c r="BS142">
        <v>0.71219512195122</v>
      </c>
      <c r="BT142">
        <v>0.699999999999999</v>
      </c>
      <c r="BU142">
        <v>0.687499999999999</v>
      </c>
      <c r="BV142">
        <v>0.675</v>
      </c>
      <c r="BW142">
        <v>0.6625</v>
      </c>
      <c r="BX142">
        <v>0.649999999999999</v>
      </c>
      <c r="BY142">
        <v>0.637499999999999</v>
      </c>
      <c r="BZ142">
        <v>0.625</v>
      </c>
      <c r="CA142">
        <v>0.6125</v>
      </c>
      <c r="CB142">
        <v>0.6</v>
      </c>
      <c r="CC142" t="e">
        <v>#VALUE!</v>
      </c>
      <c r="CD142" t="e">
        <v>#VALUE!</v>
      </c>
      <c r="CE142" t="e">
        <v>#VALUE!</v>
      </c>
      <c r="CF142" t="e">
        <v>#VALUE!</v>
      </c>
      <c r="CG142" t="e">
        <v>#VALUE!</v>
      </c>
      <c r="CH142" t="e">
        <v>#VALUE!</v>
      </c>
      <c r="CI142" t="e">
        <v>#VALUE!</v>
      </c>
      <c r="CJ142" t="e">
        <v>#VALUE!</v>
      </c>
    </row>
    <row r="143" spans="1:88">
      <c r="A143" t="s">
        <v>15</v>
      </c>
      <c r="B143" t="s">
        <v>282</v>
      </c>
      <c r="C143" t="s">
        <v>282</v>
      </c>
      <c r="D143">
        <v>4.48</v>
      </c>
      <c r="E143">
        <v>4.48287316300891</v>
      </c>
      <c r="F143">
        <v>4.49701701635104</v>
      </c>
      <c r="G143">
        <v>4.47272208343306</v>
      </c>
      <c r="H143">
        <v>4.44845227277725</v>
      </c>
      <c r="I143">
        <v>4.42686458370669</v>
      </c>
      <c r="J143">
        <v>4.4083233232174</v>
      </c>
      <c r="K143">
        <v>4.39008545293101</v>
      </c>
      <c r="L143">
        <v>4.36992277564284</v>
      </c>
      <c r="M143">
        <v>4.34868969652845</v>
      </c>
      <c r="N143">
        <v>4.32638350835704</v>
      </c>
      <c r="O143">
        <v>4.30628956514917</v>
      </c>
      <c r="P143">
        <v>4.2863816544759</v>
      </c>
      <c r="Q143">
        <v>4.26214824333705</v>
      </c>
      <c r="R143">
        <v>4.2318003200682</v>
      </c>
      <c r="S143">
        <v>4.19739464897367</v>
      </c>
      <c r="T143">
        <v>4.16128618928244</v>
      </c>
      <c r="U143">
        <v>4.12371127544428</v>
      </c>
      <c r="V143">
        <v>5</v>
      </c>
      <c r="AF143" s="99" t="s">
        <v>277</v>
      </c>
      <c r="AH143">
        <v>1</v>
      </c>
      <c r="AI143">
        <v>1.00080411535718</v>
      </c>
      <c r="AJ143">
        <v>1.0048246921431</v>
      </c>
      <c r="AK143">
        <v>0.997803577465389</v>
      </c>
      <c r="AL143">
        <v>0.990688677574286</v>
      </c>
      <c r="AM143">
        <v>0.984268014221844</v>
      </c>
      <c r="AN143">
        <v>0.978671297778821</v>
      </c>
      <c r="AO143">
        <v>0.973081900981446</v>
      </c>
      <c r="AP143">
        <v>0.966806729107691</v>
      </c>
      <c r="AQ143">
        <v>0.960095827983472</v>
      </c>
      <c r="AR143">
        <v>0.952932599200519</v>
      </c>
      <c r="AS143">
        <v>0.946375699093767</v>
      </c>
      <c r="AT143">
        <v>0.939771804217772</v>
      </c>
      <c r="AU143">
        <v>0.931597839341566</v>
      </c>
      <c r="AV143">
        <v>0.921192680609161</v>
      </c>
      <c r="AW143">
        <v>0.909209411083547</v>
      </c>
      <c r="AX143">
        <v>0.896439526043208</v>
      </c>
      <c r="AY143">
        <v>0.882948649897371</v>
      </c>
      <c r="AZ143">
        <v>0</v>
      </c>
      <c r="BA143">
        <v>0</v>
      </c>
      <c r="BB143">
        <v>0</v>
      </c>
      <c r="BC143">
        <v>0</v>
      </c>
      <c r="BD143">
        <v>0</v>
      </c>
      <c r="BE143">
        <v>0</v>
      </c>
      <c r="BF143">
        <v>0</v>
      </c>
      <c r="BG143">
        <v>0</v>
      </c>
      <c r="BI143" t="s">
        <v>287</v>
      </c>
      <c r="BK143">
        <v>0.8</v>
      </c>
      <c r="BL143">
        <v>0.797560975609756</v>
      </c>
      <c r="BM143">
        <v>0.785365853658536</v>
      </c>
      <c r="BN143">
        <v>0.773170731707317</v>
      </c>
      <c r="BO143">
        <v>0.760975609756097</v>
      </c>
      <c r="BP143">
        <v>0.748780487804878</v>
      </c>
      <c r="BQ143">
        <v>0.736585365853658</v>
      </c>
      <c r="BR143">
        <v>0.724390243902439</v>
      </c>
      <c r="BS143">
        <v>0.71219512195122</v>
      </c>
      <c r="BT143">
        <v>0.699999999999999</v>
      </c>
      <c r="BU143">
        <v>0.687499999999999</v>
      </c>
      <c r="BV143">
        <v>0.675</v>
      </c>
      <c r="BW143">
        <v>0.6625</v>
      </c>
      <c r="BX143">
        <v>0.649999999999999</v>
      </c>
      <c r="BY143">
        <v>0.637499999999999</v>
      </c>
      <c r="BZ143">
        <v>0.625</v>
      </c>
      <c r="CA143">
        <v>0.6125</v>
      </c>
      <c r="CB143">
        <v>0.6</v>
      </c>
      <c r="CC143" t="e">
        <v>#VALUE!</v>
      </c>
      <c r="CD143" t="e">
        <v>#VALUE!</v>
      </c>
      <c r="CE143" t="e">
        <v>#VALUE!</v>
      </c>
      <c r="CF143" t="e">
        <v>#VALUE!</v>
      </c>
      <c r="CG143" t="e">
        <v>#VALUE!</v>
      </c>
      <c r="CH143" t="e">
        <v>#VALUE!</v>
      </c>
      <c r="CI143" t="e">
        <v>#VALUE!</v>
      </c>
      <c r="CJ143" t="e">
        <v>#VALUE!</v>
      </c>
    </row>
    <row r="144" spans="1:88">
      <c r="A144" t="s">
        <v>15</v>
      </c>
      <c r="B144" t="s">
        <v>283</v>
      </c>
      <c r="C144" t="s">
        <v>283</v>
      </c>
      <c r="D144">
        <v>487.776</v>
      </c>
      <c r="E144">
        <v>489.674263152715</v>
      </c>
      <c r="F144">
        <v>514.718106909079</v>
      </c>
      <c r="G144">
        <v>538.647530384054</v>
      </c>
      <c r="H144">
        <v>563.612416648886</v>
      </c>
      <c r="I144">
        <v>591.570885759525</v>
      </c>
      <c r="J144">
        <v>620.107393628332</v>
      </c>
      <c r="K144">
        <v>647.066681255765</v>
      </c>
      <c r="L144">
        <v>672.685879321172</v>
      </c>
      <c r="M144">
        <v>697.649357183424</v>
      </c>
      <c r="N144">
        <v>722.608524003204</v>
      </c>
      <c r="O144">
        <v>746.658440455295</v>
      </c>
      <c r="P144">
        <v>769.568827829978</v>
      </c>
      <c r="Q144">
        <v>790.901389022283</v>
      </c>
      <c r="R144">
        <v>810.350157575089</v>
      </c>
      <c r="S144">
        <v>827.824817245277</v>
      </c>
      <c r="T144">
        <v>843.475967361271</v>
      </c>
      <c r="U144">
        <v>857.578256729381</v>
      </c>
      <c r="V144">
        <v>5</v>
      </c>
      <c r="AF144" s="99" t="s">
        <v>284</v>
      </c>
      <c r="AH144">
        <v>1</v>
      </c>
      <c r="AI144">
        <v>1.0048794637262</v>
      </c>
      <c r="AJ144">
        <v>1.07031831439365</v>
      </c>
      <c r="AK144">
        <v>1.1346759885235</v>
      </c>
      <c r="AL144">
        <v>1.20378362596473</v>
      </c>
      <c r="AM144">
        <v>1.28353290182187</v>
      </c>
      <c r="AN144">
        <v>1.36759068902572</v>
      </c>
      <c r="AO144">
        <v>1.44966836395947</v>
      </c>
      <c r="AP144">
        <v>1.53025929262689</v>
      </c>
      <c r="AQ144">
        <v>1.61138523682273</v>
      </c>
      <c r="AR144">
        <v>1.69523842185469</v>
      </c>
      <c r="AS144">
        <v>1.7788251846324</v>
      </c>
      <c r="AT144">
        <v>1.86121202368009</v>
      </c>
      <c r="AU144">
        <v>1.9405859794913</v>
      </c>
      <c r="AV144">
        <v>2.01544126480778</v>
      </c>
      <c r="AW144">
        <v>2.08497989545241</v>
      </c>
      <c r="AX144">
        <v>2.14933805167148</v>
      </c>
      <c r="AY144">
        <v>2.20923026818079</v>
      </c>
      <c r="AZ144">
        <v>0</v>
      </c>
      <c r="BA144">
        <v>0</v>
      </c>
      <c r="BB144">
        <v>0</v>
      </c>
      <c r="BC144">
        <v>0</v>
      </c>
      <c r="BD144">
        <v>0</v>
      </c>
      <c r="BE144">
        <v>0</v>
      </c>
      <c r="BF144">
        <v>0</v>
      </c>
      <c r="BG144">
        <v>0</v>
      </c>
      <c r="BI144" t="s">
        <v>287</v>
      </c>
      <c r="BK144">
        <v>0.8</v>
      </c>
      <c r="BL144">
        <v>0.797560975609756</v>
      </c>
      <c r="BM144">
        <v>0.785365853658536</v>
      </c>
      <c r="BN144">
        <v>0.773170731707317</v>
      </c>
      <c r="BO144">
        <v>0.760975609756097</v>
      </c>
      <c r="BP144">
        <v>0.748780487804878</v>
      </c>
      <c r="BQ144">
        <v>0.736585365853658</v>
      </c>
      <c r="BR144">
        <v>0.724390243902439</v>
      </c>
      <c r="BS144">
        <v>0.71219512195122</v>
      </c>
      <c r="BT144">
        <v>0.699999999999999</v>
      </c>
      <c r="BU144">
        <v>0.687499999999999</v>
      </c>
      <c r="BV144">
        <v>0.675</v>
      </c>
      <c r="BW144">
        <v>0.6625</v>
      </c>
      <c r="BX144">
        <v>0.649999999999999</v>
      </c>
      <c r="BY144">
        <v>0.637499999999999</v>
      </c>
      <c r="BZ144">
        <v>0.625</v>
      </c>
      <c r="CA144">
        <v>0.6125</v>
      </c>
      <c r="CB144">
        <v>0.6</v>
      </c>
      <c r="CC144" t="e">
        <v>#VALUE!</v>
      </c>
      <c r="CD144" t="e">
        <v>#VALUE!</v>
      </c>
      <c r="CE144" t="e">
        <v>#VALUE!</v>
      </c>
      <c r="CF144" t="e">
        <v>#VALUE!</v>
      </c>
      <c r="CG144" t="e">
        <v>#VALUE!</v>
      </c>
      <c r="CH144" t="e">
        <v>#VALUE!</v>
      </c>
      <c r="CI144" t="e">
        <v>#VALUE!</v>
      </c>
      <c r="CJ144" t="e">
        <v>#VALUE!</v>
      </c>
    </row>
    <row r="145" spans="1:88">
      <c r="A145" t="s">
        <v>15</v>
      </c>
      <c r="B145" t="s">
        <v>285</v>
      </c>
      <c r="C145" t="s">
        <v>285</v>
      </c>
      <c r="D145">
        <v>131</v>
      </c>
      <c r="E145">
        <v>131.594233060155</v>
      </c>
      <c r="F145">
        <v>138.766702178789</v>
      </c>
      <c r="G145">
        <v>144.423255530294</v>
      </c>
      <c r="H145">
        <v>150.285494414311</v>
      </c>
      <c r="I145">
        <v>156.96290333832</v>
      </c>
      <c r="J145">
        <v>163.834093110719</v>
      </c>
      <c r="K145">
        <v>170.23832702311</v>
      </c>
      <c r="L145">
        <v>176.153210892228</v>
      </c>
      <c r="M145">
        <v>181.788994880671</v>
      </c>
      <c r="N145">
        <v>187.311701421777</v>
      </c>
      <c r="O145">
        <v>192.632957822927</v>
      </c>
      <c r="P145">
        <v>197.61190199501</v>
      </c>
      <c r="Q145">
        <v>201.924872689356</v>
      </c>
      <c r="R145">
        <v>205.397101099748</v>
      </c>
      <c r="S145">
        <v>208.09880124182</v>
      </c>
      <c r="T145">
        <v>210.187744048612</v>
      </c>
      <c r="U145">
        <v>211.751120561826</v>
      </c>
      <c r="V145">
        <v>5</v>
      </c>
      <c r="AF145" s="99" t="s">
        <v>272</v>
      </c>
      <c r="AH145">
        <v>1</v>
      </c>
      <c r="AI145">
        <v>1.0056875027351</v>
      </c>
      <c r="AJ145">
        <v>1.07548227075571</v>
      </c>
      <c r="AK145">
        <v>1.13218376061282</v>
      </c>
      <c r="AL145">
        <v>1.19257480849257</v>
      </c>
      <c r="AM145">
        <v>1.26334038046461</v>
      </c>
      <c r="AN145">
        <v>1.33842175445903</v>
      </c>
      <c r="AO145">
        <v>1.41064604739435</v>
      </c>
      <c r="AP145">
        <v>1.47946498139125</v>
      </c>
      <c r="AQ145">
        <v>1.54708424314766</v>
      </c>
      <c r="AR145">
        <v>1.61544795560257</v>
      </c>
      <c r="AS145">
        <v>1.68343692767209</v>
      </c>
      <c r="AT145">
        <v>1.74911458152565</v>
      </c>
      <c r="AU145">
        <v>1.80784570555063</v>
      </c>
      <c r="AV145">
        <v>1.85660974133859</v>
      </c>
      <c r="AW145">
        <v>1.89568334286532</v>
      </c>
      <c r="AX145">
        <v>1.92675158434702</v>
      </c>
      <c r="AY145">
        <v>1.95063688260264</v>
      </c>
      <c r="AZ145">
        <v>0</v>
      </c>
      <c r="BA145">
        <v>0</v>
      </c>
      <c r="BB145">
        <v>0</v>
      </c>
      <c r="BC145">
        <v>0</v>
      </c>
      <c r="BD145">
        <v>0</v>
      </c>
      <c r="BE145">
        <v>0</v>
      </c>
      <c r="BF145">
        <v>0</v>
      </c>
      <c r="BG145">
        <v>0</v>
      </c>
      <c r="BI145" t="s">
        <v>287</v>
      </c>
      <c r="BK145">
        <v>0.8</v>
      </c>
      <c r="BL145">
        <v>0.797560975609756</v>
      </c>
      <c r="BM145">
        <v>0.785365853658536</v>
      </c>
      <c r="BN145">
        <v>0.773170731707317</v>
      </c>
      <c r="BO145">
        <v>0.760975609756097</v>
      </c>
      <c r="BP145">
        <v>0.748780487804878</v>
      </c>
      <c r="BQ145">
        <v>0.736585365853658</v>
      </c>
      <c r="BR145">
        <v>0.724390243902439</v>
      </c>
      <c r="BS145">
        <v>0.71219512195122</v>
      </c>
      <c r="BT145">
        <v>0.699999999999999</v>
      </c>
      <c r="BU145">
        <v>0.687499999999999</v>
      </c>
      <c r="BV145">
        <v>0.675</v>
      </c>
      <c r="BW145">
        <v>0.6625</v>
      </c>
      <c r="BX145">
        <v>0.649999999999999</v>
      </c>
      <c r="BY145">
        <v>0.637499999999999</v>
      </c>
      <c r="BZ145">
        <v>0.625</v>
      </c>
      <c r="CA145">
        <v>0.6125</v>
      </c>
      <c r="CB145">
        <v>0.6</v>
      </c>
      <c r="CC145" t="e">
        <v>#VALUE!</v>
      </c>
      <c r="CD145" t="e">
        <v>#VALUE!</v>
      </c>
      <c r="CE145" t="e">
        <v>#VALUE!</v>
      </c>
      <c r="CF145" t="e">
        <v>#VALUE!</v>
      </c>
      <c r="CG145" t="e">
        <v>#VALUE!</v>
      </c>
      <c r="CH145" t="e">
        <v>#VALUE!</v>
      </c>
      <c r="CI145" t="e">
        <v>#VALUE!</v>
      </c>
      <c r="CJ145" t="e">
        <v>#VALUE!</v>
      </c>
    </row>
    <row r="146" spans="1:88">
      <c r="A146" t="s">
        <v>15</v>
      </c>
      <c r="B146" t="s">
        <v>286</v>
      </c>
      <c r="C146" t="s">
        <v>286</v>
      </c>
      <c r="D146">
        <v>76.28</v>
      </c>
      <c r="E146">
        <v>76.6260160139589</v>
      </c>
      <c r="F146">
        <v>80.8024736045653</v>
      </c>
      <c r="G146">
        <v>84.096228487411</v>
      </c>
      <c r="H146">
        <v>87.5097520146844</v>
      </c>
      <c r="I146">
        <v>91.3979409667712</v>
      </c>
      <c r="J146">
        <v>95.3989665838597</v>
      </c>
      <c r="K146">
        <v>99.1280884375789</v>
      </c>
      <c r="L146">
        <v>102.572266617245</v>
      </c>
      <c r="M146">
        <v>105.853927706089</v>
      </c>
      <c r="N146">
        <v>109.06974491949</v>
      </c>
      <c r="O146">
        <v>112.168259715518</v>
      </c>
      <c r="P146">
        <v>115.067449497552</v>
      </c>
      <c r="Q146">
        <v>117.578849532397</v>
      </c>
      <c r="R146">
        <v>119.60069367854</v>
      </c>
      <c r="S146">
        <v>121.173866860504</v>
      </c>
      <c r="T146">
        <v>122.390237526932</v>
      </c>
      <c r="U146">
        <v>123.300576156153</v>
      </c>
      <c r="V146">
        <v>5</v>
      </c>
      <c r="AF146" s="99" t="s">
        <v>272</v>
      </c>
      <c r="AH146">
        <v>1</v>
      </c>
      <c r="AI146">
        <v>1.0056875027351</v>
      </c>
      <c r="AJ146">
        <v>1.07548227075571</v>
      </c>
      <c r="AK146">
        <v>1.13218376061282</v>
      </c>
      <c r="AL146">
        <v>1.19257480849257</v>
      </c>
      <c r="AM146">
        <v>1.26334038046461</v>
      </c>
      <c r="AN146">
        <v>1.33842175445903</v>
      </c>
      <c r="AO146">
        <v>1.41064604739435</v>
      </c>
      <c r="AP146">
        <v>1.47946498139125</v>
      </c>
      <c r="AQ146">
        <v>1.54708424314766</v>
      </c>
      <c r="AR146">
        <v>1.61544795560257</v>
      </c>
      <c r="AS146">
        <v>1.68343692767209</v>
      </c>
      <c r="AT146">
        <v>1.74911458152565</v>
      </c>
      <c r="AU146">
        <v>1.80784570555063</v>
      </c>
      <c r="AV146">
        <v>1.85660974133859</v>
      </c>
      <c r="AW146">
        <v>1.89568334286532</v>
      </c>
      <c r="AX146">
        <v>1.92675158434702</v>
      </c>
      <c r="AY146">
        <v>1.95063688260264</v>
      </c>
      <c r="AZ146">
        <v>0</v>
      </c>
      <c r="BA146">
        <v>0</v>
      </c>
      <c r="BB146">
        <v>0</v>
      </c>
      <c r="BC146">
        <v>0</v>
      </c>
      <c r="BD146">
        <v>0</v>
      </c>
      <c r="BE146">
        <v>0</v>
      </c>
      <c r="BF146">
        <v>0</v>
      </c>
      <c r="BG146">
        <v>0</v>
      </c>
      <c r="BI146" t="s">
        <v>287</v>
      </c>
      <c r="BK146">
        <v>0.8</v>
      </c>
      <c r="BL146">
        <v>0.797560975609756</v>
      </c>
      <c r="BM146">
        <v>0.785365853658536</v>
      </c>
      <c r="BN146">
        <v>0.773170731707317</v>
      </c>
      <c r="BO146">
        <v>0.760975609756097</v>
      </c>
      <c r="BP146">
        <v>0.748780487804878</v>
      </c>
      <c r="BQ146">
        <v>0.736585365853658</v>
      </c>
      <c r="BR146">
        <v>0.724390243902439</v>
      </c>
      <c r="BS146">
        <v>0.71219512195122</v>
      </c>
      <c r="BT146">
        <v>0.699999999999999</v>
      </c>
      <c r="BU146">
        <v>0.687499999999999</v>
      </c>
      <c r="BV146">
        <v>0.675</v>
      </c>
      <c r="BW146">
        <v>0.6625</v>
      </c>
      <c r="BX146">
        <v>0.649999999999999</v>
      </c>
      <c r="BY146">
        <v>0.637499999999999</v>
      </c>
      <c r="BZ146">
        <v>0.625</v>
      </c>
      <c r="CA146">
        <v>0.6125</v>
      </c>
      <c r="CB146">
        <v>0.6</v>
      </c>
      <c r="CC146" t="e">
        <v>#VALUE!</v>
      </c>
      <c r="CD146" t="e">
        <v>#VALUE!</v>
      </c>
      <c r="CE146" t="e">
        <v>#VALUE!</v>
      </c>
      <c r="CF146" t="e">
        <v>#VALUE!</v>
      </c>
      <c r="CG146" t="e">
        <v>#VALUE!</v>
      </c>
      <c r="CH146" t="e">
        <v>#VALUE!</v>
      </c>
      <c r="CI146" t="e">
        <v>#VALUE!</v>
      </c>
      <c r="CJ146" t="e">
        <v>#VALUE!</v>
      </c>
    </row>
    <row r="147" spans="1:88">
      <c r="A147" t="s">
        <v>16</v>
      </c>
      <c r="B147" t="s">
        <v>271</v>
      </c>
      <c r="C147" t="s">
        <v>271</v>
      </c>
      <c r="D147">
        <v>9.4633277436</v>
      </c>
      <c r="E147">
        <v>9.41801071539259</v>
      </c>
      <c r="F147">
        <v>11.0958863979979</v>
      </c>
      <c r="G147">
        <v>12.0560551479605</v>
      </c>
      <c r="H147">
        <v>12.8442926748312</v>
      </c>
      <c r="I147">
        <v>13.6741602924843</v>
      </c>
      <c r="J147">
        <v>14.4669058495427</v>
      </c>
      <c r="K147">
        <v>15.2101328672076</v>
      </c>
      <c r="L147">
        <v>15.9271360077282</v>
      </c>
      <c r="M147">
        <v>16.6111762113497</v>
      </c>
      <c r="N147">
        <v>17.2420380651691</v>
      </c>
      <c r="O147">
        <v>17.784386557134</v>
      </c>
      <c r="P147">
        <v>18.24285539945</v>
      </c>
      <c r="Q147">
        <v>18.6336277464662</v>
      </c>
      <c r="R147">
        <v>18.9797735846677</v>
      </c>
      <c r="S147">
        <v>19.292214866749</v>
      </c>
      <c r="T147">
        <v>19.5661348568671</v>
      </c>
      <c r="U147">
        <v>19.7845753490572</v>
      </c>
      <c r="V147">
        <v>5</v>
      </c>
      <c r="AF147" s="99" t="s">
        <v>272</v>
      </c>
      <c r="AH147">
        <v>1</v>
      </c>
      <c r="AI147">
        <v>0.993995820811782</v>
      </c>
      <c r="AJ147">
        <v>1.21947847748895</v>
      </c>
      <c r="AK147">
        <v>1.35596328130499</v>
      </c>
      <c r="AL147">
        <v>1.47246412572297</v>
      </c>
      <c r="AM147">
        <v>1.59951826814933</v>
      </c>
      <c r="AN147">
        <v>1.72541059727865</v>
      </c>
      <c r="AO147">
        <v>1.84777798871814</v>
      </c>
      <c r="AP147">
        <v>1.9700814772151</v>
      </c>
      <c r="AQ147">
        <v>2.09095469583227</v>
      </c>
      <c r="AR147">
        <v>2.20646103063693</v>
      </c>
      <c r="AS147">
        <v>2.30928214966673</v>
      </c>
      <c r="AT147">
        <v>2.39914124721075</v>
      </c>
      <c r="AU147">
        <v>2.47820427978879</v>
      </c>
      <c r="AV147">
        <v>2.55041781606331</v>
      </c>
      <c r="AW147">
        <v>2.61759297460683</v>
      </c>
      <c r="AX147">
        <v>2.67827186919254</v>
      </c>
      <c r="AY147">
        <v>2.72810653076512</v>
      </c>
      <c r="AZ147">
        <v>0</v>
      </c>
      <c r="BA147">
        <v>0</v>
      </c>
      <c r="BB147">
        <v>0</v>
      </c>
      <c r="BC147">
        <v>0</v>
      </c>
      <c r="BD147">
        <v>0</v>
      </c>
      <c r="BE147">
        <v>0</v>
      </c>
      <c r="BF147">
        <v>0</v>
      </c>
      <c r="BG147">
        <v>0</v>
      </c>
      <c r="BI147" t="s">
        <v>287</v>
      </c>
      <c r="BK147">
        <v>0.8</v>
      </c>
      <c r="BL147">
        <v>0.797560975609756</v>
      </c>
      <c r="BM147">
        <v>0.785365853658536</v>
      </c>
      <c r="BN147">
        <v>0.773170731707317</v>
      </c>
      <c r="BO147">
        <v>0.760975609756097</v>
      </c>
      <c r="BP147">
        <v>0.748780487804878</v>
      </c>
      <c r="BQ147">
        <v>0.736585365853658</v>
      </c>
      <c r="BR147">
        <v>0.724390243902439</v>
      </c>
      <c r="BS147">
        <v>0.71219512195122</v>
      </c>
      <c r="BT147">
        <v>0.699999999999999</v>
      </c>
      <c r="BU147">
        <v>0.687499999999999</v>
      </c>
      <c r="BV147">
        <v>0.675</v>
      </c>
      <c r="BW147">
        <v>0.6625</v>
      </c>
      <c r="BX147">
        <v>0.649999999999999</v>
      </c>
      <c r="BY147">
        <v>0.637499999999999</v>
      </c>
      <c r="BZ147">
        <v>0.625</v>
      </c>
      <c r="CA147">
        <v>0.6125</v>
      </c>
      <c r="CB147">
        <v>0.6</v>
      </c>
      <c r="CC147" t="e">
        <v>#VALUE!</v>
      </c>
      <c r="CD147" t="e">
        <v>#VALUE!</v>
      </c>
      <c r="CE147" t="e">
        <v>#VALUE!</v>
      </c>
      <c r="CF147" t="e">
        <v>#VALUE!</v>
      </c>
      <c r="CG147" t="e">
        <v>#VALUE!</v>
      </c>
      <c r="CH147" t="e">
        <v>#VALUE!</v>
      </c>
      <c r="CI147" t="e">
        <v>#VALUE!</v>
      </c>
      <c r="CJ147" t="e">
        <v>#VALUE!</v>
      </c>
    </row>
    <row r="148" spans="1:88">
      <c r="A148" t="s">
        <v>16</v>
      </c>
      <c r="B148" t="s">
        <v>274</v>
      </c>
      <c r="C148" t="s">
        <v>274</v>
      </c>
      <c r="D148">
        <v>60.3557197488</v>
      </c>
      <c r="E148">
        <v>60.0666943733252</v>
      </c>
      <c r="F148">
        <v>70.7679399833742</v>
      </c>
      <c r="G148">
        <v>76.8917557862757</v>
      </c>
      <c r="H148">
        <v>81.9190194039256</v>
      </c>
      <c r="I148">
        <v>87.211793649597</v>
      </c>
      <c r="J148">
        <v>92.2678088242045</v>
      </c>
      <c r="K148">
        <v>97.0080019997241</v>
      </c>
      <c r="L148">
        <v>101.580943123689</v>
      </c>
      <c r="M148">
        <v>105.943651458991</v>
      </c>
      <c r="N148">
        <v>109.967196059893</v>
      </c>
      <c r="O148">
        <v>113.426215389468</v>
      </c>
      <c r="P148">
        <v>116.350262586195</v>
      </c>
      <c r="Q148">
        <v>118.84255144072</v>
      </c>
      <c r="R148">
        <v>121.050218951426</v>
      </c>
      <c r="S148">
        <v>123.042923734583</v>
      </c>
      <c r="T148">
        <v>124.789945353732</v>
      </c>
      <c r="U148">
        <v>126.183126852421</v>
      </c>
      <c r="V148">
        <v>5</v>
      </c>
      <c r="AF148" s="99" t="s">
        <v>272</v>
      </c>
      <c r="AH148">
        <v>1</v>
      </c>
      <c r="AI148">
        <v>0.993995820811782</v>
      </c>
      <c r="AJ148">
        <v>1.21947847748895</v>
      </c>
      <c r="AK148">
        <v>1.35596328130499</v>
      </c>
      <c r="AL148">
        <v>1.47246412572297</v>
      </c>
      <c r="AM148">
        <v>1.59951826814933</v>
      </c>
      <c r="AN148">
        <v>1.72541059727865</v>
      </c>
      <c r="AO148">
        <v>1.84777798871814</v>
      </c>
      <c r="AP148">
        <v>1.9700814772151</v>
      </c>
      <c r="AQ148">
        <v>2.09095469583227</v>
      </c>
      <c r="AR148">
        <v>2.20646103063693</v>
      </c>
      <c r="AS148">
        <v>2.30928214966673</v>
      </c>
      <c r="AT148">
        <v>2.39914124721075</v>
      </c>
      <c r="AU148">
        <v>2.47820427978879</v>
      </c>
      <c r="AV148">
        <v>2.55041781606331</v>
      </c>
      <c r="AW148">
        <v>2.61759297460683</v>
      </c>
      <c r="AX148">
        <v>2.67827186919254</v>
      </c>
      <c r="AY148">
        <v>2.72810653076512</v>
      </c>
      <c r="AZ148">
        <v>0</v>
      </c>
      <c r="BA148">
        <v>0</v>
      </c>
      <c r="BB148">
        <v>0</v>
      </c>
      <c r="BC148">
        <v>0</v>
      </c>
      <c r="BD148">
        <v>0</v>
      </c>
      <c r="BE148">
        <v>0</v>
      </c>
      <c r="BF148">
        <v>0</v>
      </c>
      <c r="BG148">
        <v>0</v>
      </c>
      <c r="BI148" t="s">
        <v>287</v>
      </c>
      <c r="BK148">
        <v>0.8</v>
      </c>
      <c r="BL148">
        <v>0.797560975609756</v>
      </c>
      <c r="BM148">
        <v>0.785365853658536</v>
      </c>
      <c r="BN148">
        <v>0.773170731707317</v>
      </c>
      <c r="BO148">
        <v>0.760975609756097</v>
      </c>
      <c r="BP148">
        <v>0.748780487804878</v>
      </c>
      <c r="BQ148">
        <v>0.736585365853658</v>
      </c>
      <c r="BR148">
        <v>0.724390243902439</v>
      </c>
      <c r="BS148">
        <v>0.71219512195122</v>
      </c>
      <c r="BT148">
        <v>0.699999999999999</v>
      </c>
      <c r="BU148">
        <v>0.687499999999999</v>
      </c>
      <c r="BV148">
        <v>0.675</v>
      </c>
      <c r="BW148">
        <v>0.6625</v>
      </c>
      <c r="BX148">
        <v>0.649999999999999</v>
      </c>
      <c r="BY148">
        <v>0.637499999999999</v>
      </c>
      <c r="BZ148">
        <v>0.625</v>
      </c>
      <c r="CA148">
        <v>0.6125</v>
      </c>
      <c r="CB148">
        <v>0.6</v>
      </c>
      <c r="CC148" t="e">
        <v>#VALUE!</v>
      </c>
      <c r="CD148" t="e">
        <v>#VALUE!</v>
      </c>
      <c r="CE148" t="e">
        <v>#VALUE!</v>
      </c>
      <c r="CF148" t="e">
        <v>#VALUE!</v>
      </c>
      <c r="CG148" t="e">
        <v>#VALUE!</v>
      </c>
      <c r="CH148" t="e">
        <v>#VALUE!</v>
      </c>
      <c r="CI148" t="e">
        <v>#VALUE!</v>
      </c>
      <c r="CJ148" t="e">
        <v>#VALUE!</v>
      </c>
    </row>
    <row r="149" spans="1:88">
      <c r="A149" t="s">
        <v>16</v>
      </c>
      <c r="B149" t="s">
        <v>275</v>
      </c>
      <c r="C149" t="s">
        <v>275</v>
      </c>
      <c r="D149">
        <v>0.40984459596</v>
      </c>
      <c r="E149">
        <v>0.407881973548625</v>
      </c>
      <c r="F149">
        <v>0.480548618923299</v>
      </c>
      <c r="G149">
        <v>0.522132296889852</v>
      </c>
      <c r="H149">
        <v>0.556269853938886</v>
      </c>
      <c r="I149">
        <v>0.592210356864755</v>
      </c>
      <c r="J149">
        <v>0.626543150923529</v>
      </c>
      <c r="K149">
        <v>0.658731360506297</v>
      </c>
      <c r="L149">
        <v>0.689783847579614</v>
      </c>
      <c r="M149">
        <v>0.719408752102579</v>
      </c>
      <c r="N149">
        <v>0.746730570451313</v>
      </c>
      <c r="O149">
        <v>0.77021898854073</v>
      </c>
      <c r="P149">
        <v>0.790074686507687</v>
      </c>
      <c r="Q149">
        <v>0.806998536026007</v>
      </c>
      <c r="R149">
        <v>0.821989668642847</v>
      </c>
      <c r="S149">
        <v>0.835521100131357</v>
      </c>
      <c r="T149">
        <v>0.847384223835513</v>
      </c>
      <c r="U149">
        <v>0.856844601589363</v>
      </c>
      <c r="V149">
        <v>5</v>
      </c>
      <c r="AF149" s="99" t="s">
        <v>272</v>
      </c>
      <c r="AH149">
        <v>1</v>
      </c>
      <c r="AI149">
        <v>0.993995820811782</v>
      </c>
      <c r="AJ149">
        <v>1.21947847748895</v>
      </c>
      <c r="AK149">
        <v>1.35596328130499</v>
      </c>
      <c r="AL149">
        <v>1.47246412572297</v>
      </c>
      <c r="AM149">
        <v>1.59951826814933</v>
      </c>
      <c r="AN149">
        <v>1.72541059727865</v>
      </c>
      <c r="AO149">
        <v>1.84777798871814</v>
      </c>
      <c r="AP149">
        <v>1.9700814772151</v>
      </c>
      <c r="AQ149">
        <v>2.09095469583227</v>
      </c>
      <c r="AR149">
        <v>2.20646103063693</v>
      </c>
      <c r="AS149">
        <v>2.30928214966673</v>
      </c>
      <c r="AT149">
        <v>2.39914124721075</v>
      </c>
      <c r="AU149">
        <v>2.47820427978879</v>
      </c>
      <c r="AV149">
        <v>2.55041781606331</v>
      </c>
      <c r="AW149">
        <v>2.61759297460683</v>
      </c>
      <c r="AX149">
        <v>2.67827186919254</v>
      </c>
      <c r="AY149">
        <v>2.72810653076512</v>
      </c>
      <c r="AZ149">
        <v>0</v>
      </c>
      <c r="BA149">
        <v>0</v>
      </c>
      <c r="BB149">
        <v>0</v>
      </c>
      <c r="BC149">
        <v>0</v>
      </c>
      <c r="BD149">
        <v>0</v>
      </c>
      <c r="BE149">
        <v>0</v>
      </c>
      <c r="BF149">
        <v>0</v>
      </c>
      <c r="BG149">
        <v>0</v>
      </c>
      <c r="BI149" t="s">
        <v>287</v>
      </c>
      <c r="BK149">
        <v>0.8</v>
      </c>
      <c r="BL149">
        <v>0.797560975609756</v>
      </c>
      <c r="BM149">
        <v>0.785365853658536</v>
      </c>
      <c r="BN149">
        <v>0.773170731707317</v>
      </c>
      <c r="BO149">
        <v>0.760975609756097</v>
      </c>
      <c r="BP149">
        <v>0.748780487804878</v>
      </c>
      <c r="BQ149">
        <v>0.736585365853658</v>
      </c>
      <c r="BR149">
        <v>0.724390243902439</v>
      </c>
      <c r="BS149">
        <v>0.71219512195122</v>
      </c>
      <c r="BT149">
        <v>0.699999999999999</v>
      </c>
      <c r="BU149">
        <v>0.687499999999999</v>
      </c>
      <c r="BV149">
        <v>0.675</v>
      </c>
      <c r="BW149">
        <v>0.6625</v>
      </c>
      <c r="BX149">
        <v>0.649999999999999</v>
      </c>
      <c r="BY149">
        <v>0.637499999999999</v>
      </c>
      <c r="BZ149">
        <v>0.625</v>
      </c>
      <c r="CA149">
        <v>0.6125</v>
      </c>
      <c r="CB149">
        <v>0.6</v>
      </c>
      <c r="CC149" t="e">
        <v>#VALUE!</v>
      </c>
      <c r="CD149" t="e">
        <v>#VALUE!</v>
      </c>
      <c r="CE149" t="e">
        <v>#VALUE!</v>
      </c>
      <c r="CF149" t="e">
        <v>#VALUE!</v>
      </c>
      <c r="CG149" t="e">
        <v>#VALUE!</v>
      </c>
      <c r="CH149" t="e">
        <v>#VALUE!</v>
      </c>
      <c r="CI149" t="e">
        <v>#VALUE!</v>
      </c>
      <c r="CJ149" t="e">
        <v>#VALUE!</v>
      </c>
    </row>
    <row r="150" spans="1:88">
      <c r="A150" t="s">
        <v>16</v>
      </c>
      <c r="B150" t="s">
        <v>276</v>
      </c>
      <c r="C150" t="s">
        <v>276</v>
      </c>
      <c r="D150">
        <v>0.70057431324</v>
      </c>
      <c r="E150">
        <v>0.699362690149308</v>
      </c>
      <c r="F150">
        <v>0.693394582018067</v>
      </c>
      <c r="G150">
        <v>0.687591491714978</v>
      </c>
      <c r="H150">
        <v>0.682703126816235</v>
      </c>
      <c r="I150">
        <v>0.678924584296357</v>
      </c>
      <c r="J150">
        <v>0.675842383545454</v>
      </c>
      <c r="K150">
        <v>0.673124624068275</v>
      </c>
      <c r="L150">
        <v>0.669342897679451</v>
      </c>
      <c r="M150">
        <v>0.664567897615735</v>
      </c>
      <c r="N150">
        <v>0.658701086057406</v>
      </c>
      <c r="O150">
        <v>0.652275284973299</v>
      </c>
      <c r="P150">
        <v>0.645697092860275</v>
      </c>
      <c r="Q150">
        <v>0.639297540179009</v>
      </c>
      <c r="R150">
        <v>0.633126643455669</v>
      </c>
      <c r="S150">
        <v>0.626961705912242</v>
      </c>
      <c r="T150">
        <v>0.620393160048925</v>
      </c>
      <c r="U150">
        <v>0.613005347160796</v>
      </c>
      <c r="V150">
        <v>5</v>
      </c>
      <c r="AF150" s="99" t="s">
        <v>277</v>
      </c>
      <c r="AH150">
        <v>1</v>
      </c>
      <c r="AI150">
        <v>0.997831549885011</v>
      </c>
      <c r="AJ150">
        <v>0.986989299310067</v>
      </c>
      <c r="AK150">
        <v>0.976305741027938</v>
      </c>
      <c r="AL150">
        <v>0.967184619783603</v>
      </c>
      <c r="AM150">
        <v>0.960035587064387</v>
      </c>
      <c r="AN150">
        <v>0.954118558952653</v>
      </c>
      <c r="AO150">
        <v>0.94882198127353</v>
      </c>
      <c r="AP150">
        <v>0.941337178369357</v>
      </c>
      <c r="AQ150">
        <v>0.931743792928468</v>
      </c>
      <c r="AR150">
        <v>0.919779512436951</v>
      </c>
      <c r="AS150">
        <v>0.906486639396784</v>
      </c>
      <c r="AT150">
        <v>0.892687526928125</v>
      </c>
      <c r="AU150">
        <v>0.879075998408366</v>
      </c>
      <c r="AV150">
        <v>0.865765587031513</v>
      </c>
      <c r="AW150">
        <v>0.852277250499876</v>
      </c>
      <c r="AX150">
        <v>0.837699080032056</v>
      </c>
      <c r="AY150">
        <v>0.821073160485202</v>
      </c>
      <c r="AZ150">
        <v>0</v>
      </c>
      <c r="BA150">
        <v>0</v>
      </c>
      <c r="BB150">
        <v>0</v>
      </c>
      <c r="BC150">
        <v>0</v>
      </c>
      <c r="BD150">
        <v>0</v>
      </c>
      <c r="BE150">
        <v>0</v>
      </c>
      <c r="BF150">
        <v>0</v>
      </c>
      <c r="BG150">
        <v>0</v>
      </c>
      <c r="BI150" t="s">
        <v>287</v>
      </c>
      <c r="BK150">
        <v>0.8</v>
      </c>
      <c r="BL150">
        <v>0.797560975609756</v>
      </c>
      <c r="BM150">
        <v>0.785365853658536</v>
      </c>
      <c r="BN150">
        <v>0.773170731707317</v>
      </c>
      <c r="BO150">
        <v>0.760975609756097</v>
      </c>
      <c r="BP150">
        <v>0.748780487804878</v>
      </c>
      <c r="BQ150">
        <v>0.736585365853658</v>
      </c>
      <c r="BR150">
        <v>0.724390243902439</v>
      </c>
      <c r="BS150">
        <v>0.71219512195122</v>
      </c>
      <c r="BT150">
        <v>0.699999999999999</v>
      </c>
      <c r="BU150">
        <v>0.687499999999999</v>
      </c>
      <c r="BV150">
        <v>0.675</v>
      </c>
      <c r="BW150">
        <v>0.6625</v>
      </c>
      <c r="BX150">
        <v>0.649999999999999</v>
      </c>
      <c r="BY150">
        <v>0.637499999999999</v>
      </c>
      <c r="BZ150">
        <v>0.625</v>
      </c>
      <c r="CA150">
        <v>0.6125</v>
      </c>
      <c r="CB150">
        <v>0.6</v>
      </c>
      <c r="CC150" t="e">
        <v>#VALUE!</v>
      </c>
      <c r="CD150" t="e">
        <v>#VALUE!</v>
      </c>
      <c r="CE150" t="e">
        <v>#VALUE!</v>
      </c>
      <c r="CF150" t="e">
        <v>#VALUE!</v>
      </c>
      <c r="CG150" t="e">
        <v>#VALUE!</v>
      </c>
      <c r="CH150" t="e">
        <v>#VALUE!</v>
      </c>
      <c r="CI150" t="e">
        <v>#VALUE!</v>
      </c>
      <c r="CJ150" t="e">
        <v>#VALUE!</v>
      </c>
    </row>
    <row r="151" spans="1:88">
      <c r="A151" t="s">
        <v>16</v>
      </c>
      <c r="B151" t="s">
        <v>278</v>
      </c>
      <c r="C151" t="s">
        <v>278</v>
      </c>
      <c r="D151">
        <v>26.8634424564</v>
      </c>
      <c r="E151">
        <v>26.7348015160745</v>
      </c>
      <c r="F151">
        <v>31.4977684205173</v>
      </c>
      <c r="G151">
        <v>34.2233886951078</v>
      </c>
      <c r="H151">
        <v>36.4609497327024</v>
      </c>
      <c r="I151">
        <v>38.8166856426554</v>
      </c>
      <c r="J151">
        <v>41.0670435750443</v>
      </c>
      <c r="K151">
        <v>43.1768337843695</v>
      </c>
      <c r="L151">
        <v>45.2121825674082</v>
      </c>
      <c r="M151">
        <v>47.1539598307265</v>
      </c>
      <c r="N151">
        <v>48.9447803081717</v>
      </c>
      <c r="O151">
        <v>50.4843388968581</v>
      </c>
      <c r="P151">
        <v>51.7857892637163</v>
      </c>
      <c r="Q151">
        <v>52.8950703477117</v>
      </c>
      <c r="R151">
        <v>53.8776706610462</v>
      </c>
      <c r="S151">
        <v>54.7645942284849</v>
      </c>
      <c r="T151">
        <v>55.5421678359477</v>
      </c>
      <c r="U151">
        <v>56.1622524141305</v>
      </c>
      <c r="V151">
        <v>5</v>
      </c>
      <c r="AF151" s="99" t="s">
        <v>272</v>
      </c>
      <c r="AH151">
        <v>1</v>
      </c>
      <c r="AI151">
        <v>0.993995820811782</v>
      </c>
      <c r="AJ151">
        <v>1.21947847748895</v>
      </c>
      <c r="AK151">
        <v>1.35596328130499</v>
      </c>
      <c r="AL151">
        <v>1.47246412572297</v>
      </c>
      <c r="AM151">
        <v>1.59951826814933</v>
      </c>
      <c r="AN151">
        <v>1.72541059727865</v>
      </c>
      <c r="AO151">
        <v>1.84777798871814</v>
      </c>
      <c r="AP151">
        <v>1.9700814772151</v>
      </c>
      <c r="AQ151">
        <v>2.09095469583227</v>
      </c>
      <c r="AR151">
        <v>2.20646103063693</v>
      </c>
      <c r="AS151">
        <v>2.30928214966673</v>
      </c>
      <c r="AT151">
        <v>2.39914124721075</v>
      </c>
      <c r="AU151">
        <v>2.47820427978879</v>
      </c>
      <c r="AV151">
        <v>2.55041781606331</v>
      </c>
      <c r="AW151">
        <v>2.61759297460683</v>
      </c>
      <c r="AX151">
        <v>2.67827186919254</v>
      </c>
      <c r="AY151">
        <v>2.72810653076512</v>
      </c>
      <c r="AZ151">
        <v>0</v>
      </c>
      <c r="BA151">
        <v>0</v>
      </c>
      <c r="BB151">
        <v>0</v>
      </c>
      <c r="BC151">
        <v>0</v>
      </c>
      <c r="BD151">
        <v>0</v>
      </c>
      <c r="BE151">
        <v>0</v>
      </c>
      <c r="BF151">
        <v>0</v>
      </c>
      <c r="BG151">
        <v>0</v>
      </c>
      <c r="BI151" t="s">
        <v>287</v>
      </c>
      <c r="BK151">
        <v>0.8</v>
      </c>
      <c r="BL151">
        <v>0.797560975609756</v>
      </c>
      <c r="BM151">
        <v>0.785365853658536</v>
      </c>
      <c r="BN151">
        <v>0.773170731707317</v>
      </c>
      <c r="BO151">
        <v>0.760975609756097</v>
      </c>
      <c r="BP151">
        <v>0.748780487804878</v>
      </c>
      <c r="BQ151">
        <v>0.736585365853658</v>
      </c>
      <c r="BR151">
        <v>0.724390243902439</v>
      </c>
      <c r="BS151">
        <v>0.71219512195122</v>
      </c>
      <c r="BT151">
        <v>0.699999999999999</v>
      </c>
      <c r="BU151">
        <v>0.687499999999999</v>
      </c>
      <c r="BV151">
        <v>0.675</v>
      </c>
      <c r="BW151">
        <v>0.6625</v>
      </c>
      <c r="BX151">
        <v>0.649999999999999</v>
      </c>
      <c r="BY151">
        <v>0.637499999999999</v>
      </c>
      <c r="BZ151">
        <v>0.625</v>
      </c>
      <c r="CA151">
        <v>0.6125</v>
      </c>
      <c r="CB151">
        <v>0.6</v>
      </c>
      <c r="CC151" t="e">
        <v>#VALUE!</v>
      </c>
      <c r="CD151" t="e">
        <v>#VALUE!</v>
      </c>
      <c r="CE151" t="e">
        <v>#VALUE!</v>
      </c>
      <c r="CF151" t="e">
        <v>#VALUE!</v>
      </c>
      <c r="CG151" t="e">
        <v>#VALUE!</v>
      </c>
      <c r="CH151" t="e">
        <v>#VALUE!</v>
      </c>
      <c r="CI151" t="e">
        <v>#VALUE!</v>
      </c>
      <c r="CJ151" t="e">
        <v>#VALUE!</v>
      </c>
    </row>
    <row r="152" spans="1:88">
      <c r="A152" t="s">
        <v>16</v>
      </c>
      <c r="B152" t="s">
        <v>279</v>
      </c>
      <c r="C152" t="s">
        <v>279</v>
      </c>
      <c r="D152">
        <v>117.0844439652</v>
      </c>
      <c r="E152">
        <v>116.52376180417</v>
      </c>
      <c r="F152">
        <v>137.283176109929</v>
      </c>
      <c r="G152">
        <v>149.162805268726</v>
      </c>
      <c r="H152">
        <v>158.91522588087</v>
      </c>
      <c r="I152">
        <v>169.182712246155</v>
      </c>
      <c r="J152">
        <v>178.990908186198</v>
      </c>
      <c r="K152">
        <v>188.18643902492</v>
      </c>
      <c r="L152">
        <v>197.057516546876</v>
      </c>
      <c r="M152">
        <v>205.520762147245</v>
      </c>
      <c r="N152">
        <v>213.326061865756</v>
      </c>
      <c r="O152">
        <v>220.036235426004</v>
      </c>
      <c r="P152">
        <v>225.708613148972</v>
      </c>
      <c r="Q152">
        <v>230.543420122483</v>
      </c>
      <c r="R152">
        <v>234.826088343933</v>
      </c>
      <c r="S152">
        <v>238.691749005322</v>
      </c>
      <c r="T152">
        <v>242.080807336903</v>
      </c>
      <c r="U152">
        <v>244.78344897212</v>
      </c>
      <c r="V152">
        <v>5</v>
      </c>
      <c r="AF152" s="99" t="s">
        <v>272</v>
      </c>
      <c r="AH152">
        <v>1</v>
      </c>
      <c r="AI152">
        <v>0.993995820811782</v>
      </c>
      <c r="AJ152">
        <v>1.21947847748895</v>
      </c>
      <c r="AK152">
        <v>1.35596328130499</v>
      </c>
      <c r="AL152">
        <v>1.47246412572297</v>
      </c>
      <c r="AM152">
        <v>1.59951826814933</v>
      </c>
      <c r="AN152">
        <v>1.72541059727865</v>
      </c>
      <c r="AO152">
        <v>1.84777798871814</v>
      </c>
      <c r="AP152">
        <v>1.9700814772151</v>
      </c>
      <c r="AQ152">
        <v>2.09095469583227</v>
      </c>
      <c r="AR152">
        <v>2.20646103063693</v>
      </c>
      <c r="AS152">
        <v>2.30928214966673</v>
      </c>
      <c r="AT152">
        <v>2.39914124721075</v>
      </c>
      <c r="AU152">
        <v>2.47820427978879</v>
      </c>
      <c r="AV152">
        <v>2.55041781606331</v>
      </c>
      <c r="AW152">
        <v>2.61759297460683</v>
      </c>
      <c r="AX152">
        <v>2.67827186919254</v>
      </c>
      <c r="AY152">
        <v>2.72810653076512</v>
      </c>
      <c r="AZ152">
        <v>0</v>
      </c>
      <c r="BA152">
        <v>0</v>
      </c>
      <c r="BB152">
        <v>0</v>
      </c>
      <c r="BC152">
        <v>0</v>
      </c>
      <c r="BD152">
        <v>0</v>
      </c>
      <c r="BE152">
        <v>0</v>
      </c>
      <c r="BF152">
        <v>0</v>
      </c>
      <c r="BG152">
        <v>0</v>
      </c>
      <c r="BI152" t="s">
        <v>287</v>
      </c>
      <c r="BK152">
        <v>0.8</v>
      </c>
      <c r="BL152">
        <v>0.797560975609756</v>
      </c>
      <c r="BM152">
        <v>0.785365853658536</v>
      </c>
      <c r="BN152">
        <v>0.773170731707317</v>
      </c>
      <c r="BO152">
        <v>0.760975609756097</v>
      </c>
      <c r="BP152">
        <v>0.748780487804878</v>
      </c>
      <c r="BQ152">
        <v>0.736585365853658</v>
      </c>
      <c r="BR152">
        <v>0.724390243902439</v>
      </c>
      <c r="BS152">
        <v>0.71219512195122</v>
      </c>
      <c r="BT152">
        <v>0.699999999999999</v>
      </c>
      <c r="BU152">
        <v>0.687499999999999</v>
      </c>
      <c r="BV152">
        <v>0.675</v>
      </c>
      <c r="BW152">
        <v>0.6625</v>
      </c>
      <c r="BX152">
        <v>0.649999999999999</v>
      </c>
      <c r="BY152">
        <v>0.637499999999999</v>
      </c>
      <c r="BZ152">
        <v>0.625</v>
      </c>
      <c r="CA152">
        <v>0.6125</v>
      </c>
      <c r="CB152">
        <v>0.6</v>
      </c>
      <c r="CC152" t="e">
        <v>#VALUE!</v>
      </c>
      <c r="CD152" t="e">
        <v>#VALUE!</v>
      </c>
      <c r="CE152" t="e">
        <v>#VALUE!</v>
      </c>
      <c r="CF152" t="e">
        <v>#VALUE!</v>
      </c>
      <c r="CG152" t="e">
        <v>#VALUE!</v>
      </c>
      <c r="CH152" t="e">
        <v>#VALUE!</v>
      </c>
      <c r="CI152" t="e">
        <v>#VALUE!</v>
      </c>
      <c r="CJ152" t="e">
        <v>#VALUE!</v>
      </c>
    </row>
    <row r="153" spans="1:88">
      <c r="A153" t="s">
        <v>16</v>
      </c>
      <c r="B153" t="s">
        <v>280</v>
      </c>
      <c r="C153" t="s">
        <v>280</v>
      </c>
      <c r="D153">
        <v>0.546</v>
      </c>
      <c r="E153">
        <v>0.545055708730658</v>
      </c>
      <c r="F153">
        <v>0.540404400542398</v>
      </c>
      <c r="G153">
        <v>0.535881700743667</v>
      </c>
      <c r="H153">
        <v>0.532071901862561</v>
      </c>
      <c r="I153">
        <v>0.529127054789433</v>
      </c>
      <c r="J153">
        <v>0.526724909038171</v>
      </c>
      <c r="K153">
        <v>0.524606794447761</v>
      </c>
      <c r="L153">
        <v>0.521659465992699</v>
      </c>
      <c r="M153">
        <v>0.517938019194669</v>
      </c>
      <c r="N153">
        <v>0.513365657561778</v>
      </c>
      <c r="O153">
        <v>0.508357641530336</v>
      </c>
      <c r="P153">
        <v>0.503230857938885</v>
      </c>
      <c r="Q153">
        <v>0.498243298877789</v>
      </c>
      <c r="R153">
        <v>0.493433945255671</v>
      </c>
      <c r="S153">
        <v>0.48862923598344</v>
      </c>
      <c r="T153">
        <v>0.483509970298712</v>
      </c>
      <c r="U153">
        <v>0.477752200193977</v>
      </c>
      <c r="V153">
        <v>5</v>
      </c>
      <c r="AF153" s="99" t="s">
        <v>277</v>
      </c>
      <c r="AH153">
        <v>1</v>
      </c>
      <c r="AI153">
        <v>0.997831549885011</v>
      </c>
      <c r="AJ153">
        <v>0.986989299310067</v>
      </c>
      <c r="AK153">
        <v>0.976305741027938</v>
      </c>
      <c r="AL153">
        <v>0.967184619783603</v>
      </c>
      <c r="AM153">
        <v>0.960035587064387</v>
      </c>
      <c r="AN153">
        <v>0.954118558952653</v>
      </c>
      <c r="AO153">
        <v>0.94882198127353</v>
      </c>
      <c r="AP153">
        <v>0.941337178369357</v>
      </c>
      <c r="AQ153">
        <v>0.931743792928468</v>
      </c>
      <c r="AR153">
        <v>0.919779512436951</v>
      </c>
      <c r="AS153">
        <v>0.906486639396784</v>
      </c>
      <c r="AT153">
        <v>0.892687526928125</v>
      </c>
      <c r="AU153">
        <v>0.879075998408366</v>
      </c>
      <c r="AV153">
        <v>0.865765587031513</v>
      </c>
      <c r="AW153">
        <v>0.852277250499876</v>
      </c>
      <c r="AX153">
        <v>0.837699080032056</v>
      </c>
      <c r="AY153">
        <v>0.821073160485202</v>
      </c>
      <c r="AZ153">
        <v>0</v>
      </c>
      <c r="BA153">
        <v>0</v>
      </c>
      <c r="BB153">
        <v>0</v>
      </c>
      <c r="BC153">
        <v>0</v>
      </c>
      <c r="BD153">
        <v>0</v>
      </c>
      <c r="BE153">
        <v>0</v>
      </c>
      <c r="BF153">
        <v>0</v>
      </c>
      <c r="BG153">
        <v>0</v>
      </c>
      <c r="BI153" t="s">
        <v>287</v>
      </c>
      <c r="BK153">
        <v>0.8</v>
      </c>
      <c r="BL153">
        <v>0.797560975609756</v>
      </c>
      <c r="BM153">
        <v>0.785365853658536</v>
      </c>
      <c r="BN153">
        <v>0.773170731707317</v>
      </c>
      <c r="BO153">
        <v>0.760975609756097</v>
      </c>
      <c r="BP153">
        <v>0.748780487804878</v>
      </c>
      <c r="BQ153">
        <v>0.736585365853658</v>
      </c>
      <c r="BR153">
        <v>0.724390243902439</v>
      </c>
      <c r="BS153">
        <v>0.71219512195122</v>
      </c>
      <c r="BT153">
        <v>0.699999999999999</v>
      </c>
      <c r="BU153">
        <v>0.687499999999999</v>
      </c>
      <c r="BV153">
        <v>0.675</v>
      </c>
      <c r="BW153">
        <v>0.6625</v>
      </c>
      <c r="BX153">
        <v>0.649999999999999</v>
      </c>
      <c r="BY153">
        <v>0.637499999999999</v>
      </c>
      <c r="BZ153">
        <v>0.625</v>
      </c>
      <c r="CA153">
        <v>0.6125</v>
      </c>
      <c r="CB153">
        <v>0.6</v>
      </c>
      <c r="CC153" t="e">
        <v>#VALUE!</v>
      </c>
      <c r="CD153" t="e">
        <v>#VALUE!</v>
      </c>
      <c r="CE153" t="e">
        <v>#VALUE!</v>
      </c>
      <c r="CF153" t="e">
        <v>#VALUE!</v>
      </c>
      <c r="CG153" t="e">
        <v>#VALUE!</v>
      </c>
      <c r="CH153" t="e">
        <v>#VALUE!</v>
      </c>
      <c r="CI153" t="e">
        <v>#VALUE!</v>
      </c>
      <c r="CJ153" t="e">
        <v>#VALUE!</v>
      </c>
    </row>
    <row r="154" spans="1:88">
      <c r="A154" t="s">
        <v>16</v>
      </c>
      <c r="B154" t="s">
        <v>281</v>
      </c>
      <c r="C154" t="s">
        <v>281</v>
      </c>
      <c r="D154">
        <v>0.315</v>
      </c>
      <c r="E154">
        <v>0.314455216575379</v>
      </c>
      <c r="F154">
        <v>0.311771769543691</v>
      </c>
      <c r="G154">
        <v>0.309162519659808</v>
      </c>
      <c r="H154">
        <v>0.306964558766862</v>
      </c>
      <c r="I154">
        <v>0.305265608532365</v>
      </c>
      <c r="J154">
        <v>0.303879755214329</v>
      </c>
      <c r="K154">
        <v>0.302657766027555</v>
      </c>
      <c r="L154">
        <v>0.300957384226557</v>
      </c>
      <c r="M154">
        <v>0.298810395689232</v>
      </c>
      <c r="N154">
        <v>0.29617249474718</v>
      </c>
      <c r="O154">
        <v>0.29328325472904</v>
      </c>
      <c r="P154">
        <v>0.290325494964741</v>
      </c>
      <c r="Q154">
        <v>0.287448057044878</v>
      </c>
      <c r="R154">
        <v>0.284673429955195</v>
      </c>
      <c r="S154">
        <v>0.281901482298138</v>
      </c>
      <c r="T154">
        <v>0.278948059787719</v>
      </c>
      <c r="U154">
        <v>0.275626269342679</v>
      </c>
      <c r="V154">
        <v>5</v>
      </c>
      <c r="AF154" s="99" t="s">
        <v>277</v>
      </c>
      <c r="AH154">
        <v>1</v>
      </c>
      <c r="AI154">
        <v>0.997831549885011</v>
      </c>
      <c r="AJ154">
        <v>0.986989299310067</v>
      </c>
      <c r="AK154">
        <v>0.976305741027938</v>
      </c>
      <c r="AL154">
        <v>0.967184619783603</v>
      </c>
      <c r="AM154">
        <v>0.960035587064387</v>
      </c>
      <c r="AN154">
        <v>0.954118558952653</v>
      </c>
      <c r="AO154">
        <v>0.94882198127353</v>
      </c>
      <c r="AP154">
        <v>0.941337178369357</v>
      </c>
      <c r="AQ154">
        <v>0.931743792928468</v>
      </c>
      <c r="AR154">
        <v>0.919779512436951</v>
      </c>
      <c r="AS154">
        <v>0.906486639396784</v>
      </c>
      <c r="AT154">
        <v>0.892687526928125</v>
      </c>
      <c r="AU154">
        <v>0.879075998408366</v>
      </c>
      <c r="AV154">
        <v>0.865765587031513</v>
      </c>
      <c r="AW154">
        <v>0.852277250499876</v>
      </c>
      <c r="AX154">
        <v>0.837699080032056</v>
      </c>
      <c r="AY154">
        <v>0.821073160485202</v>
      </c>
      <c r="AZ154">
        <v>0</v>
      </c>
      <c r="BA154">
        <v>0</v>
      </c>
      <c r="BB154">
        <v>0</v>
      </c>
      <c r="BC154">
        <v>0</v>
      </c>
      <c r="BD154">
        <v>0</v>
      </c>
      <c r="BE154">
        <v>0</v>
      </c>
      <c r="BF154">
        <v>0</v>
      </c>
      <c r="BG154">
        <v>0</v>
      </c>
      <c r="BI154" t="s">
        <v>287</v>
      </c>
      <c r="BK154">
        <v>0.8</v>
      </c>
      <c r="BL154">
        <v>0.797560975609756</v>
      </c>
      <c r="BM154">
        <v>0.785365853658536</v>
      </c>
      <c r="BN154">
        <v>0.773170731707317</v>
      </c>
      <c r="BO154">
        <v>0.760975609756097</v>
      </c>
      <c r="BP154">
        <v>0.748780487804878</v>
      </c>
      <c r="BQ154">
        <v>0.736585365853658</v>
      </c>
      <c r="BR154">
        <v>0.724390243902439</v>
      </c>
      <c r="BS154">
        <v>0.71219512195122</v>
      </c>
      <c r="BT154">
        <v>0.699999999999999</v>
      </c>
      <c r="BU154">
        <v>0.687499999999999</v>
      </c>
      <c r="BV154">
        <v>0.675</v>
      </c>
      <c r="BW154">
        <v>0.6625</v>
      </c>
      <c r="BX154">
        <v>0.649999999999999</v>
      </c>
      <c r="BY154">
        <v>0.637499999999999</v>
      </c>
      <c r="BZ154">
        <v>0.625</v>
      </c>
      <c r="CA154">
        <v>0.6125</v>
      </c>
      <c r="CB154">
        <v>0.6</v>
      </c>
      <c r="CC154" t="e">
        <v>#VALUE!</v>
      </c>
      <c r="CD154" t="e">
        <v>#VALUE!</v>
      </c>
      <c r="CE154" t="e">
        <v>#VALUE!</v>
      </c>
      <c r="CF154" t="e">
        <v>#VALUE!</v>
      </c>
      <c r="CG154" t="e">
        <v>#VALUE!</v>
      </c>
      <c r="CH154" t="e">
        <v>#VALUE!</v>
      </c>
      <c r="CI154" t="e">
        <v>#VALUE!</v>
      </c>
      <c r="CJ154" t="e">
        <v>#VALUE!</v>
      </c>
    </row>
    <row r="155" spans="1:88">
      <c r="A155" t="s">
        <v>16</v>
      </c>
      <c r="B155" t="s">
        <v>282</v>
      </c>
      <c r="C155" t="s">
        <v>282</v>
      </c>
      <c r="D155">
        <v>0.35</v>
      </c>
      <c r="E155">
        <v>0.349394685083755</v>
      </c>
      <c r="F155">
        <v>0.346413077270768</v>
      </c>
      <c r="G155">
        <v>0.34351391073312</v>
      </c>
      <c r="H155">
        <v>0.34107173196318</v>
      </c>
      <c r="I155">
        <v>0.339184009480406</v>
      </c>
      <c r="J155">
        <v>0.337644172460366</v>
      </c>
      <c r="K155">
        <v>0.336286406697283</v>
      </c>
      <c r="L155">
        <v>0.334397093585064</v>
      </c>
      <c r="M155">
        <v>0.332011550765813</v>
      </c>
      <c r="N155">
        <v>0.329080549719089</v>
      </c>
      <c r="O155">
        <v>0.325870283032267</v>
      </c>
      <c r="P155">
        <v>0.322583883294157</v>
      </c>
      <c r="Q155">
        <v>0.319386730049865</v>
      </c>
      <c r="R155">
        <v>0.316303811061327</v>
      </c>
      <c r="S155">
        <v>0.313223869220154</v>
      </c>
      <c r="T155">
        <v>0.309942288653021</v>
      </c>
      <c r="U155">
        <v>0.306251410380755</v>
      </c>
      <c r="V155">
        <v>5</v>
      </c>
      <c r="AF155" s="99" t="s">
        <v>277</v>
      </c>
      <c r="AH155">
        <v>1</v>
      </c>
      <c r="AI155">
        <v>0.997831549885011</v>
      </c>
      <c r="AJ155">
        <v>0.986989299310067</v>
      </c>
      <c r="AK155">
        <v>0.976305741027938</v>
      </c>
      <c r="AL155">
        <v>0.967184619783603</v>
      </c>
      <c r="AM155">
        <v>0.960035587064387</v>
      </c>
      <c r="AN155">
        <v>0.954118558952653</v>
      </c>
      <c r="AO155">
        <v>0.94882198127353</v>
      </c>
      <c r="AP155">
        <v>0.941337178369357</v>
      </c>
      <c r="AQ155">
        <v>0.931743792928468</v>
      </c>
      <c r="AR155">
        <v>0.919779512436951</v>
      </c>
      <c r="AS155">
        <v>0.906486639396784</v>
      </c>
      <c r="AT155">
        <v>0.892687526928125</v>
      </c>
      <c r="AU155">
        <v>0.879075998408366</v>
      </c>
      <c r="AV155">
        <v>0.865765587031513</v>
      </c>
      <c r="AW155">
        <v>0.852277250499876</v>
      </c>
      <c r="AX155">
        <v>0.837699080032056</v>
      </c>
      <c r="AY155">
        <v>0.821073160485202</v>
      </c>
      <c r="AZ155">
        <v>0</v>
      </c>
      <c r="BA155">
        <v>0</v>
      </c>
      <c r="BB155">
        <v>0</v>
      </c>
      <c r="BC155">
        <v>0</v>
      </c>
      <c r="BD155">
        <v>0</v>
      </c>
      <c r="BE155">
        <v>0</v>
      </c>
      <c r="BF155">
        <v>0</v>
      </c>
      <c r="BG155">
        <v>0</v>
      </c>
      <c r="BI155" t="s">
        <v>287</v>
      </c>
      <c r="BK155">
        <v>0.8</v>
      </c>
      <c r="BL155">
        <v>0.797560975609756</v>
      </c>
      <c r="BM155">
        <v>0.785365853658536</v>
      </c>
      <c r="BN155">
        <v>0.773170731707317</v>
      </c>
      <c r="BO155">
        <v>0.760975609756097</v>
      </c>
      <c r="BP155">
        <v>0.748780487804878</v>
      </c>
      <c r="BQ155">
        <v>0.736585365853658</v>
      </c>
      <c r="BR155">
        <v>0.724390243902439</v>
      </c>
      <c r="BS155">
        <v>0.71219512195122</v>
      </c>
      <c r="BT155">
        <v>0.699999999999999</v>
      </c>
      <c r="BU155">
        <v>0.687499999999999</v>
      </c>
      <c r="BV155">
        <v>0.675</v>
      </c>
      <c r="BW155">
        <v>0.6625</v>
      </c>
      <c r="BX155">
        <v>0.649999999999999</v>
      </c>
      <c r="BY155">
        <v>0.637499999999999</v>
      </c>
      <c r="BZ155">
        <v>0.625</v>
      </c>
      <c r="CA155">
        <v>0.6125</v>
      </c>
      <c r="CB155">
        <v>0.6</v>
      </c>
      <c r="CC155" t="e">
        <v>#VALUE!</v>
      </c>
      <c r="CD155" t="e">
        <v>#VALUE!</v>
      </c>
      <c r="CE155" t="e">
        <v>#VALUE!</v>
      </c>
      <c r="CF155" t="e">
        <v>#VALUE!</v>
      </c>
      <c r="CG155" t="e">
        <v>#VALUE!</v>
      </c>
      <c r="CH155" t="e">
        <v>#VALUE!</v>
      </c>
      <c r="CI155" t="e">
        <v>#VALUE!</v>
      </c>
      <c r="CJ155" t="e">
        <v>#VALUE!</v>
      </c>
    </row>
    <row r="156" spans="1:88">
      <c r="A156" t="s">
        <v>16</v>
      </c>
      <c r="B156" t="s">
        <v>283</v>
      </c>
      <c r="C156" t="s">
        <v>283</v>
      </c>
      <c r="D156">
        <v>67.092</v>
      </c>
      <c r="E156">
        <v>66.886304245997</v>
      </c>
      <c r="F156">
        <v>79.5104599084931</v>
      </c>
      <c r="G156">
        <v>87.138802162632</v>
      </c>
      <c r="H156">
        <v>93.5151037625579</v>
      </c>
      <c r="I156">
        <v>100.123521876701</v>
      </c>
      <c r="J156">
        <v>106.421441172394</v>
      </c>
      <c r="K156">
        <v>112.34962785145</v>
      </c>
      <c r="L156">
        <v>118.324099367125</v>
      </c>
      <c r="M156">
        <v>124.311016313788</v>
      </c>
      <c r="N156">
        <v>130.2052243777</v>
      </c>
      <c r="O156">
        <v>135.649701955049</v>
      </c>
      <c r="P156">
        <v>140.589883790382</v>
      </c>
      <c r="Q156">
        <v>145.063001331268</v>
      </c>
      <c r="R156">
        <v>149.220945668528</v>
      </c>
      <c r="S156">
        <v>153.192270875538</v>
      </c>
      <c r="T156">
        <v>157.038113361228</v>
      </c>
      <c r="U156">
        <v>160.734740875473</v>
      </c>
      <c r="V156">
        <v>5</v>
      </c>
      <c r="AF156" s="99" t="s">
        <v>284</v>
      </c>
      <c r="AH156">
        <v>1</v>
      </c>
      <c r="AI156">
        <v>0.996155935264151</v>
      </c>
      <c r="AJ156">
        <v>1.23555389946112</v>
      </c>
      <c r="AK156">
        <v>1.38887156381701</v>
      </c>
      <c r="AL156">
        <v>1.52242301583788</v>
      </c>
      <c r="AM156">
        <v>1.66610310044898</v>
      </c>
      <c r="AN156">
        <v>1.80838175831382</v>
      </c>
      <c r="AO156">
        <v>1.94744433116738</v>
      </c>
      <c r="AP156">
        <v>2.09285421046239</v>
      </c>
      <c r="AQ156">
        <v>2.24413053427531</v>
      </c>
      <c r="AR156">
        <v>2.39890212904496</v>
      </c>
      <c r="AS156">
        <v>2.54750820288253</v>
      </c>
      <c r="AT156">
        <v>2.68754875008343</v>
      </c>
      <c r="AU156">
        <v>2.81910128848446</v>
      </c>
      <c r="AV156">
        <v>2.94585261214647</v>
      </c>
      <c r="AW156">
        <v>3.0712927900769</v>
      </c>
      <c r="AX156">
        <v>3.19717656737793</v>
      </c>
      <c r="AY156">
        <v>3.32261077582049</v>
      </c>
      <c r="AZ156">
        <v>0</v>
      </c>
      <c r="BA156">
        <v>0</v>
      </c>
      <c r="BB156">
        <v>0</v>
      </c>
      <c r="BC156">
        <v>0</v>
      </c>
      <c r="BD156">
        <v>0</v>
      </c>
      <c r="BE156">
        <v>0</v>
      </c>
      <c r="BF156">
        <v>0</v>
      </c>
      <c r="BG156">
        <v>0</v>
      </c>
      <c r="BI156" t="s">
        <v>287</v>
      </c>
      <c r="BK156">
        <v>0.8</v>
      </c>
      <c r="BL156">
        <v>0.797560975609756</v>
      </c>
      <c r="BM156">
        <v>0.785365853658536</v>
      </c>
      <c r="BN156">
        <v>0.773170731707317</v>
      </c>
      <c r="BO156">
        <v>0.760975609756097</v>
      </c>
      <c r="BP156">
        <v>0.748780487804878</v>
      </c>
      <c r="BQ156">
        <v>0.736585365853658</v>
      </c>
      <c r="BR156">
        <v>0.724390243902439</v>
      </c>
      <c r="BS156">
        <v>0.71219512195122</v>
      </c>
      <c r="BT156">
        <v>0.699999999999999</v>
      </c>
      <c r="BU156">
        <v>0.687499999999999</v>
      </c>
      <c r="BV156">
        <v>0.675</v>
      </c>
      <c r="BW156">
        <v>0.6625</v>
      </c>
      <c r="BX156">
        <v>0.649999999999999</v>
      </c>
      <c r="BY156">
        <v>0.637499999999999</v>
      </c>
      <c r="BZ156">
        <v>0.625</v>
      </c>
      <c r="CA156">
        <v>0.6125</v>
      </c>
      <c r="CB156">
        <v>0.6</v>
      </c>
      <c r="CC156" t="e">
        <v>#VALUE!</v>
      </c>
      <c r="CD156" t="e">
        <v>#VALUE!</v>
      </c>
      <c r="CE156" t="e">
        <v>#VALUE!</v>
      </c>
      <c r="CF156" t="e">
        <v>#VALUE!</v>
      </c>
      <c r="CG156" t="e">
        <v>#VALUE!</v>
      </c>
      <c r="CH156" t="e">
        <v>#VALUE!</v>
      </c>
      <c r="CI156" t="e">
        <v>#VALUE!</v>
      </c>
      <c r="CJ156" t="e">
        <v>#VALUE!</v>
      </c>
    </row>
    <row r="157" spans="1:88">
      <c r="A157" t="s">
        <v>16</v>
      </c>
      <c r="B157" t="s">
        <v>285</v>
      </c>
      <c r="C157" t="s">
        <v>285</v>
      </c>
      <c r="D157">
        <v>10.6</v>
      </c>
      <c r="E157">
        <v>10.5492397904824</v>
      </c>
      <c r="F157">
        <v>12.4286507881249</v>
      </c>
      <c r="G157">
        <v>13.5041486494862</v>
      </c>
      <c r="H157">
        <v>14.3870640478755</v>
      </c>
      <c r="I157">
        <v>15.3166098678511</v>
      </c>
      <c r="J157">
        <v>16.2045747711593</v>
      </c>
      <c r="K157">
        <v>17.0370732960652</v>
      </c>
      <c r="L157">
        <v>17.8401981053753</v>
      </c>
      <c r="M157">
        <v>18.6064006881076</v>
      </c>
      <c r="N157">
        <v>19.3130374898403</v>
      </c>
      <c r="O157">
        <v>19.9205292908841</v>
      </c>
      <c r="P157">
        <v>20.4340663742675</v>
      </c>
      <c r="Q157">
        <v>20.8717757076649</v>
      </c>
      <c r="R157">
        <v>21.2594982915538</v>
      </c>
      <c r="S157">
        <v>21.6094679512543</v>
      </c>
      <c r="T157">
        <v>21.9162893965133</v>
      </c>
      <c r="U157">
        <v>22.1609675139737</v>
      </c>
      <c r="V157">
        <v>5</v>
      </c>
      <c r="AF157" s="99" t="s">
        <v>272</v>
      </c>
      <c r="AH157">
        <v>1</v>
      </c>
      <c r="AI157">
        <v>0.993995820811782</v>
      </c>
      <c r="AJ157">
        <v>1.21947847748895</v>
      </c>
      <c r="AK157">
        <v>1.35596328130499</v>
      </c>
      <c r="AL157">
        <v>1.47246412572297</v>
      </c>
      <c r="AM157">
        <v>1.59951826814933</v>
      </c>
      <c r="AN157">
        <v>1.72541059727865</v>
      </c>
      <c r="AO157">
        <v>1.84777798871814</v>
      </c>
      <c r="AP157">
        <v>1.9700814772151</v>
      </c>
      <c r="AQ157">
        <v>2.09095469583227</v>
      </c>
      <c r="AR157">
        <v>2.20646103063693</v>
      </c>
      <c r="AS157">
        <v>2.30928214966673</v>
      </c>
      <c r="AT157">
        <v>2.39914124721075</v>
      </c>
      <c r="AU157">
        <v>2.47820427978879</v>
      </c>
      <c r="AV157">
        <v>2.55041781606331</v>
      </c>
      <c r="AW157">
        <v>2.61759297460683</v>
      </c>
      <c r="AX157">
        <v>2.67827186919254</v>
      </c>
      <c r="AY157">
        <v>2.72810653076512</v>
      </c>
      <c r="AZ157">
        <v>0</v>
      </c>
      <c r="BA157">
        <v>0</v>
      </c>
      <c r="BB157">
        <v>0</v>
      </c>
      <c r="BC157">
        <v>0</v>
      </c>
      <c r="BD157">
        <v>0</v>
      </c>
      <c r="BE157">
        <v>0</v>
      </c>
      <c r="BF157">
        <v>0</v>
      </c>
      <c r="BG157">
        <v>0</v>
      </c>
      <c r="BI157" t="s">
        <v>287</v>
      </c>
      <c r="BK157">
        <v>0.8</v>
      </c>
      <c r="BL157">
        <v>0.797560975609756</v>
      </c>
      <c r="BM157">
        <v>0.785365853658536</v>
      </c>
      <c r="BN157">
        <v>0.773170731707317</v>
      </c>
      <c r="BO157">
        <v>0.760975609756097</v>
      </c>
      <c r="BP157">
        <v>0.748780487804878</v>
      </c>
      <c r="BQ157">
        <v>0.736585365853658</v>
      </c>
      <c r="BR157">
        <v>0.724390243902439</v>
      </c>
      <c r="BS157">
        <v>0.71219512195122</v>
      </c>
      <c r="BT157">
        <v>0.699999999999999</v>
      </c>
      <c r="BU157">
        <v>0.687499999999999</v>
      </c>
      <c r="BV157">
        <v>0.675</v>
      </c>
      <c r="BW157">
        <v>0.6625</v>
      </c>
      <c r="BX157">
        <v>0.649999999999999</v>
      </c>
      <c r="BY157">
        <v>0.637499999999999</v>
      </c>
      <c r="BZ157">
        <v>0.625</v>
      </c>
      <c r="CA157">
        <v>0.6125</v>
      </c>
      <c r="CB157">
        <v>0.6</v>
      </c>
      <c r="CC157" t="e">
        <v>#VALUE!</v>
      </c>
      <c r="CD157" t="e">
        <v>#VALUE!</v>
      </c>
      <c r="CE157" t="e">
        <v>#VALUE!</v>
      </c>
      <c r="CF157" t="e">
        <v>#VALUE!</v>
      </c>
      <c r="CG157" t="e">
        <v>#VALUE!</v>
      </c>
      <c r="CH157" t="e">
        <v>#VALUE!</v>
      </c>
      <c r="CI157" t="e">
        <v>#VALUE!</v>
      </c>
      <c r="CJ157" t="e">
        <v>#VALUE!</v>
      </c>
    </row>
    <row r="158" spans="1:88">
      <c r="A158" t="s">
        <v>16</v>
      </c>
      <c r="B158" t="s">
        <v>286</v>
      </c>
      <c r="C158" t="s">
        <v>286</v>
      </c>
      <c r="D158">
        <v>7.76</v>
      </c>
      <c r="E158">
        <v>7.72283969567393</v>
      </c>
      <c r="F158">
        <v>9.09871038828764</v>
      </c>
      <c r="G158">
        <v>9.88605599245401</v>
      </c>
      <c r="H158">
        <v>10.5324166991994</v>
      </c>
      <c r="I158">
        <v>11.2129143938231</v>
      </c>
      <c r="J158">
        <v>11.8629717192638</v>
      </c>
      <c r="K158">
        <v>12.4724234695723</v>
      </c>
      <c r="L158">
        <v>13.0603714431804</v>
      </c>
      <c r="M158">
        <v>13.6212895603505</v>
      </c>
      <c r="N158">
        <v>14.1386010302982</v>
      </c>
      <c r="O158">
        <v>14.5833308771001</v>
      </c>
      <c r="P158">
        <v>14.9592787796524</v>
      </c>
      <c r="Q158">
        <v>15.279715046366</v>
      </c>
      <c r="R158">
        <v>15.5635572398545</v>
      </c>
      <c r="S158">
        <v>15.8197614435597</v>
      </c>
      <c r="T158">
        <v>16.0443778978249</v>
      </c>
      <c r="U158">
        <v>16.2235007460789</v>
      </c>
      <c r="V158">
        <v>5</v>
      </c>
      <c r="AF158" s="99" t="s">
        <v>272</v>
      </c>
      <c r="AH158">
        <v>1</v>
      </c>
      <c r="AI158">
        <v>0.993995820811782</v>
      </c>
      <c r="AJ158">
        <v>1.21947847748895</v>
      </c>
      <c r="AK158">
        <v>1.35596328130499</v>
      </c>
      <c r="AL158">
        <v>1.47246412572297</v>
      </c>
      <c r="AM158">
        <v>1.59951826814933</v>
      </c>
      <c r="AN158">
        <v>1.72541059727865</v>
      </c>
      <c r="AO158">
        <v>1.84777798871814</v>
      </c>
      <c r="AP158">
        <v>1.9700814772151</v>
      </c>
      <c r="AQ158">
        <v>2.09095469583227</v>
      </c>
      <c r="AR158">
        <v>2.20646103063693</v>
      </c>
      <c r="AS158">
        <v>2.30928214966673</v>
      </c>
      <c r="AT158">
        <v>2.39914124721075</v>
      </c>
      <c r="AU158">
        <v>2.47820427978879</v>
      </c>
      <c r="AV158">
        <v>2.55041781606331</v>
      </c>
      <c r="AW158">
        <v>2.61759297460683</v>
      </c>
      <c r="AX158">
        <v>2.67827186919254</v>
      </c>
      <c r="AY158">
        <v>2.72810653076512</v>
      </c>
      <c r="AZ158">
        <v>0</v>
      </c>
      <c r="BA158">
        <v>0</v>
      </c>
      <c r="BB158">
        <v>0</v>
      </c>
      <c r="BC158">
        <v>0</v>
      </c>
      <c r="BD158">
        <v>0</v>
      </c>
      <c r="BE158">
        <v>0</v>
      </c>
      <c r="BF158">
        <v>0</v>
      </c>
      <c r="BG158">
        <v>0</v>
      </c>
      <c r="BI158" t="s">
        <v>287</v>
      </c>
      <c r="BK158">
        <v>0.8</v>
      </c>
      <c r="BL158">
        <v>0.797560975609756</v>
      </c>
      <c r="BM158">
        <v>0.785365853658536</v>
      </c>
      <c r="BN158">
        <v>0.773170731707317</v>
      </c>
      <c r="BO158">
        <v>0.760975609756097</v>
      </c>
      <c r="BP158">
        <v>0.748780487804878</v>
      </c>
      <c r="BQ158">
        <v>0.736585365853658</v>
      </c>
      <c r="BR158">
        <v>0.724390243902439</v>
      </c>
      <c r="BS158">
        <v>0.71219512195122</v>
      </c>
      <c r="BT158">
        <v>0.699999999999999</v>
      </c>
      <c r="BU158">
        <v>0.687499999999999</v>
      </c>
      <c r="BV158">
        <v>0.675</v>
      </c>
      <c r="BW158">
        <v>0.6625</v>
      </c>
      <c r="BX158">
        <v>0.649999999999999</v>
      </c>
      <c r="BY158">
        <v>0.637499999999999</v>
      </c>
      <c r="BZ158">
        <v>0.625</v>
      </c>
      <c r="CA158">
        <v>0.6125</v>
      </c>
      <c r="CB158">
        <v>0.6</v>
      </c>
      <c r="CC158" t="e">
        <v>#VALUE!</v>
      </c>
      <c r="CD158" t="e">
        <v>#VALUE!</v>
      </c>
      <c r="CE158" t="e">
        <v>#VALUE!</v>
      </c>
      <c r="CF158" t="e">
        <v>#VALUE!</v>
      </c>
      <c r="CG158" t="e">
        <v>#VALUE!</v>
      </c>
      <c r="CH158" t="e">
        <v>#VALUE!</v>
      </c>
      <c r="CI158" t="e">
        <v>#VALUE!</v>
      </c>
      <c r="CJ158" t="e">
        <v>#VALUE!</v>
      </c>
    </row>
    <row r="159" spans="1:88">
      <c r="A159" t="s">
        <v>17</v>
      </c>
      <c r="B159" t="s">
        <v>271</v>
      </c>
      <c r="C159" t="s">
        <v>271</v>
      </c>
      <c r="D159">
        <v>3.19829652</v>
      </c>
      <c r="E159">
        <v>3.26516627111412</v>
      </c>
      <c r="F159">
        <v>3.75239278932574</v>
      </c>
      <c r="G159">
        <v>4.14831749910629</v>
      </c>
      <c r="H159">
        <v>4.4684121877824</v>
      </c>
      <c r="I159">
        <v>4.70987398803673</v>
      </c>
      <c r="J159">
        <v>4.88914021590612</v>
      </c>
      <c r="K159">
        <v>5.03145153261572</v>
      </c>
      <c r="L159">
        <v>5.15536378681161</v>
      </c>
      <c r="M159">
        <v>5.26696193631137</v>
      </c>
      <c r="N159">
        <v>5.36782271419048</v>
      </c>
      <c r="O159">
        <v>5.45239970852998</v>
      </c>
      <c r="P159">
        <v>5.52581264385211</v>
      </c>
      <c r="Q159">
        <v>5.59114880501368</v>
      </c>
      <c r="R159">
        <v>5.65205757550221</v>
      </c>
      <c r="S159">
        <v>5.71089411696531</v>
      </c>
      <c r="T159">
        <v>5.76831407869804</v>
      </c>
      <c r="U159">
        <v>5.82024207341045</v>
      </c>
      <c r="V159">
        <v>5</v>
      </c>
      <c r="AF159" s="99" t="s">
        <v>272</v>
      </c>
      <c r="AH159">
        <v>1</v>
      </c>
      <c r="AI159">
        <v>1.02621483239062</v>
      </c>
      <c r="AJ159">
        <v>1.22119565054484</v>
      </c>
      <c r="AK159">
        <v>1.38784904257775</v>
      </c>
      <c r="AL159">
        <v>1.5285762184508</v>
      </c>
      <c r="AM159">
        <v>1.63888949552538</v>
      </c>
      <c r="AN159">
        <v>1.72357630623467</v>
      </c>
      <c r="AO159">
        <v>1.79283349626876</v>
      </c>
      <c r="AP159">
        <v>1.85482924752953</v>
      </c>
      <c r="AQ159">
        <v>1.91218851178937</v>
      </c>
      <c r="AR159">
        <v>1.96545083867851</v>
      </c>
      <c r="AS159">
        <v>2.01132968580655</v>
      </c>
      <c r="AT159">
        <v>2.05220699350528</v>
      </c>
      <c r="AU159">
        <v>2.08953761881332</v>
      </c>
      <c r="AV159">
        <v>2.12524424255582</v>
      </c>
      <c r="AW159">
        <v>2.16064148168893</v>
      </c>
      <c r="AX159">
        <v>2.19610937613075</v>
      </c>
      <c r="AY159">
        <v>2.22905937229824</v>
      </c>
      <c r="AZ159">
        <v>0</v>
      </c>
      <c r="BA159">
        <v>0</v>
      </c>
      <c r="BB159">
        <v>0</v>
      </c>
      <c r="BC159">
        <v>0</v>
      </c>
      <c r="BD159">
        <v>0</v>
      </c>
      <c r="BE159">
        <v>0</v>
      </c>
      <c r="BF159">
        <v>0</v>
      </c>
      <c r="BG159">
        <v>0</v>
      </c>
      <c r="BI159" t="s">
        <v>287</v>
      </c>
      <c r="BK159">
        <v>0.8</v>
      </c>
      <c r="BL159">
        <v>0.797560975609756</v>
      </c>
      <c r="BM159">
        <v>0.785365853658536</v>
      </c>
      <c r="BN159">
        <v>0.773170731707317</v>
      </c>
      <c r="BO159">
        <v>0.760975609756097</v>
      </c>
      <c r="BP159">
        <v>0.748780487804878</v>
      </c>
      <c r="BQ159">
        <v>0.736585365853658</v>
      </c>
      <c r="BR159">
        <v>0.724390243902439</v>
      </c>
      <c r="BS159">
        <v>0.71219512195122</v>
      </c>
      <c r="BT159">
        <v>0.699999999999999</v>
      </c>
      <c r="BU159">
        <v>0.687499999999999</v>
      </c>
      <c r="BV159">
        <v>0.675</v>
      </c>
      <c r="BW159">
        <v>0.6625</v>
      </c>
      <c r="BX159">
        <v>0.649999999999999</v>
      </c>
      <c r="BY159">
        <v>0.637499999999999</v>
      </c>
      <c r="BZ159">
        <v>0.625</v>
      </c>
      <c r="CA159">
        <v>0.6125</v>
      </c>
      <c r="CB159">
        <v>0.6</v>
      </c>
      <c r="CC159" t="e">
        <v>#VALUE!</v>
      </c>
      <c r="CD159" t="e">
        <v>#VALUE!</v>
      </c>
      <c r="CE159" t="e">
        <v>#VALUE!</v>
      </c>
      <c r="CF159" t="e">
        <v>#VALUE!</v>
      </c>
      <c r="CG159" t="e">
        <v>#VALUE!</v>
      </c>
      <c r="CH159" t="e">
        <v>#VALUE!</v>
      </c>
      <c r="CI159" t="e">
        <v>#VALUE!</v>
      </c>
      <c r="CJ159" t="e">
        <v>#VALUE!</v>
      </c>
    </row>
    <row r="160" spans="1:88">
      <c r="A160" t="s">
        <v>17</v>
      </c>
      <c r="B160" t="s">
        <v>274</v>
      </c>
      <c r="C160" t="s">
        <v>274</v>
      </c>
      <c r="D160">
        <v>28.1800487052</v>
      </c>
      <c r="E160">
        <v>28.7692351147517</v>
      </c>
      <c r="F160">
        <v>33.0621663448017</v>
      </c>
      <c r="G160">
        <v>36.550641392515</v>
      </c>
      <c r="H160">
        <v>39.3709814894266</v>
      </c>
      <c r="I160">
        <v>41.4984906959876</v>
      </c>
      <c r="J160">
        <v>43.0779974743513</v>
      </c>
      <c r="K160">
        <v>44.331896170454</v>
      </c>
      <c r="L160">
        <v>45.4236815432534</v>
      </c>
      <c r="M160">
        <v>46.4069678860448</v>
      </c>
      <c r="N160">
        <v>47.2956477239849</v>
      </c>
      <c r="O160">
        <v>48.0408518677915</v>
      </c>
      <c r="P160">
        <v>48.6876899830296</v>
      </c>
      <c r="Q160">
        <v>49.2633639995663</v>
      </c>
      <c r="R160">
        <v>49.8000284733596</v>
      </c>
      <c r="S160">
        <v>50.3184346291702</v>
      </c>
      <c r="T160">
        <v>50.8243593638408</v>
      </c>
      <c r="U160">
        <v>51.2818946208154</v>
      </c>
      <c r="V160">
        <v>5</v>
      </c>
      <c r="AF160" s="99" t="s">
        <v>272</v>
      </c>
      <c r="AH160">
        <v>1</v>
      </c>
      <c r="AI160">
        <v>1.02621483239062</v>
      </c>
      <c r="AJ160">
        <v>1.22119565054484</v>
      </c>
      <c r="AK160">
        <v>1.38784904257775</v>
      </c>
      <c r="AL160">
        <v>1.5285762184508</v>
      </c>
      <c r="AM160">
        <v>1.63888949552538</v>
      </c>
      <c r="AN160">
        <v>1.72357630623467</v>
      </c>
      <c r="AO160">
        <v>1.79283349626876</v>
      </c>
      <c r="AP160">
        <v>1.85482924752953</v>
      </c>
      <c r="AQ160">
        <v>1.91218851178937</v>
      </c>
      <c r="AR160">
        <v>1.96545083867851</v>
      </c>
      <c r="AS160">
        <v>2.01132968580655</v>
      </c>
      <c r="AT160">
        <v>2.05220699350528</v>
      </c>
      <c r="AU160">
        <v>2.08953761881332</v>
      </c>
      <c r="AV160">
        <v>2.12524424255582</v>
      </c>
      <c r="AW160">
        <v>2.16064148168893</v>
      </c>
      <c r="AX160">
        <v>2.19610937613075</v>
      </c>
      <c r="AY160">
        <v>2.22905937229824</v>
      </c>
      <c r="AZ160">
        <v>0</v>
      </c>
      <c r="BA160">
        <v>0</v>
      </c>
      <c r="BB160">
        <v>0</v>
      </c>
      <c r="BC160">
        <v>0</v>
      </c>
      <c r="BD160">
        <v>0</v>
      </c>
      <c r="BE160">
        <v>0</v>
      </c>
      <c r="BF160">
        <v>0</v>
      </c>
      <c r="BG160">
        <v>0</v>
      </c>
      <c r="BI160" t="s">
        <v>287</v>
      </c>
      <c r="BK160">
        <v>0.8</v>
      </c>
      <c r="BL160">
        <v>0.797560975609756</v>
      </c>
      <c r="BM160">
        <v>0.785365853658536</v>
      </c>
      <c r="BN160">
        <v>0.773170731707317</v>
      </c>
      <c r="BO160">
        <v>0.760975609756097</v>
      </c>
      <c r="BP160">
        <v>0.748780487804878</v>
      </c>
      <c r="BQ160">
        <v>0.736585365853658</v>
      </c>
      <c r="BR160">
        <v>0.724390243902439</v>
      </c>
      <c r="BS160">
        <v>0.71219512195122</v>
      </c>
      <c r="BT160">
        <v>0.699999999999999</v>
      </c>
      <c r="BU160">
        <v>0.687499999999999</v>
      </c>
      <c r="BV160">
        <v>0.675</v>
      </c>
      <c r="BW160">
        <v>0.6625</v>
      </c>
      <c r="BX160">
        <v>0.649999999999999</v>
      </c>
      <c r="BY160">
        <v>0.637499999999999</v>
      </c>
      <c r="BZ160">
        <v>0.625</v>
      </c>
      <c r="CA160">
        <v>0.6125</v>
      </c>
      <c r="CB160">
        <v>0.6</v>
      </c>
      <c r="CC160" t="e">
        <v>#VALUE!</v>
      </c>
      <c r="CD160" t="e">
        <v>#VALUE!</v>
      </c>
      <c r="CE160" t="e">
        <v>#VALUE!</v>
      </c>
      <c r="CF160" t="e">
        <v>#VALUE!</v>
      </c>
      <c r="CG160" t="e">
        <v>#VALUE!</v>
      </c>
      <c r="CH160" t="e">
        <v>#VALUE!</v>
      </c>
      <c r="CI160" t="e">
        <v>#VALUE!</v>
      </c>
      <c r="CJ160" t="e">
        <v>#VALUE!</v>
      </c>
    </row>
    <row r="161" spans="1:88">
      <c r="A161" t="s">
        <v>17</v>
      </c>
      <c r="B161" t="s">
        <v>275</v>
      </c>
      <c r="C161" t="s">
        <v>275</v>
      </c>
      <c r="D161">
        <v>7.5946374864</v>
      </c>
      <c r="E161">
        <v>7.75342561481203</v>
      </c>
      <c r="F161">
        <v>8.91038800289546</v>
      </c>
      <c r="G161">
        <v>9.85054618519289</v>
      </c>
      <c r="H161">
        <v>10.6106392868222</v>
      </c>
      <c r="I161">
        <v>11.184011651854</v>
      </c>
      <c r="J161">
        <v>11.6096951385816</v>
      </c>
      <c r="K161">
        <v>11.9476259257563</v>
      </c>
      <c r="L161">
        <v>12.241866514412</v>
      </c>
      <c r="M161">
        <v>12.5068661741696</v>
      </c>
      <c r="N161">
        <v>12.7463689969373</v>
      </c>
      <c r="O161">
        <v>12.9472045378826</v>
      </c>
      <c r="P161">
        <v>13.1215300349395</v>
      </c>
      <c r="Q161">
        <v>13.2766765185979</v>
      </c>
      <c r="R161">
        <v>13.4213097721784</v>
      </c>
      <c r="S161">
        <v>13.5610223349666</v>
      </c>
      <c r="T161">
        <v>13.6973711041054</v>
      </c>
      <c r="U161">
        <v>13.8206787126309</v>
      </c>
      <c r="V161">
        <v>5</v>
      </c>
      <c r="AF161" s="99" t="s">
        <v>272</v>
      </c>
      <c r="AH161">
        <v>1</v>
      </c>
      <c r="AI161">
        <v>1.02621483239062</v>
      </c>
      <c r="AJ161">
        <v>1.22119565054484</v>
      </c>
      <c r="AK161">
        <v>1.38784904257775</v>
      </c>
      <c r="AL161">
        <v>1.5285762184508</v>
      </c>
      <c r="AM161">
        <v>1.63888949552538</v>
      </c>
      <c r="AN161">
        <v>1.72357630623467</v>
      </c>
      <c r="AO161">
        <v>1.79283349626876</v>
      </c>
      <c r="AP161">
        <v>1.85482924752953</v>
      </c>
      <c r="AQ161">
        <v>1.91218851178937</v>
      </c>
      <c r="AR161">
        <v>1.96545083867851</v>
      </c>
      <c r="AS161">
        <v>2.01132968580655</v>
      </c>
      <c r="AT161">
        <v>2.05220699350528</v>
      </c>
      <c r="AU161">
        <v>2.08953761881332</v>
      </c>
      <c r="AV161">
        <v>2.12524424255582</v>
      </c>
      <c r="AW161">
        <v>2.16064148168893</v>
      </c>
      <c r="AX161">
        <v>2.19610937613075</v>
      </c>
      <c r="AY161">
        <v>2.22905937229824</v>
      </c>
      <c r="AZ161">
        <v>0</v>
      </c>
      <c r="BA161">
        <v>0</v>
      </c>
      <c r="BB161">
        <v>0</v>
      </c>
      <c r="BC161">
        <v>0</v>
      </c>
      <c r="BD161">
        <v>0</v>
      </c>
      <c r="BE161">
        <v>0</v>
      </c>
      <c r="BF161">
        <v>0</v>
      </c>
      <c r="BG161">
        <v>0</v>
      </c>
      <c r="BI161" t="s">
        <v>287</v>
      </c>
      <c r="BK161">
        <v>0.8</v>
      </c>
      <c r="BL161">
        <v>0.797560975609756</v>
      </c>
      <c r="BM161">
        <v>0.785365853658536</v>
      </c>
      <c r="BN161">
        <v>0.773170731707317</v>
      </c>
      <c r="BO161">
        <v>0.760975609756097</v>
      </c>
      <c r="BP161">
        <v>0.748780487804878</v>
      </c>
      <c r="BQ161">
        <v>0.736585365853658</v>
      </c>
      <c r="BR161">
        <v>0.724390243902439</v>
      </c>
      <c r="BS161">
        <v>0.71219512195122</v>
      </c>
      <c r="BT161">
        <v>0.699999999999999</v>
      </c>
      <c r="BU161">
        <v>0.687499999999999</v>
      </c>
      <c r="BV161">
        <v>0.675</v>
      </c>
      <c r="BW161">
        <v>0.6625</v>
      </c>
      <c r="BX161">
        <v>0.649999999999999</v>
      </c>
      <c r="BY161">
        <v>0.637499999999999</v>
      </c>
      <c r="BZ161">
        <v>0.625</v>
      </c>
      <c r="CA161">
        <v>0.6125</v>
      </c>
      <c r="CB161">
        <v>0.6</v>
      </c>
      <c r="CC161" t="e">
        <v>#VALUE!</v>
      </c>
      <c r="CD161" t="e">
        <v>#VALUE!</v>
      </c>
      <c r="CE161" t="e">
        <v>#VALUE!</v>
      </c>
      <c r="CF161" t="e">
        <v>#VALUE!</v>
      </c>
      <c r="CG161" t="e">
        <v>#VALUE!</v>
      </c>
      <c r="CH161" t="e">
        <v>#VALUE!</v>
      </c>
      <c r="CI161" t="e">
        <v>#VALUE!</v>
      </c>
      <c r="CJ161" t="e">
        <v>#VALUE!</v>
      </c>
    </row>
    <row r="162" spans="1:88">
      <c r="A162" t="s">
        <v>17</v>
      </c>
      <c r="B162" t="s">
        <v>276</v>
      </c>
      <c r="C162" t="s">
        <v>276</v>
      </c>
      <c r="D162">
        <v>8.7175707408</v>
      </c>
      <c r="E162">
        <v>8.67473913168791</v>
      </c>
      <c r="F162">
        <v>8.463591052288</v>
      </c>
      <c r="G162">
        <v>8.27612008668703</v>
      </c>
      <c r="H162">
        <v>8.08336435165592</v>
      </c>
      <c r="I162">
        <v>7.89625828842359</v>
      </c>
      <c r="J162">
        <v>7.71616480485583</v>
      </c>
      <c r="K162">
        <v>7.54541790110384</v>
      </c>
      <c r="L162">
        <v>7.38052885203664</v>
      </c>
      <c r="M162">
        <v>7.21474280278642</v>
      </c>
      <c r="N162">
        <v>7.04666277223064</v>
      </c>
      <c r="O162">
        <v>6.88312348209858</v>
      </c>
      <c r="P162">
        <v>6.73194692816472</v>
      </c>
      <c r="Q162">
        <v>6.59687178658247</v>
      </c>
      <c r="R162">
        <v>6.47747794070173</v>
      </c>
      <c r="S162">
        <v>6.37065834822593</v>
      </c>
      <c r="T162">
        <v>6.27240623304599</v>
      </c>
      <c r="U162">
        <v>6.17662652933353</v>
      </c>
      <c r="V162">
        <v>5</v>
      </c>
      <c r="AF162" s="99" t="s">
        <v>277</v>
      </c>
      <c r="AH162">
        <v>1</v>
      </c>
      <c r="AI162">
        <v>0.993839655291651</v>
      </c>
      <c r="AJ162">
        <v>0.963037931749907</v>
      </c>
      <c r="AK162">
        <v>0.935448209186594</v>
      </c>
      <c r="AL162">
        <v>0.906817669447105</v>
      </c>
      <c r="AM162">
        <v>0.878785212650304</v>
      </c>
      <c r="AN162">
        <v>0.851574726117705</v>
      </c>
      <c r="AO162">
        <v>0.825561062915208</v>
      </c>
      <c r="AP162">
        <v>0.80022969036693</v>
      </c>
      <c r="AQ162">
        <v>0.774550748708733</v>
      </c>
      <c r="AR162">
        <v>0.74830418571332</v>
      </c>
      <c r="AS162">
        <v>0.722575771339761</v>
      </c>
      <c r="AT162">
        <v>0.698620759317864</v>
      </c>
      <c r="AU162">
        <v>0.677055093171943</v>
      </c>
      <c r="AV162">
        <v>0.657833573577332</v>
      </c>
      <c r="AW162">
        <v>0.640476320673726</v>
      </c>
      <c r="AX162">
        <v>0.624349283813413</v>
      </c>
      <c r="AY162">
        <v>0.608459584497894</v>
      </c>
      <c r="AZ162">
        <v>0</v>
      </c>
      <c r="BA162">
        <v>0</v>
      </c>
      <c r="BB162">
        <v>0</v>
      </c>
      <c r="BC162">
        <v>0</v>
      </c>
      <c r="BD162">
        <v>0</v>
      </c>
      <c r="BE162">
        <v>0</v>
      </c>
      <c r="BF162">
        <v>0</v>
      </c>
      <c r="BG162">
        <v>0</v>
      </c>
      <c r="BI162" t="s">
        <v>287</v>
      </c>
      <c r="BK162">
        <v>0.8</v>
      </c>
      <c r="BL162">
        <v>0.797560975609756</v>
      </c>
      <c r="BM162">
        <v>0.785365853658536</v>
      </c>
      <c r="BN162">
        <v>0.773170731707317</v>
      </c>
      <c r="BO162">
        <v>0.760975609756097</v>
      </c>
      <c r="BP162">
        <v>0.748780487804878</v>
      </c>
      <c r="BQ162">
        <v>0.736585365853658</v>
      </c>
      <c r="BR162">
        <v>0.724390243902439</v>
      </c>
      <c r="BS162">
        <v>0.71219512195122</v>
      </c>
      <c r="BT162">
        <v>0.699999999999999</v>
      </c>
      <c r="BU162">
        <v>0.687499999999999</v>
      </c>
      <c r="BV162">
        <v>0.675</v>
      </c>
      <c r="BW162">
        <v>0.6625</v>
      </c>
      <c r="BX162">
        <v>0.649999999999999</v>
      </c>
      <c r="BY162">
        <v>0.637499999999999</v>
      </c>
      <c r="BZ162">
        <v>0.625</v>
      </c>
      <c r="CA162">
        <v>0.6125</v>
      </c>
      <c r="CB162">
        <v>0.6</v>
      </c>
      <c r="CC162" t="e">
        <v>#VALUE!</v>
      </c>
      <c r="CD162" t="e">
        <v>#VALUE!</v>
      </c>
      <c r="CE162" t="e">
        <v>#VALUE!</v>
      </c>
      <c r="CF162" t="e">
        <v>#VALUE!</v>
      </c>
      <c r="CG162" t="e">
        <v>#VALUE!</v>
      </c>
      <c r="CH162" t="e">
        <v>#VALUE!</v>
      </c>
      <c r="CI162" t="e">
        <v>#VALUE!</v>
      </c>
      <c r="CJ162" t="e">
        <v>#VALUE!</v>
      </c>
    </row>
    <row r="163" spans="1:88">
      <c r="A163" t="s">
        <v>17</v>
      </c>
      <c r="B163" t="s">
        <v>278</v>
      </c>
      <c r="C163" t="s">
        <v>278</v>
      </c>
      <c r="D163">
        <v>2.037966768</v>
      </c>
      <c r="E163">
        <v>2.08057642901886</v>
      </c>
      <c r="F163">
        <v>2.39103902884173</v>
      </c>
      <c r="G163">
        <v>2.64332376733208</v>
      </c>
      <c r="H163">
        <v>2.8472893265152</v>
      </c>
      <c r="I163">
        <v>3.00114970862254</v>
      </c>
      <c r="J163">
        <v>3.11537883426425</v>
      </c>
      <c r="K163">
        <v>3.20606014925518</v>
      </c>
      <c r="L163">
        <v>3.28501751128213</v>
      </c>
      <c r="M163">
        <v>3.35612827872617</v>
      </c>
      <c r="N163">
        <v>3.42039715193004</v>
      </c>
      <c r="O163">
        <v>3.47428993601787</v>
      </c>
      <c r="P163">
        <v>3.52106893902534</v>
      </c>
      <c r="Q163">
        <v>3.5627013906643</v>
      </c>
      <c r="R163">
        <v>3.60151269204275</v>
      </c>
      <c r="S163">
        <v>3.63900356116512</v>
      </c>
      <c r="T163">
        <v>3.67559178026843</v>
      </c>
      <c r="U163">
        <v>3.70868049699341</v>
      </c>
      <c r="V163">
        <v>5</v>
      </c>
      <c r="AF163" s="99" t="s">
        <v>272</v>
      </c>
      <c r="AH163">
        <v>1</v>
      </c>
      <c r="AI163">
        <v>1.02621483239062</v>
      </c>
      <c r="AJ163">
        <v>1.22119565054484</v>
      </c>
      <c r="AK163">
        <v>1.38784904257775</v>
      </c>
      <c r="AL163">
        <v>1.5285762184508</v>
      </c>
      <c r="AM163">
        <v>1.63888949552538</v>
      </c>
      <c r="AN163">
        <v>1.72357630623467</v>
      </c>
      <c r="AO163">
        <v>1.79283349626876</v>
      </c>
      <c r="AP163">
        <v>1.85482924752953</v>
      </c>
      <c r="AQ163">
        <v>1.91218851178937</v>
      </c>
      <c r="AR163">
        <v>1.96545083867851</v>
      </c>
      <c r="AS163">
        <v>2.01132968580655</v>
      </c>
      <c r="AT163">
        <v>2.05220699350528</v>
      </c>
      <c r="AU163">
        <v>2.08953761881332</v>
      </c>
      <c r="AV163">
        <v>2.12524424255582</v>
      </c>
      <c r="AW163">
        <v>2.16064148168893</v>
      </c>
      <c r="AX163">
        <v>2.19610937613075</v>
      </c>
      <c r="AY163">
        <v>2.22905937229824</v>
      </c>
      <c r="AZ163">
        <v>0</v>
      </c>
      <c r="BA163">
        <v>0</v>
      </c>
      <c r="BB163">
        <v>0</v>
      </c>
      <c r="BC163">
        <v>0</v>
      </c>
      <c r="BD163">
        <v>0</v>
      </c>
      <c r="BE163">
        <v>0</v>
      </c>
      <c r="BF163">
        <v>0</v>
      </c>
      <c r="BG163">
        <v>0</v>
      </c>
      <c r="BI163" t="s">
        <v>287</v>
      </c>
      <c r="BK163">
        <v>0.8</v>
      </c>
      <c r="BL163">
        <v>0.797560975609756</v>
      </c>
      <c r="BM163">
        <v>0.785365853658536</v>
      </c>
      <c r="BN163">
        <v>0.773170731707317</v>
      </c>
      <c r="BO163">
        <v>0.760975609756097</v>
      </c>
      <c r="BP163">
        <v>0.748780487804878</v>
      </c>
      <c r="BQ163">
        <v>0.736585365853658</v>
      </c>
      <c r="BR163">
        <v>0.724390243902439</v>
      </c>
      <c r="BS163">
        <v>0.71219512195122</v>
      </c>
      <c r="BT163">
        <v>0.699999999999999</v>
      </c>
      <c r="BU163">
        <v>0.687499999999999</v>
      </c>
      <c r="BV163">
        <v>0.675</v>
      </c>
      <c r="BW163">
        <v>0.6625</v>
      </c>
      <c r="BX163">
        <v>0.649999999999999</v>
      </c>
      <c r="BY163">
        <v>0.637499999999999</v>
      </c>
      <c r="BZ163">
        <v>0.625</v>
      </c>
      <c r="CA163">
        <v>0.6125</v>
      </c>
      <c r="CB163">
        <v>0.6</v>
      </c>
      <c r="CC163" t="e">
        <v>#VALUE!</v>
      </c>
      <c r="CD163" t="e">
        <v>#VALUE!</v>
      </c>
      <c r="CE163" t="e">
        <v>#VALUE!</v>
      </c>
      <c r="CF163" t="e">
        <v>#VALUE!</v>
      </c>
      <c r="CG163" t="e">
        <v>#VALUE!</v>
      </c>
      <c r="CH163" t="e">
        <v>#VALUE!</v>
      </c>
      <c r="CI163" t="e">
        <v>#VALUE!</v>
      </c>
      <c r="CJ163" t="e">
        <v>#VALUE!</v>
      </c>
    </row>
    <row r="164" spans="1:88">
      <c r="A164" t="s">
        <v>17</v>
      </c>
      <c r="B164" t="s">
        <v>279</v>
      </c>
      <c r="C164" t="s">
        <v>279</v>
      </c>
      <c r="D164">
        <v>4.6074729168</v>
      </c>
      <c r="E164">
        <v>4.70380562556693</v>
      </c>
      <c r="F164">
        <v>5.40570520647471</v>
      </c>
      <c r="G164">
        <v>5.97607520375244</v>
      </c>
      <c r="H164">
        <v>6.43720430784399</v>
      </c>
      <c r="I164">
        <v>6.78505470200118</v>
      </c>
      <c r="J164">
        <v>7.04330601942598</v>
      </c>
      <c r="K164">
        <v>7.24832001152876</v>
      </c>
      <c r="L164">
        <v>7.42682827419203</v>
      </c>
      <c r="M164">
        <v>7.58759681087079</v>
      </c>
      <c r="N164">
        <v>7.73289706665989</v>
      </c>
      <c r="O164">
        <v>7.85473886849619</v>
      </c>
      <c r="P164">
        <v>7.96049770265192</v>
      </c>
      <c r="Q164">
        <v>8.05462111840062</v>
      </c>
      <c r="R164">
        <v>8.14236642552477</v>
      </c>
      <c r="S164">
        <v>8.2271264750118</v>
      </c>
      <c r="T164">
        <v>8.30984579666095</v>
      </c>
      <c r="U164">
        <v>8.38465337868626</v>
      </c>
      <c r="V164">
        <v>5</v>
      </c>
      <c r="AF164" s="99" t="s">
        <v>272</v>
      </c>
      <c r="AH164">
        <v>1</v>
      </c>
      <c r="AI164">
        <v>1.02621483239062</v>
      </c>
      <c r="AJ164">
        <v>1.22119565054484</v>
      </c>
      <c r="AK164">
        <v>1.38784904257775</v>
      </c>
      <c r="AL164">
        <v>1.5285762184508</v>
      </c>
      <c r="AM164">
        <v>1.63888949552538</v>
      </c>
      <c r="AN164">
        <v>1.72357630623467</v>
      </c>
      <c r="AO164">
        <v>1.79283349626876</v>
      </c>
      <c r="AP164">
        <v>1.85482924752953</v>
      </c>
      <c r="AQ164">
        <v>1.91218851178937</v>
      </c>
      <c r="AR164">
        <v>1.96545083867851</v>
      </c>
      <c r="AS164">
        <v>2.01132968580655</v>
      </c>
      <c r="AT164">
        <v>2.05220699350528</v>
      </c>
      <c r="AU164">
        <v>2.08953761881332</v>
      </c>
      <c r="AV164">
        <v>2.12524424255582</v>
      </c>
      <c r="AW164">
        <v>2.16064148168893</v>
      </c>
      <c r="AX164">
        <v>2.19610937613075</v>
      </c>
      <c r="AY164">
        <v>2.22905937229824</v>
      </c>
      <c r="AZ164">
        <v>0</v>
      </c>
      <c r="BA164">
        <v>0</v>
      </c>
      <c r="BB164">
        <v>0</v>
      </c>
      <c r="BC164">
        <v>0</v>
      </c>
      <c r="BD164">
        <v>0</v>
      </c>
      <c r="BE164">
        <v>0</v>
      </c>
      <c r="BF164">
        <v>0</v>
      </c>
      <c r="BG164">
        <v>0</v>
      </c>
      <c r="BI164" t="s">
        <v>287</v>
      </c>
      <c r="BK164">
        <v>0.8</v>
      </c>
      <c r="BL164">
        <v>0.797560975609756</v>
      </c>
      <c r="BM164">
        <v>0.785365853658536</v>
      </c>
      <c r="BN164">
        <v>0.773170731707317</v>
      </c>
      <c r="BO164">
        <v>0.760975609756097</v>
      </c>
      <c r="BP164">
        <v>0.748780487804878</v>
      </c>
      <c r="BQ164">
        <v>0.736585365853658</v>
      </c>
      <c r="BR164">
        <v>0.724390243902439</v>
      </c>
      <c r="BS164">
        <v>0.71219512195122</v>
      </c>
      <c r="BT164">
        <v>0.699999999999999</v>
      </c>
      <c r="BU164">
        <v>0.687499999999999</v>
      </c>
      <c r="BV164">
        <v>0.675</v>
      </c>
      <c r="BW164">
        <v>0.6625</v>
      </c>
      <c r="BX164">
        <v>0.649999999999999</v>
      </c>
      <c r="BY164">
        <v>0.637499999999999</v>
      </c>
      <c r="BZ164">
        <v>0.625</v>
      </c>
      <c r="CA164">
        <v>0.6125</v>
      </c>
      <c r="CB164">
        <v>0.6</v>
      </c>
      <c r="CC164" t="e">
        <v>#VALUE!</v>
      </c>
      <c r="CD164" t="e">
        <v>#VALUE!</v>
      </c>
      <c r="CE164" t="e">
        <v>#VALUE!</v>
      </c>
      <c r="CF164" t="e">
        <v>#VALUE!</v>
      </c>
      <c r="CG164" t="e">
        <v>#VALUE!</v>
      </c>
      <c r="CH164" t="e">
        <v>#VALUE!</v>
      </c>
      <c r="CI164" t="e">
        <v>#VALUE!</v>
      </c>
      <c r="CJ164" t="e">
        <v>#VALUE!</v>
      </c>
    </row>
    <row r="165" spans="1:88">
      <c r="A165" t="s">
        <v>17</v>
      </c>
      <c r="B165" t="s">
        <v>280</v>
      </c>
      <c r="C165" t="s">
        <v>280</v>
      </c>
      <c r="D165">
        <v>1.855</v>
      </c>
      <c r="E165">
        <v>1.84588592025631</v>
      </c>
      <c r="F165">
        <v>1.80095600813599</v>
      </c>
      <c r="G165">
        <v>1.76106431680021</v>
      </c>
      <c r="H165">
        <v>1.72004808657804</v>
      </c>
      <c r="I165">
        <v>1.68023404232009</v>
      </c>
      <c r="J165">
        <v>1.64191219533414</v>
      </c>
      <c r="K165">
        <v>1.6055791943322</v>
      </c>
      <c r="L165">
        <v>1.57049267824715</v>
      </c>
      <c r="M165">
        <v>1.53521529071534</v>
      </c>
      <c r="N165">
        <v>1.49944977002713</v>
      </c>
      <c r="O165">
        <v>1.46465046730681</v>
      </c>
      <c r="P165">
        <v>1.43248181437752</v>
      </c>
      <c r="Q165">
        <v>1.4037393590439</v>
      </c>
      <c r="R165">
        <v>1.37833370525641</v>
      </c>
      <c r="S165">
        <v>1.35560370971818</v>
      </c>
      <c r="T165">
        <v>1.3346967760003</v>
      </c>
      <c r="U165">
        <v>1.31431594334986</v>
      </c>
      <c r="V165">
        <v>5</v>
      </c>
      <c r="AF165" s="99" t="s">
        <v>277</v>
      </c>
      <c r="AH165">
        <v>1</v>
      </c>
      <c r="AI165">
        <v>0.993839655291651</v>
      </c>
      <c r="AJ165">
        <v>0.963037931749907</v>
      </c>
      <c r="AK165">
        <v>0.935448209186594</v>
      </c>
      <c r="AL165">
        <v>0.906817669447105</v>
      </c>
      <c r="AM165">
        <v>0.878785212650304</v>
      </c>
      <c r="AN165">
        <v>0.851574726117705</v>
      </c>
      <c r="AO165">
        <v>0.825561062915208</v>
      </c>
      <c r="AP165">
        <v>0.80022969036693</v>
      </c>
      <c r="AQ165">
        <v>0.774550748708733</v>
      </c>
      <c r="AR165">
        <v>0.74830418571332</v>
      </c>
      <c r="AS165">
        <v>0.722575771339761</v>
      </c>
      <c r="AT165">
        <v>0.698620759317864</v>
      </c>
      <c r="AU165">
        <v>0.677055093171943</v>
      </c>
      <c r="AV165">
        <v>0.657833573577332</v>
      </c>
      <c r="AW165">
        <v>0.640476320673726</v>
      </c>
      <c r="AX165">
        <v>0.624349283813413</v>
      </c>
      <c r="AY165">
        <v>0.608459584497894</v>
      </c>
      <c r="AZ165">
        <v>0</v>
      </c>
      <c r="BA165">
        <v>0</v>
      </c>
      <c r="BB165">
        <v>0</v>
      </c>
      <c r="BC165">
        <v>0</v>
      </c>
      <c r="BD165">
        <v>0</v>
      </c>
      <c r="BE165">
        <v>0</v>
      </c>
      <c r="BF165">
        <v>0</v>
      </c>
      <c r="BG165">
        <v>0</v>
      </c>
      <c r="BI165" t="s">
        <v>287</v>
      </c>
      <c r="BK165">
        <v>0.8</v>
      </c>
      <c r="BL165">
        <v>0.797560975609756</v>
      </c>
      <c r="BM165">
        <v>0.785365853658536</v>
      </c>
      <c r="BN165">
        <v>0.773170731707317</v>
      </c>
      <c r="BO165">
        <v>0.760975609756097</v>
      </c>
      <c r="BP165">
        <v>0.748780487804878</v>
      </c>
      <c r="BQ165">
        <v>0.736585365853658</v>
      </c>
      <c r="BR165">
        <v>0.724390243902439</v>
      </c>
      <c r="BS165">
        <v>0.71219512195122</v>
      </c>
      <c r="BT165">
        <v>0.699999999999999</v>
      </c>
      <c r="BU165">
        <v>0.687499999999999</v>
      </c>
      <c r="BV165">
        <v>0.675</v>
      </c>
      <c r="BW165">
        <v>0.6625</v>
      </c>
      <c r="BX165">
        <v>0.649999999999999</v>
      </c>
      <c r="BY165">
        <v>0.637499999999999</v>
      </c>
      <c r="BZ165">
        <v>0.625</v>
      </c>
      <c r="CA165">
        <v>0.6125</v>
      </c>
      <c r="CB165">
        <v>0.6</v>
      </c>
      <c r="CC165" t="e">
        <v>#VALUE!</v>
      </c>
      <c r="CD165" t="e">
        <v>#VALUE!</v>
      </c>
      <c r="CE165" t="e">
        <v>#VALUE!</v>
      </c>
      <c r="CF165" t="e">
        <v>#VALUE!</v>
      </c>
      <c r="CG165" t="e">
        <v>#VALUE!</v>
      </c>
      <c r="CH165" t="e">
        <v>#VALUE!</v>
      </c>
      <c r="CI165" t="e">
        <v>#VALUE!</v>
      </c>
      <c r="CJ165" t="e">
        <v>#VALUE!</v>
      </c>
    </row>
    <row r="166" spans="1:88">
      <c r="A166" t="s">
        <v>17</v>
      </c>
      <c r="B166" t="s">
        <v>281</v>
      </c>
      <c r="C166" t="s">
        <v>281</v>
      </c>
      <c r="D166">
        <v>0.36</v>
      </c>
      <c r="E166">
        <v>0.358231229807154</v>
      </c>
      <c r="F166">
        <v>0.349511678128817</v>
      </c>
      <c r="G166">
        <v>0.341769894365539</v>
      </c>
      <c r="H166">
        <v>0.333809871249646</v>
      </c>
      <c r="I166">
        <v>0.326083156461043</v>
      </c>
      <c r="J166">
        <v>0.318646032517676</v>
      </c>
      <c r="K166">
        <v>0.311594884075252</v>
      </c>
      <c r="L166">
        <v>0.304785641061441</v>
      </c>
      <c r="M166">
        <v>0.297939355610524</v>
      </c>
      <c r="N166">
        <v>0.290998338118474</v>
      </c>
      <c r="O166">
        <v>0.28424483462558</v>
      </c>
      <c r="P166">
        <v>0.278001861550354</v>
      </c>
      <c r="Q166">
        <v>0.272423810919572</v>
      </c>
      <c r="R166">
        <v>0.267493333634667</v>
      </c>
      <c r="S166">
        <v>0.263082121562557</v>
      </c>
      <c r="T166">
        <v>0.259024711245341</v>
      </c>
      <c r="U166">
        <v>0.255069401404825</v>
      </c>
      <c r="V166">
        <v>5</v>
      </c>
      <c r="AF166" s="99" t="s">
        <v>277</v>
      </c>
      <c r="AH166">
        <v>1</v>
      </c>
      <c r="AI166">
        <v>0.993839655291651</v>
      </c>
      <c r="AJ166">
        <v>0.963037931749907</v>
      </c>
      <c r="AK166">
        <v>0.935448209186594</v>
      </c>
      <c r="AL166">
        <v>0.906817669447105</v>
      </c>
      <c r="AM166">
        <v>0.878785212650304</v>
      </c>
      <c r="AN166">
        <v>0.851574726117705</v>
      </c>
      <c r="AO166">
        <v>0.825561062915208</v>
      </c>
      <c r="AP166">
        <v>0.80022969036693</v>
      </c>
      <c r="AQ166">
        <v>0.774550748708733</v>
      </c>
      <c r="AR166">
        <v>0.74830418571332</v>
      </c>
      <c r="AS166">
        <v>0.722575771339761</v>
      </c>
      <c r="AT166">
        <v>0.698620759317864</v>
      </c>
      <c r="AU166">
        <v>0.677055093171943</v>
      </c>
      <c r="AV166">
        <v>0.657833573577332</v>
      </c>
      <c r="AW166">
        <v>0.640476320673726</v>
      </c>
      <c r="AX166">
        <v>0.624349283813413</v>
      </c>
      <c r="AY166">
        <v>0.608459584497894</v>
      </c>
      <c r="AZ166">
        <v>0</v>
      </c>
      <c r="BA166">
        <v>0</v>
      </c>
      <c r="BB166">
        <v>0</v>
      </c>
      <c r="BC166">
        <v>0</v>
      </c>
      <c r="BD166">
        <v>0</v>
      </c>
      <c r="BE166">
        <v>0</v>
      </c>
      <c r="BF166">
        <v>0</v>
      </c>
      <c r="BG166">
        <v>0</v>
      </c>
      <c r="BI166" t="s">
        <v>287</v>
      </c>
      <c r="BK166">
        <v>0.8</v>
      </c>
      <c r="BL166">
        <v>0.797560975609756</v>
      </c>
      <c r="BM166">
        <v>0.785365853658536</v>
      </c>
      <c r="BN166">
        <v>0.773170731707317</v>
      </c>
      <c r="BO166">
        <v>0.760975609756097</v>
      </c>
      <c r="BP166">
        <v>0.748780487804878</v>
      </c>
      <c r="BQ166">
        <v>0.736585365853658</v>
      </c>
      <c r="BR166">
        <v>0.724390243902439</v>
      </c>
      <c r="BS166">
        <v>0.71219512195122</v>
      </c>
      <c r="BT166">
        <v>0.699999999999999</v>
      </c>
      <c r="BU166">
        <v>0.687499999999999</v>
      </c>
      <c r="BV166">
        <v>0.675</v>
      </c>
      <c r="BW166">
        <v>0.6625</v>
      </c>
      <c r="BX166">
        <v>0.649999999999999</v>
      </c>
      <c r="BY166">
        <v>0.637499999999999</v>
      </c>
      <c r="BZ166">
        <v>0.625</v>
      </c>
      <c r="CA166">
        <v>0.6125</v>
      </c>
      <c r="CB166">
        <v>0.6</v>
      </c>
      <c r="CC166" t="e">
        <v>#VALUE!</v>
      </c>
      <c r="CD166" t="e">
        <v>#VALUE!</v>
      </c>
      <c r="CE166" t="e">
        <v>#VALUE!</v>
      </c>
      <c r="CF166" t="e">
        <v>#VALUE!</v>
      </c>
      <c r="CG166" t="e">
        <v>#VALUE!</v>
      </c>
      <c r="CH166" t="e">
        <v>#VALUE!</v>
      </c>
      <c r="CI166" t="e">
        <v>#VALUE!</v>
      </c>
      <c r="CJ166" t="e">
        <v>#VALUE!</v>
      </c>
    </row>
    <row r="167" spans="1:88">
      <c r="A167" t="s">
        <v>17</v>
      </c>
      <c r="B167" t="s">
        <v>282</v>
      </c>
      <c r="C167" t="s">
        <v>282</v>
      </c>
      <c r="D167">
        <v>2.94</v>
      </c>
      <c r="E167">
        <v>2.92555504342509</v>
      </c>
      <c r="F167">
        <v>2.85434537138534</v>
      </c>
      <c r="G167">
        <v>2.79112080398524</v>
      </c>
      <c r="H167">
        <v>2.72611394853878</v>
      </c>
      <c r="I167">
        <v>2.66301244443185</v>
      </c>
      <c r="J167">
        <v>2.60227593222769</v>
      </c>
      <c r="K167">
        <v>2.54469155328122</v>
      </c>
      <c r="L167">
        <v>2.4890827353351</v>
      </c>
      <c r="M167">
        <v>2.43317140415261</v>
      </c>
      <c r="N167">
        <v>2.37648642796753</v>
      </c>
      <c r="O167">
        <v>2.3213328161089</v>
      </c>
      <c r="P167">
        <v>2.27034853599456</v>
      </c>
      <c r="Q167">
        <v>2.22479445584317</v>
      </c>
      <c r="R167">
        <v>2.18452889134978</v>
      </c>
      <c r="S167">
        <v>2.14850399276088</v>
      </c>
      <c r="T167">
        <v>2.11536847517029</v>
      </c>
      <c r="U167">
        <v>2.0830667781394</v>
      </c>
      <c r="V167">
        <v>5</v>
      </c>
      <c r="AF167" s="99" t="s">
        <v>277</v>
      </c>
      <c r="AH167">
        <v>1</v>
      </c>
      <c r="AI167">
        <v>0.993839655291651</v>
      </c>
      <c r="AJ167">
        <v>0.963037931749907</v>
      </c>
      <c r="AK167">
        <v>0.935448209186594</v>
      </c>
      <c r="AL167">
        <v>0.906817669447105</v>
      </c>
      <c r="AM167">
        <v>0.878785212650304</v>
      </c>
      <c r="AN167">
        <v>0.851574726117705</v>
      </c>
      <c r="AO167">
        <v>0.825561062915208</v>
      </c>
      <c r="AP167">
        <v>0.80022969036693</v>
      </c>
      <c r="AQ167">
        <v>0.774550748708733</v>
      </c>
      <c r="AR167">
        <v>0.74830418571332</v>
      </c>
      <c r="AS167">
        <v>0.722575771339761</v>
      </c>
      <c r="AT167">
        <v>0.698620759317864</v>
      </c>
      <c r="AU167">
        <v>0.677055093171943</v>
      </c>
      <c r="AV167">
        <v>0.657833573577332</v>
      </c>
      <c r="AW167">
        <v>0.640476320673726</v>
      </c>
      <c r="AX167">
        <v>0.624349283813413</v>
      </c>
      <c r="AY167">
        <v>0.608459584497894</v>
      </c>
      <c r="AZ167">
        <v>0</v>
      </c>
      <c r="BA167">
        <v>0</v>
      </c>
      <c r="BB167">
        <v>0</v>
      </c>
      <c r="BC167">
        <v>0</v>
      </c>
      <c r="BD167">
        <v>0</v>
      </c>
      <c r="BE167">
        <v>0</v>
      </c>
      <c r="BF167">
        <v>0</v>
      </c>
      <c r="BG167">
        <v>0</v>
      </c>
      <c r="BI167" t="s">
        <v>287</v>
      </c>
      <c r="BK167">
        <v>0.8</v>
      </c>
      <c r="BL167">
        <v>0.797560975609756</v>
      </c>
      <c r="BM167">
        <v>0.785365853658536</v>
      </c>
      <c r="BN167">
        <v>0.773170731707317</v>
      </c>
      <c r="BO167">
        <v>0.760975609756097</v>
      </c>
      <c r="BP167">
        <v>0.748780487804878</v>
      </c>
      <c r="BQ167">
        <v>0.736585365853658</v>
      </c>
      <c r="BR167">
        <v>0.724390243902439</v>
      </c>
      <c r="BS167">
        <v>0.71219512195122</v>
      </c>
      <c r="BT167">
        <v>0.699999999999999</v>
      </c>
      <c r="BU167">
        <v>0.687499999999999</v>
      </c>
      <c r="BV167">
        <v>0.675</v>
      </c>
      <c r="BW167">
        <v>0.6625</v>
      </c>
      <c r="BX167">
        <v>0.649999999999999</v>
      </c>
      <c r="BY167">
        <v>0.637499999999999</v>
      </c>
      <c r="BZ167">
        <v>0.625</v>
      </c>
      <c r="CA167">
        <v>0.6125</v>
      </c>
      <c r="CB167">
        <v>0.6</v>
      </c>
      <c r="CC167" t="e">
        <v>#VALUE!</v>
      </c>
      <c r="CD167" t="e">
        <v>#VALUE!</v>
      </c>
      <c r="CE167" t="e">
        <v>#VALUE!</v>
      </c>
      <c r="CF167" t="e">
        <v>#VALUE!</v>
      </c>
      <c r="CG167" t="e">
        <v>#VALUE!</v>
      </c>
      <c r="CH167" t="e">
        <v>#VALUE!</v>
      </c>
      <c r="CI167" t="e">
        <v>#VALUE!</v>
      </c>
      <c r="CJ167" t="e">
        <v>#VALUE!</v>
      </c>
    </row>
    <row r="168" spans="1:88">
      <c r="A168" t="s">
        <v>17</v>
      </c>
      <c r="B168" t="s">
        <v>283</v>
      </c>
      <c r="C168" t="s">
        <v>283</v>
      </c>
      <c r="D168">
        <v>108.66</v>
      </c>
      <c r="E168">
        <v>111.483120579211</v>
      </c>
      <c r="F168">
        <v>131.450997343658</v>
      </c>
      <c r="G168">
        <v>148.727354809864</v>
      </c>
      <c r="H168">
        <v>164.139180270184</v>
      </c>
      <c r="I168">
        <v>177.212318632682</v>
      </c>
      <c r="J168">
        <v>188.343768234989</v>
      </c>
      <c r="K168">
        <v>198.297843458347</v>
      </c>
      <c r="L168">
        <v>207.806572265739</v>
      </c>
      <c r="M168">
        <v>217.276734164386</v>
      </c>
      <c r="N168">
        <v>226.82284193878</v>
      </c>
      <c r="O168">
        <v>235.975535460544</v>
      </c>
      <c r="P168">
        <v>244.622264431406</v>
      </c>
      <c r="Q168">
        <v>252.671395495324</v>
      </c>
      <c r="R168">
        <v>260.210978277129</v>
      </c>
      <c r="S168">
        <v>267.400530192511</v>
      </c>
      <c r="T168">
        <v>274.389079745819</v>
      </c>
      <c r="U168">
        <v>281.223056559144</v>
      </c>
      <c r="V168">
        <v>5</v>
      </c>
      <c r="AF168" s="99" t="s">
        <v>284</v>
      </c>
      <c r="AH168">
        <v>1</v>
      </c>
      <c r="AI168">
        <v>1.03257585559863</v>
      </c>
      <c r="AJ168">
        <v>1.26806599229777</v>
      </c>
      <c r="AK168">
        <v>1.48361932702242</v>
      </c>
      <c r="AL168">
        <v>1.68564891262296</v>
      </c>
      <c r="AM168">
        <v>1.8649488770785</v>
      </c>
      <c r="AN168">
        <v>2.02398715388417</v>
      </c>
      <c r="AO168">
        <v>2.17165461987503</v>
      </c>
      <c r="AP168">
        <v>2.31787106859161</v>
      </c>
      <c r="AQ168">
        <v>2.46877111019157</v>
      </c>
      <c r="AR168">
        <v>2.6265399502008</v>
      </c>
      <c r="AS168">
        <v>2.78355539388934</v>
      </c>
      <c r="AT168">
        <v>2.93751218545103</v>
      </c>
      <c r="AU168">
        <v>3.08621505086687</v>
      </c>
      <c r="AV168">
        <v>3.23067159828684</v>
      </c>
      <c r="AW168">
        <v>3.37349159047147</v>
      </c>
      <c r="AX168">
        <v>3.51743716708908</v>
      </c>
      <c r="AY168">
        <v>3.66344688963635</v>
      </c>
      <c r="AZ168">
        <v>0</v>
      </c>
      <c r="BA168">
        <v>0</v>
      </c>
      <c r="BB168">
        <v>0</v>
      </c>
      <c r="BC168">
        <v>0</v>
      </c>
      <c r="BD168">
        <v>0</v>
      </c>
      <c r="BE168">
        <v>0</v>
      </c>
      <c r="BF168">
        <v>0</v>
      </c>
      <c r="BG168">
        <v>0</v>
      </c>
      <c r="BI168" t="s">
        <v>287</v>
      </c>
      <c r="BK168">
        <v>0.8</v>
      </c>
      <c r="BL168">
        <v>0.797560975609756</v>
      </c>
      <c r="BM168">
        <v>0.785365853658536</v>
      </c>
      <c r="BN168">
        <v>0.773170731707317</v>
      </c>
      <c r="BO168">
        <v>0.760975609756097</v>
      </c>
      <c r="BP168">
        <v>0.748780487804878</v>
      </c>
      <c r="BQ168">
        <v>0.736585365853658</v>
      </c>
      <c r="BR168">
        <v>0.724390243902439</v>
      </c>
      <c r="BS168">
        <v>0.71219512195122</v>
      </c>
      <c r="BT168">
        <v>0.699999999999999</v>
      </c>
      <c r="BU168">
        <v>0.687499999999999</v>
      </c>
      <c r="BV168">
        <v>0.675</v>
      </c>
      <c r="BW168">
        <v>0.6625</v>
      </c>
      <c r="BX168">
        <v>0.649999999999999</v>
      </c>
      <c r="BY168">
        <v>0.637499999999999</v>
      </c>
      <c r="BZ168">
        <v>0.625</v>
      </c>
      <c r="CA168">
        <v>0.6125</v>
      </c>
      <c r="CB168">
        <v>0.6</v>
      </c>
      <c r="CC168" t="e">
        <v>#VALUE!</v>
      </c>
      <c r="CD168" t="e">
        <v>#VALUE!</v>
      </c>
      <c r="CE168" t="e">
        <v>#VALUE!</v>
      </c>
      <c r="CF168" t="e">
        <v>#VALUE!</v>
      </c>
      <c r="CG168" t="e">
        <v>#VALUE!</v>
      </c>
      <c r="CH168" t="e">
        <v>#VALUE!</v>
      </c>
      <c r="CI168" t="e">
        <v>#VALUE!</v>
      </c>
      <c r="CJ168" t="e">
        <v>#VALUE!</v>
      </c>
    </row>
    <row r="169" spans="1:88">
      <c r="A169" t="s">
        <v>17</v>
      </c>
      <c r="B169" t="s">
        <v>285</v>
      </c>
      <c r="C169" t="s">
        <v>285</v>
      </c>
      <c r="D169">
        <v>36.7</v>
      </c>
      <c r="E169">
        <v>37.4673209317966</v>
      </c>
      <c r="F169">
        <v>43.0581762844974</v>
      </c>
      <c r="G169">
        <v>47.6013563048872</v>
      </c>
      <c r="H169">
        <v>51.2743975632423</v>
      </c>
      <c r="I169">
        <v>54.0451375537087</v>
      </c>
      <c r="J169">
        <v>56.102192151888</v>
      </c>
      <c r="K169">
        <v>57.7351943737215</v>
      </c>
      <c r="L169">
        <v>59.1570699567237</v>
      </c>
      <c r="M169">
        <v>60.4376429308147</v>
      </c>
      <c r="N169">
        <v>61.5950060849238</v>
      </c>
      <c r="O169">
        <v>62.5655151271122</v>
      </c>
      <c r="P169">
        <v>63.4079181718187</v>
      </c>
      <c r="Q169">
        <v>64.1576413759166</v>
      </c>
      <c r="R169">
        <v>64.8565608985283</v>
      </c>
      <c r="S169">
        <v>65.5317018862988</v>
      </c>
      <c r="T169">
        <v>66.1905878221129</v>
      </c>
      <c r="U169">
        <v>66.7864542134959</v>
      </c>
      <c r="V169">
        <v>5</v>
      </c>
      <c r="AF169" s="99" t="s">
        <v>272</v>
      </c>
      <c r="AH169">
        <v>1</v>
      </c>
      <c r="AI169">
        <v>1.02621483239062</v>
      </c>
      <c r="AJ169">
        <v>1.22119565054484</v>
      </c>
      <c r="AK169">
        <v>1.38784904257775</v>
      </c>
      <c r="AL169">
        <v>1.5285762184508</v>
      </c>
      <c r="AM169">
        <v>1.63888949552538</v>
      </c>
      <c r="AN169">
        <v>1.72357630623467</v>
      </c>
      <c r="AO169">
        <v>1.79283349626876</v>
      </c>
      <c r="AP169">
        <v>1.85482924752953</v>
      </c>
      <c r="AQ169">
        <v>1.91218851178937</v>
      </c>
      <c r="AR169">
        <v>1.96545083867851</v>
      </c>
      <c r="AS169">
        <v>2.01132968580655</v>
      </c>
      <c r="AT169">
        <v>2.05220699350528</v>
      </c>
      <c r="AU169">
        <v>2.08953761881332</v>
      </c>
      <c r="AV169">
        <v>2.12524424255582</v>
      </c>
      <c r="AW169">
        <v>2.16064148168893</v>
      </c>
      <c r="AX169">
        <v>2.19610937613075</v>
      </c>
      <c r="AY169">
        <v>2.22905937229824</v>
      </c>
      <c r="AZ169">
        <v>0</v>
      </c>
      <c r="BA169">
        <v>0</v>
      </c>
      <c r="BB169">
        <v>0</v>
      </c>
      <c r="BC169">
        <v>0</v>
      </c>
      <c r="BD169">
        <v>0</v>
      </c>
      <c r="BE169">
        <v>0</v>
      </c>
      <c r="BF169">
        <v>0</v>
      </c>
      <c r="BG169">
        <v>0</v>
      </c>
      <c r="BI169" t="s">
        <v>287</v>
      </c>
      <c r="BK169">
        <v>0.8</v>
      </c>
      <c r="BL169">
        <v>0.797560975609756</v>
      </c>
      <c r="BM169">
        <v>0.785365853658536</v>
      </c>
      <c r="BN169">
        <v>0.773170731707317</v>
      </c>
      <c r="BO169">
        <v>0.760975609756097</v>
      </c>
      <c r="BP169">
        <v>0.748780487804878</v>
      </c>
      <c r="BQ169">
        <v>0.736585365853658</v>
      </c>
      <c r="BR169">
        <v>0.724390243902439</v>
      </c>
      <c r="BS169">
        <v>0.71219512195122</v>
      </c>
      <c r="BT169">
        <v>0.699999999999999</v>
      </c>
      <c r="BU169">
        <v>0.687499999999999</v>
      </c>
      <c r="BV169">
        <v>0.675</v>
      </c>
      <c r="BW169">
        <v>0.6625</v>
      </c>
      <c r="BX169">
        <v>0.649999999999999</v>
      </c>
      <c r="BY169">
        <v>0.637499999999999</v>
      </c>
      <c r="BZ169">
        <v>0.625</v>
      </c>
      <c r="CA169">
        <v>0.6125</v>
      </c>
      <c r="CB169">
        <v>0.6</v>
      </c>
      <c r="CC169" t="e">
        <v>#VALUE!</v>
      </c>
      <c r="CD169" t="e">
        <v>#VALUE!</v>
      </c>
      <c r="CE169" t="e">
        <v>#VALUE!</v>
      </c>
      <c r="CF169" t="e">
        <v>#VALUE!</v>
      </c>
      <c r="CG169" t="e">
        <v>#VALUE!</v>
      </c>
      <c r="CH169" t="e">
        <v>#VALUE!</v>
      </c>
      <c r="CI169" t="e">
        <v>#VALUE!</v>
      </c>
      <c r="CJ169" t="e">
        <v>#VALUE!</v>
      </c>
    </row>
    <row r="170" spans="1:88">
      <c r="A170" t="s">
        <v>17</v>
      </c>
      <c r="B170" t="s">
        <v>286</v>
      </c>
      <c r="C170" t="s">
        <v>286</v>
      </c>
      <c r="D170">
        <v>26.56</v>
      </c>
      <c r="E170">
        <v>27.1153145490059</v>
      </c>
      <c r="F170">
        <v>31.1614485590259</v>
      </c>
      <c r="G170">
        <v>34.4493739361799</v>
      </c>
      <c r="H170">
        <v>37.1075749122538</v>
      </c>
      <c r="I170">
        <v>39.1127752977249</v>
      </c>
      <c r="J170">
        <v>40.6014774810394</v>
      </c>
      <c r="K170">
        <v>41.7832905331347</v>
      </c>
      <c r="L170">
        <v>42.8123100286262</v>
      </c>
      <c r="M170">
        <v>43.7390680175052</v>
      </c>
      <c r="N170">
        <v>44.5766583546479</v>
      </c>
      <c r="O170">
        <v>45.2790213018011</v>
      </c>
      <c r="P170">
        <v>45.8886732055451</v>
      </c>
      <c r="Q170">
        <v>46.43125217832</v>
      </c>
      <c r="R170">
        <v>46.9370642361011</v>
      </c>
      <c r="S170">
        <v>47.4256676321552</v>
      </c>
      <c r="T170">
        <v>47.9025071540959</v>
      </c>
      <c r="U170">
        <v>48.3337390711295</v>
      </c>
      <c r="V170">
        <v>5</v>
      </c>
      <c r="AF170" s="99" t="s">
        <v>272</v>
      </c>
      <c r="AH170">
        <v>1</v>
      </c>
      <c r="AI170">
        <v>1.02621483239062</v>
      </c>
      <c r="AJ170">
        <v>1.22119565054484</v>
      </c>
      <c r="AK170">
        <v>1.38784904257775</v>
      </c>
      <c r="AL170">
        <v>1.5285762184508</v>
      </c>
      <c r="AM170">
        <v>1.63888949552538</v>
      </c>
      <c r="AN170">
        <v>1.72357630623467</v>
      </c>
      <c r="AO170">
        <v>1.79283349626876</v>
      </c>
      <c r="AP170">
        <v>1.85482924752953</v>
      </c>
      <c r="AQ170">
        <v>1.91218851178937</v>
      </c>
      <c r="AR170">
        <v>1.96545083867851</v>
      </c>
      <c r="AS170">
        <v>2.01132968580655</v>
      </c>
      <c r="AT170">
        <v>2.05220699350528</v>
      </c>
      <c r="AU170">
        <v>2.08953761881332</v>
      </c>
      <c r="AV170">
        <v>2.12524424255582</v>
      </c>
      <c r="AW170">
        <v>2.16064148168893</v>
      </c>
      <c r="AX170">
        <v>2.19610937613075</v>
      </c>
      <c r="AY170">
        <v>2.22905937229824</v>
      </c>
      <c r="AZ170">
        <v>0</v>
      </c>
      <c r="BA170">
        <v>0</v>
      </c>
      <c r="BB170">
        <v>0</v>
      </c>
      <c r="BC170">
        <v>0</v>
      </c>
      <c r="BD170">
        <v>0</v>
      </c>
      <c r="BE170">
        <v>0</v>
      </c>
      <c r="BF170">
        <v>0</v>
      </c>
      <c r="BG170">
        <v>0</v>
      </c>
      <c r="BI170" t="s">
        <v>287</v>
      </c>
      <c r="BK170">
        <v>0.8</v>
      </c>
      <c r="BL170">
        <v>0.797560975609756</v>
      </c>
      <c r="BM170">
        <v>0.785365853658536</v>
      </c>
      <c r="BN170">
        <v>0.773170731707317</v>
      </c>
      <c r="BO170">
        <v>0.760975609756097</v>
      </c>
      <c r="BP170">
        <v>0.748780487804878</v>
      </c>
      <c r="BQ170">
        <v>0.736585365853658</v>
      </c>
      <c r="BR170">
        <v>0.724390243902439</v>
      </c>
      <c r="BS170">
        <v>0.71219512195122</v>
      </c>
      <c r="BT170">
        <v>0.699999999999999</v>
      </c>
      <c r="BU170">
        <v>0.687499999999999</v>
      </c>
      <c r="BV170">
        <v>0.675</v>
      </c>
      <c r="BW170">
        <v>0.6625</v>
      </c>
      <c r="BX170">
        <v>0.649999999999999</v>
      </c>
      <c r="BY170">
        <v>0.637499999999999</v>
      </c>
      <c r="BZ170">
        <v>0.625</v>
      </c>
      <c r="CA170">
        <v>0.6125</v>
      </c>
      <c r="CB170">
        <v>0.6</v>
      </c>
      <c r="CC170" t="e">
        <v>#VALUE!</v>
      </c>
      <c r="CD170" t="e">
        <v>#VALUE!</v>
      </c>
      <c r="CE170" t="e">
        <v>#VALUE!</v>
      </c>
      <c r="CF170" t="e">
        <v>#VALUE!</v>
      </c>
      <c r="CG170" t="e">
        <v>#VALUE!</v>
      </c>
      <c r="CH170" t="e">
        <v>#VALUE!</v>
      </c>
      <c r="CI170" t="e">
        <v>#VALUE!</v>
      </c>
      <c r="CJ170" t="e">
        <v>#VALUE!</v>
      </c>
    </row>
    <row r="171" spans="1:88">
      <c r="A171" t="s">
        <v>18</v>
      </c>
      <c r="B171" t="s">
        <v>271</v>
      </c>
      <c r="C171" t="s">
        <v>271</v>
      </c>
      <c r="D171">
        <v>0.3797260128</v>
      </c>
      <c r="E171">
        <v>0.385231112178535</v>
      </c>
      <c r="F171">
        <v>0.453913166632064</v>
      </c>
      <c r="G171">
        <v>0.503857650965712</v>
      </c>
      <c r="H171">
        <v>0.551463026589895</v>
      </c>
      <c r="I171">
        <v>0.597145130343153</v>
      </c>
      <c r="J171">
        <v>0.639300757365389</v>
      </c>
      <c r="K171">
        <v>0.676356744049765</v>
      </c>
      <c r="L171">
        <v>0.708467947118732</v>
      </c>
      <c r="M171">
        <v>0.737455905417045</v>
      </c>
      <c r="N171">
        <v>0.764376137283258</v>
      </c>
      <c r="O171">
        <v>0.78814327979527</v>
      </c>
      <c r="P171">
        <v>0.808423758349768</v>
      </c>
      <c r="Q171">
        <v>0.825172325421256</v>
      </c>
      <c r="R171">
        <v>0.838451757829002</v>
      </c>
      <c r="S171">
        <v>0.848709621200799</v>
      </c>
      <c r="T171">
        <v>0.856621337788975</v>
      </c>
      <c r="U171">
        <v>0.862860493818319</v>
      </c>
      <c r="V171">
        <v>5</v>
      </c>
      <c r="AF171" s="99" t="s">
        <v>272</v>
      </c>
      <c r="AH171">
        <v>1</v>
      </c>
      <c r="AI171">
        <v>1.01817736459544</v>
      </c>
      <c r="AJ171">
        <v>1.24931642627657</v>
      </c>
      <c r="AK171">
        <v>1.427108255292</v>
      </c>
      <c r="AL171">
        <v>1.60429626085173</v>
      </c>
      <c r="AM171">
        <v>1.78178048169162</v>
      </c>
      <c r="AN171">
        <v>1.95254859069884</v>
      </c>
      <c r="AO171">
        <v>2.10878506163556</v>
      </c>
      <c r="AP171">
        <v>2.24936199785814</v>
      </c>
      <c r="AQ171">
        <v>2.38084170711145</v>
      </c>
      <c r="AR171">
        <v>2.50725727436371</v>
      </c>
      <c r="AS171">
        <v>2.62275275138424</v>
      </c>
      <c r="AT171">
        <v>2.72462232551781</v>
      </c>
      <c r="AU171">
        <v>2.81146467063139</v>
      </c>
      <c r="AV171">
        <v>2.88243671246611</v>
      </c>
      <c r="AW171">
        <v>2.93886002688723</v>
      </c>
      <c r="AX171">
        <v>2.98358853419008</v>
      </c>
      <c r="AY171">
        <v>3.01980654863627</v>
      </c>
      <c r="AZ171">
        <v>0</v>
      </c>
      <c r="BA171">
        <v>0</v>
      </c>
      <c r="BB171">
        <v>0</v>
      </c>
      <c r="BC171">
        <v>0</v>
      </c>
      <c r="BD171">
        <v>0</v>
      </c>
      <c r="BE171">
        <v>0</v>
      </c>
      <c r="BF171">
        <v>0</v>
      </c>
      <c r="BG171">
        <v>0</v>
      </c>
      <c r="BI171" t="s">
        <v>287</v>
      </c>
      <c r="BK171">
        <v>0.8</v>
      </c>
      <c r="BL171">
        <v>0.797560975609756</v>
      </c>
      <c r="BM171">
        <v>0.785365853658536</v>
      </c>
      <c r="BN171">
        <v>0.773170731707317</v>
      </c>
      <c r="BO171">
        <v>0.760975609756097</v>
      </c>
      <c r="BP171">
        <v>0.748780487804878</v>
      </c>
      <c r="BQ171">
        <v>0.736585365853658</v>
      </c>
      <c r="BR171">
        <v>0.724390243902439</v>
      </c>
      <c r="BS171">
        <v>0.71219512195122</v>
      </c>
      <c r="BT171">
        <v>0.699999999999999</v>
      </c>
      <c r="BU171">
        <v>0.687499999999999</v>
      </c>
      <c r="BV171">
        <v>0.675</v>
      </c>
      <c r="BW171">
        <v>0.6625</v>
      </c>
      <c r="BX171">
        <v>0.649999999999999</v>
      </c>
      <c r="BY171">
        <v>0.637499999999999</v>
      </c>
      <c r="BZ171">
        <v>0.625</v>
      </c>
      <c r="CA171">
        <v>0.6125</v>
      </c>
      <c r="CB171">
        <v>0.6</v>
      </c>
      <c r="CC171" t="e">
        <v>#VALUE!</v>
      </c>
      <c r="CD171" t="e">
        <v>#VALUE!</v>
      </c>
      <c r="CE171" t="e">
        <v>#VALUE!</v>
      </c>
      <c r="CF171" t="e">
        <v>#VALUE!</v>
      </c>
      <c r="CG171" t="e">
        <v>#VALUE!</v>
      </c>
      <c r="CH171" t="e">
        <v>#VALUE!</v>
      </c>
      <c r="CI171" t="e">
        <v>#VALUE!</v>
      </c>
      <c r="CJ171" t="e">
        <v>#VALUE!</v>
      </c>
    </row>
    <row r="172" spans="1:88">
      <c r="A172" t="s">
        <v>18</v>
      </c>
      <c r="B172" t="s">
        <v>274</v>
      </c>
      <c r="C172" t="s">
        <v>274</v>
      </c>
      <c r="D172">
        <v>13.0422420648</v>
      </c>
      <c r="E172">
        <v>13.2313227078569</v>
      </c>
      <c r="F172">
        <v>15.5903077378408</v>
      </c>
      <c r="G172">
        <v>17.3057236759744</v>
      </c>
      <c r="H172">
        <v>18.9407995242107</v>
      </c>
      <c r="I172">
        <v>20.5098178034327</v>
      </c>
      <c r="J172">
        <v>21.9577141115189</v>
      </c>
      <c r="K172">
        <v>23.2304558568736</v>
      </c>
      <c r="L172">
        <v>24.3333618188046</v>
      </c>
      <c r="M172">
        <v>25.3289953976136</v>
      </c>
      <c r="N172">
        <v>26.2536099054551</v>
      </c>
      <c r="O172">
        <v>27.069926974556</v>
      </c>
      <c r="P172">
        <v>27.7664895001185</v>
      </c>
      <c r="Q172">
        <v>28.3417433900856</v>
      </c>
      <c r="R172">
        <v>28.797844805598</v>
      </c>
      <c r="S172">
        <v>29.1501660389423</v>
      </c>
      <c r="T172">
        <v>29.4219054494984</v>
      </c>
      <c r="U172">
        <v>29.6361983356105</v>
      </c>
      <c r="V172">
        <v>5</v>
      </c>
      <c r="AF172" s="99" t="s">
        <v>272</v>
      </c>
      <c r="AH172">
        <v>1</v>
      </c>
      <c r="AI172">
        <v>1.01817736459544</v>
      </c>
      <c r="AJ172">
        <v>1.24931642627657</v>
      </c>
      <c r="AK172">
        <v>1.427108255292</v>
      </c>
      <c r="AL172">
        <v>1.60429626085173</v>
      </c>
      <c r="AM172">
        <v>1.78178048169162</v>
      </c>
      <c r="AN172">
        <v>1.95254859069884</v>
      </c>
      <c r="AO172">
        <v>2.10878506163556</v>
      </c>
      <c r="AP172">
        <v>2.24936199785814</v>
      </c>
      <c r="AQ172">
        <v>2.38084170711145</v>
      </c>
      <c r="AR172">
        <v>2.50725727436371</v>
      </c>
      <c r="AS172">
        <v>2.62275275138424</v>
      </c>
      <c r="AT172">
        <v>2.72462232551781</v>
      </c>
      <c r="AU172">
        <v>2.81146467063139</v>
      </c>
      <c r="AV172">
        <v>2.88243671246611</v>
      </c>
      <c r="AW172">
        <v>2.93886002688723</v>
      </c>
      <c r="AX172">
        <v>2.98358853419008</v>
      </c>
      <c r="AY172">
        <v>3.01980654863627</v>
      </c>
      <c r="AZ172">
        <v>0</v>
      </c>
      <c r="BA172">
        <v>0</v>
      </c>
      <c r="BB172">
        <v>0</v>
      </c>
      <c r="BC172">
        <v>0</v>
      </c>
      <c r="BD172">
        <v>0</v>
      </c>
      <c r="BE172">
        <v>0</v>
      </c>
      <c r="BF172">
        <v>0</v>
      </c>
      <c r="BG172">
        <v>0</v>
      </c>
      <c r="BI172" t="s">
        <v>287</v>
      </c>
      <c r="BK172">
        <v>0.8</v>
      </c>
      <c r="BL172">
        <v>0.797560975609756</v>
      </c>
      <c r="BM172">
        <v>0.785365853658536</v>
      </c>
      <c r="BN172">
        <v>0.773170731707317</v>
      </c>
      <c r="BO172">
        <v>0.760975609756097</v>
      </c>
      <c r="BP172">
        <v>0.748780487804878</v>
      </c>
      <c r="BQ172">
        <v>0.736585365853658</v>
      </c>
      <c r="BR172">
        <v>0.724390243902439</v>
      </c>
      <c r="BS172">
        <v>0.71219512195122</v>
      </c>
      <c r="BT172">
        <v>0.699999999999999</v>
      </c>
      <c r="BU172">
        <v>0.687499999999999</v>
      </c>
      <c r="BV172">
        <v>0.675</v>
      </c>
      <c r="BW172">
        <v>0.6625</v>
      </c>
      <c r="BX172">
        <v>0.649999999999999</v>
      </c>
      <c r="BY172">
        <v>0.637499999999999</v>
      </c>
      <c r="BZ172">
        <v>0.625</v>
      </c>
      <c r="CA172">
        <v>0.6125</v>
      </c>
      <c r="CB172">
        <v>0.6</v>
      </c>
      <c r="CC172" t="e">
        <v>#VALUE!</v>
      </c>
      <c r="CD172" t="e">
        <v>#VALUE!</v>
      </c>
      <c r="CE172" t="e">
        <v>#VALUE!</v>
      </c>
      <c r="CF172" t="e">
        <v>#VALUE!</v>
      </c>
      <c r="CG172" t="e">
        <v>#VALUE!</v>
      </c>
      <c r="CH172" t="e">
        <v>#VALUE!</v>
      </c>
      <c r="CI172" t="e">
        <v>#VALUE!</v>
      </c>
      <c r="CJ172" t="e">
        <v>#VALUE!</v>
      </c>
    </row>
    <row r="173" spans="1:88">
      <c r="A173" t="s">
        <v>18</v>
      </c>
      <c r="B173" t="s">
        <v>275</v>
      </c>
      <c r="C173" t="s">
        <v>275</v>
      </c>
      <c r="D173">
        <v>0</v>
      </c>
      <c r="E173">
        <v>0</v>
      </c>
      <c r="F173">
        <v>0</v>
      </c>
      <c r="G173">
        <v>0</v>
      </c>
      <c r="H173">
        <v>0</v>
      </c>
      <c r="I173">
        <v>0</v>
      </c>
      <c r="J173">
        <v>0</v>
      </c>
      <c r="K173">
        <v>0</v>
      </c>
      <c r="L173">
        <v>0</v>
      </c>
      <c r="M173">
        <v>0</v>
      </c>
      <c r="N173">
        <v>0</v>
      </c>
      <c r="O173">
        <v>0</v>
      </c>
      <c r="P173">
        <v>0</v>
      </c>
      <c r="Q173">
        <v>0</v>
      </c>
      <c r="R173">
        <v>0</v>
      </c>
      <c r="S173">
        <v>0</v>
      </c>
      <c r="T173">
        <v>0</v>
      </c>
      <c r="U173">
        <v>0</v>
      </c>
      <c r="V173">
        <v>5</v>
      </c>
      <c r="AF173" s="99" t="s">
        <v>272</v>
      </c>
      <c r="AH173">
        <v>1</v>
      </c>
      <c r="AI173">
        <v>1.01817736459544</v>
      </c>
      <c r="AJ173">
        <v>1.24931642627657</v>
      </c>
      <c r="AK173">
        <v>1.427108255292</v>
      </c>
      <c r="AL173">
        <v>1.60429626085173</v>
      </c>
      <c r="AM173">
        <v>1.78178048169162</v>
      </c>
      <c r="AN173">
        <v>1.95254859069884</v>
      </c>
      <c r="AO173">
        <v>2.10878506163556</v>
      </c>
      <c r="AP173">
        <v>2.24936199785814</v>
      </c>
      <c r="AQ173">
        <v>2.38084170711145</v>
      </c>
      <c r="AR173">
        <v>2.50725727436371</v>
      </c>
      <c r="AS173">
        <v>2.62275275138424</v>
      </c>
      <c r="AT173">
        <v>2.72462232551781</v>
      </c>
      <c r="AU173">
        <v>2.81146467063139</v>
      </c>
      <c r="AV173">
        <v>2.88243671246611</v>
      </c>
      <c r="AW173">
        <v>2.93886002688723</v>
      </c>
      <c r="AX173">
        <v>2.98358853419008</v>
      </c>
      <c r="AY173">
        <v>3.01980654863627</v>
      </c>
      <c r="AZ173">
        <v>0</v>
      </c>
      <c r="BA173">
        <v>0</v>
      </c>
      <c r="BB173">
        <v>0</v>
      </c>
      <c r="BC173">
        <v>0</v>
      </c>
      <c r="BD173">
        <v>0</v>
      </c>
      <c r="BE173">
        <v>0</v>
      </c>
      <c r="BF173">
        <v>0</v>
      </c>
      <c r="BG173">
        <v>0</v>
      </c>
      <c r="BI173" t="s">
        <v>287</v>
      </c>
      <c r="BK173">
        <v>0.8</v>
      </c>
      <c r="BL173">
        <v>0.797560975609756</v>
      </c>
      <c r="BM173">
        <v>0.785365853658536</v>
      </c>
      <c r="BN173">
        <v>0.773170731707317</v>
      </c>
      <c r="BO173">
        <v>0.760975609756097</v>
      </c>
      <c r="BP173">
        <v>0.748780487804878</v>
      </c>
      <c r="BQ173">
        <v>0.736585365853658</v>
      </c>
      <c r="BR173">
        <v>0.724390243902439</v>
      </c>
      <c r="BS173">
        <v>0.71219512195122</v>
      </c>
      <c r="BT173">
        <v>0.699999999999999</v>
      </c>
      <c r="BU173">
        <v>0.687499999999999</v>
      </c>
      <c r="BV173">
        <v>0.675</v>
      </c>
      <c r="BW173">
        <v>0.6625</v>
      </c>
      <c r="BX173">
        <v>0.649999999999999</v>
      </c>
      <c r="BY173">
        <v>0.637499999999999</v>
      </c>
      <c r="BZ173">
        <v>0.625</v>
      </c>
      <c r="CA173">
        <v>0.6125</v>
      </c>
      <c r="CB173">
        <v>0.6</v>
      </c>
      <c r="CC173" t="e">
        <v>#VALUE!</v>
      </c>
      <c r="CD173" t="e">
        <v>#VALUE!</v>
      </c>
      <c r="CE173" t="e">
        <v>#VALUE!</v>
      </c>
      <c r="CF173" t="e">
        <v>#VALUE!</v>
      </c>
      <c r="CG173" t="e">
        <v>#VALUE!</v>
      </c>
      <c r="CH173" t="e">
        <v>#VALUE!</v>
      </c>
      <c r="CI173" t="e">
        <v>#VALUE!</v>
      </c>
      <c r="CJ173" t="e">
        <v>#VALUE!</v>
      </c>
    </row>
    <row r="174" spans="1:88">
      <c r="A174" t="s">
        <v>18</v>
      </c>
      <c r="B174" t="s">
        <v>276</v>
      </c>
      <c r="C174" t="s">
        <v>276</v>
      </c>
      <c r="D174">
        <v>0</v>
      </c>
      <c r="E174">
        <v>0</v>
      </c>
      <c r="F174">
        <v>0</v>
      </c>
      <c r="G174">
        <v>0</v>
      </c>
      <c r="H174">
        <v>0</v>
      </c>
      <c r="I174">
        <v>0</v>
      </c>
      <c r="J174">
        <v>0</v>
      </c>
      <c r="K174">
        <v>0</v>
      </c>
      <c r="L174">
        <v>0</v>
      </c>
      <c r="M174">
        <v>0</v>
      </c>
      <c r="N174">
        <v>0</v>
      </c>
      <c r="O174">
        <v>0</v>
      </c>
      <c r="P174">
        <v>0</v>
      </c>
      <c r="Q174">
        <v>0</v>
      </c>
      <c r="R174">
        <v>0</v>
      </c>
      <c r="S174">
        <v>0</v>
      </c>
      <c r="T174">
        <v>0</v>
      </c>
      <c r="U174">
        <v>0</v>
      </c>
      <c r="V174">
        <v>5</v>
      </c>
      <c r="AF174" s="99" t="s">
        <v>277</v>
      </c>
      <c r="AH174">
        <v>1</v>
      </c>
      <c r="AI174">
        <v>1.00675128244523</v>
      </c>
      <c r="AJ174">
        <v>1.04050769467137</v>
      </c>
      <c r="AK174">
        <v>1.06963558770311</v>
      </c>
      <c r="AL174">
        <v>1.09619914293641</v>
      </c>
      <c r="AM174">
        <v>1.11979768259025</v>
      </c>
      <c r="AN174">
        <v>1.14095070613241</v>
      </c>
      <c r="AO174">
        <v>1.16120289549108</v>
      </c>
      <c r="AP174">
        <v>1.17864757708764</v>
      </c>
      <c r="AQ174">
        <v>1.19442599177422</v>
      </c>
      <c r="AR174">
        <v>1.20867354100785</v>
      </c>
      <c r="AS174">
        <v>1.22107797244884</v>
      </c>
      <c r="AT174">
        <v>1.23124966149636</v>
      </c>
      <c r="AU174">
        <v>1.23865805550244</v>
      </c>
      <c r="AV174">
        <v>1.24298261224228</v>
      </c>
      <c r="AW174">
        <v>1.24450795110515</v>
      </c>
      <c r="AX174">
        <v>1.24472072482334</v>
      </c>
      <c r="AY174">
        <v>1.24555247663081</v>
      </c>
      <c r="AZ174">
        <v>0</v>
      </c>
      <c r="BA174">
        <v>0</v>
      </c>
      <c r="BB174">
        <v>0</v>
      </c>
      <c r="BC174">
        <v>0</v>
      </c>
      <c r="BD174">
        <v>0</v>
      </c>
      <c r="BE174">
        <v>0</v>
      </c>
      <c r="BF174">
        <v>0</v>
      </c>
      <c r="BG174">
        <v>0</v>
      </c>
      <c r="BI174" t="s">
        <v>287</v>
      </c>
      <c r="BK174">
        <v>0.8</v>
      </c>
      <c r="BL174">
        <v>0.797560975609756</v>
      </c>
      <c r="BM174">
        <v>0.785365853658536</v>
      </c>
      <c r="BN174">
        <v>0.773170731707317</v>
      </c>
      <c r="BO174">
        <v>0.760975609756097</v>
      </c>
      <c r="BP174">
        <v>0.748780487804878</v>
      </c>
      <c r="BQ174">
        <v>0.736585365853658</v>
      </c>
      <c r="BR174">
        <v>0.724390243902439</v>
      </c>
      <c r="BS174">
        <v>0.71219512195122</v>
      </c>
      <c r="BT174">
        <v>0.699999999999999</v>
      </c>
      <c r="BU174">
        <v>0.687499999999999</v>
      </c>
      <c r="BV174">
        <v>0.675</v>
      </c>
      <c r="BW174">
        <v>0.6625</v>
      </c>
      <c r="BX174">
        <v>0.649999999999999</v>
      </c>
      <c r="BY174">
        <v>0.637499999999999</v>
      </c>
      <c r="BZ174">
        <v>0.625</v>
      </c>
      <c r="CA174">
        <v>0.6125</v>
      </c>
      <c r="CB174">
        <v>0.6</v>
      </c>
      <c r="CC174" t="e">
        <v>#VALUE!</v>
      </c>
      <c r="CD174" t="e">
        <v>#VALUE!</v>
      </c>
      <c r="CE174" t="e">
        <v>#VALUE!</v>
      </c>
      <c r="CF174" t="e">
        <v>#VALUE!</v>
      </c>
      <c r="CG174" t="e">
        <v>#VALUE!</v>
      </c>
      <c r="CH174" t="e">
        <v>#VALUE!</v>
      </c>
      <c r="CI174" t="e">
        <v>#VALUE!</v>
      </c>
      <c r="CJ174" t="e">
        <v>#VALUE!</v>
      </c>
    </row>
    <row r="175" spans="1:88">
      <c r="A175" t="s">
        <v>18</v>
      </c>
      <c r="B175" t="s">
        <v>278</v>
      </c>
      <c r="C175" t="s">
        <v>278</v>
      </c>
      <c r="D175">
        <v>0.6990113808</v>
      </c>
      <c r="E175">
        <v>0.709145337885679</v>
      </c>
      <c r="F175">
        <v>0.835577386524465</v>
      </c>
      <c r="G175">
        <v>0.927516736952361</v>
      </c>
      <c r="H175">
        <v>1.01515018377153</v>
      </c>
      <c r="I175">
        <v>1.09924321228689</v>
      </c>
      <c r="J175">
        <v>1.17684459344068</v>
      </c>
      <c r="K175">
        <v>1.24505839904265</v>
      </c>
      <c r="L175">
        <v>1.30416969413375</v>
      </c>
      <c r="M175">
        <v>1.35753162371889</v>
      </c>
      <c r="N175">
        <v>1.40708721857925</v>
      </c>
      <c r="O175">
        <v>1.45083850910183</v>
      </c>
      <c r="P175">
        <v>1.48817144084683</v>
      </c>
      <c r="Q175">
        <v>1.51900272077083</v>
      </c>
      <c r="R175">
        <v>1.54344791038302</v>
      </c>
      <c r="S175">
        <v>1.56233090232425</v>
      </c>
      <c r="T175">
        <v>1.57689503475232</v>
      </c>
      <c r="U175">
        <v>1.58838026600877</v>
      </c>
      <c r="V175">
        <v>5</v>
      </c>
      <c r="AF175" s="99" t="s">
        <v>272</v>
      </c>
      <c r="AH175">
        <v>1</v>
      </c>
      <c r="AI175">
        <v>1.01817736459544</v>
      </c>
      <c r="AJ175">
        <v>1.24931642627657</v>
      </c>
      <c r="AK175">
        <v>1.427108255292</v>
      </c>
      <c r="AL175">
        <v>1.60429626085173</v>
      </c>
      <c r="AM175">
        <v>1.78178048169162</v>
      </c>
      <c r="AN175">
        <v>1.95254859069884</v>
      </c>
      <c r="AO175">
        <v>2.10878506163556</v>
      </c>
      <c r="AP175">
        <v>2.24936199785814</v>
      </c>
      <c r="AQ175">
        <v>2.38084170711145</v>
      </c>
      <c r="AR175">
        <v>2.50725727436371</v>
      </c>
      <c r="AS175">
        <v>2.62275275138424</v>
      </c>
      <c r="AT175">
        <v>2.72462232551781</v>
      </c>
      <c r="AU175">
        <v>2.81146467063139</v>
      </c>
      <c r="AV175">
        <v>2.88243671246611</v>
      </c>
      <c r="AW175">
        <v>2.93886002688723</v>
      </c>
      <c r="AX175">
        <v>2.98358853419008</v>
      </c>
      <c r="AY175">
        <v>3.01980654863627</v>
      </c>
      <c r="AZ175">
        <v>0</v>
      </c>
      <c r="BA175">
        <v>0</v>
      </c>
      <c r="BB175">
        <v>0</v>
      </c>
      <c r="BC175">
        <v>0</v>
      </c>
      <c r="BD175">
        <v>0</v>
      </c>
      <c r="BE175">
        <v>0</v>
      </c>
      <c r="BF175">
        <v>0</v>
      </c>
      <c r="BG175">
        <v>0</v>
      </c>
      <c r="BI175" t="s">
        <v>287</v>
      </c>
      <c r="BK175">
        <v>0.8</v>
      </c>
      <c r="BL175">
        <v>0.797560975609756</v>
      </c>
      <c r="BM175">
        <v>0.785365853658536</v>
      </c>
      <c r="BN175">
        <v>0.773170731707317</v>
      </c>
      <c r="BO175">
        <v>0.760975609756097</v>
      </c>
      <c r="BP175">
        <v>0.748780487804878</v>
      </c>
      <c r="BQ175">
        <v>0.736585365853658</v>
      </c>
      <c r="BR175">
        <v>0.724390243902439</v>
      </c>
      <c r="BS175">
        <v>0.71219512195122</v>
      </c>
      <c r="BT175">
        <v>0.699999999999999</v>
      </c>
      <c r="BU175">
        <v>0.687499999999999</v>
      </c>
      <c r="BV175">
        <v>0.675</v>
      </c>
      <c r="BW175">
        <v>0.6625</v>
      </c>
      <c r="BX175">
        <v>0.649999999999999</v>
      </c>
      <c r="BY175">
        <v>0.637499999999999</v>
      </c>
      <c r="BZ175">
        <v>0.625</v>
      </c>
      <c r="CA175">
        <v>0.6125</v>
      </c>
      <c r="CB175">
        <v>0.6</v>
      </c>
      <c r="CC175" t="e">
        <v>#VALUE!</v>
      </c>
      <c r="CD175" t="e">
        <v>#VALUE!</v>
      </c>
      <c r="CE175" t="e">
        <v>#VALUE!</v>
      </c>
      <c r="CF175" t="e">
        <v>#VALUE!</v>
      </c>
      <c r="CG175" t="e">
        <v>#VALUE!</v>
      </c>
      <c r="CH175" t="e">
        <v>#VALUE!</v>
      </c>
      <c r="CI175" t="e">
        <v>#VALUE!</v>
      </c>
      <c r="CJ175" t="e">
        <v>#VALUE!</v>
      </c>
    </row>
    <row r="176" spans="1:88">
      <c r="A176" t="s">
        <v>18</v>
      </c>
      <c r="B176" t="s">
        <v>279</v>
      </c>
      <c r="C176" t="s">
        <v>279</v>
      </c>
      <c r="D176">
        <v>2.6983800396</v>
      </c>
      <c r="E176">
        <v>2.73749995706238</v>
      </c>
      <c r="F176">
        <v>3.22556313569358</v>
      </c>
      <c r="G176">
        <v>3.58047482220217</v>
      </c>
      <c r="H176">
        <v>3.91876451274706</v>
      </c>
      <c r="I176">
        <v>4.24338719536441</v>
      </c>
      <c r="J176">
        <v>4.54295029791525</v>
      </c>
      <c r="K176">
        <v>4.80627472512395</v>
      </c>
      <c r="L176">
        <v>5.0344609080244</v>
      </c>
      <c r="M176">
        <v>5.24045292707031</v>
      </c>
      <c r="N176">
        <v>5.43175142620014</v>
      </c>
      <c r="O176">
        <v>5.60064368217135</v>
      </c>
      <c r="P176">
        <v>5.74475927257156</v>
      </c>
      <c r="Q176">
        <v>5.86377666288506</v>
      </c>
      <c r="R176">
        <v>5.95814195295844</v>
      </c>
      <c r="S176">
        <v>6.03103559953087</v>
      </c>
      <c r="T176">
        <v>6.08725723671365</v>
      </c>
      <c r="U176">
        <v>6.13159345157918</v>
      </c>
      <c r="V176">
        <v>5</v>
      </c>
      <c r="AF176" s="99" t="s">
        <v>272</v>
      </c>
      <c r="AH176">
        <v>1</v>
      </c>
      <c r="AI176">
        <v>1.01817736459544</v>
      </c>
      <c r="AJ176">
        <v>1.24931642627657</v>
      </c>
      <c r="AK176">
        <v>1.427108255292</v>
      </c>
      <c r="AL176">
        <v>1.60429626085173</v>
      </c>
      <c r="AM176">
        <v>1.78178048169162</v>
      </c>
      <c r="AN176">
        <v>1.95254859069884</v>
      </c>
      <c r="AO176">
        <v>2.10878506163556</v>
      </c>
      <c r="AP176">
        <v>2.24936199785814</v>
      </c>
      <c r="AQ176">
        <v>2.38084170711145</v>
      </c>
      <c r="AR176">
        <v>2.50725727436371</v>
      </c>
      <c r="AS176">
        <v>2.62275275138424</v>
      </c>
      <c r="AT176">
        <v>2.72462232551781</v>
      </c>
      <c r="AU176">
        <v>2.81146467063139</v>
      </c>
      <c r="AV176">
        <v>2.88243671246611</v>
      </c>
      <c r="AW176">
        <v>2.93886002688723</v>
      </c>
      <c r="AX176">
        <v>2.98358853419008</v>
      </c>
      <c r="AY176">
        <v>3.01980654863627</v>
      </c>
      <c r="AZ176">
        <v>0</v>
      </c>
      <c r="BA176">
        <v>0</v>
      </c>
      <c r="BB176">
        <v>0</v>
      </c>
      <c r="BC176">
        <v>0</v>
      </c>
      <c r="BD176">
        <v>0</v>
      </c>
      <c r="BE176">
        <v>0</v>
      </c>
      <c r="BF176">
        <v>0</v>
      </c>
      <c r="BG176">
        <v>0</v>
      </c>
      <c r="BI176" t="s">
        <v>287</v>
      </c>
      <c r="BK176">
        <v>0.8</v>
      </c>
      <c r="BL176">
        <v>0.797560975609756</v>
      </c>
      <c r="BM176">
        <v>0.785365853658536</v>
      </c>
      <c r="BN176">
        <v>0.773170731707317</v>
      </c>
      <c r="BO176">
        <v>0.760975609756097</v>
      </c>
      <c r="BP176">
        <v>0.748780487804878</v>
      </c>
      <c r="BQ176">
        <v>0.736585365853658</v>
      </c>
      <c r="BR176">
        <v>0.724390243902439</v>
      </c>
      <c r="BS176">
        <v>0.71219512195122</v>
      </c>
      <c r="BT176">
        <v>0.699999999999999</v>
      </c>
      <c r="BU176">
        <v>0.687499999999999</v>
      </c>
      <c r="BV176">
        <v>0.675</v>
      </c>
      <c r="BW176">
        <v>0.6625</v>
      </c>
      <c r="BX176">
        <v>0.649999999999999</v>
      </c>
      <c r="BY176">
        <v>0.637499999999999</v>
      </c>
      <c r="BZ176">
        <v>0.625</v>
      </c>
      <c r="CA176">
        <v>0.6125</v>
      </c>
      <c r="CB176">
        <v>0.6</v>
      </c>
      <c r="CC176" t="e">
        <v>#VALUE!</v>
      </c>
      <c r="CD176" t="e">
        <v>#VALUE!</v>
      </c>
      <c r="CE176" t="e">
        <v>#VALUE!</v>
      </c>
      <c r="CF176" t="e">
        <v>#VALUE!</v>
      </c>
      <c r="CG176" t="e">
        <v>#VALUE!</v>
      </c>
      <c r="CH176" t="e">
        <v>#VALUE!</v>
      </c>
      <c r="CI176" t="e">
        <v>#VALUE!</v>
      </c>
      <c r="CJ176" t="e">
        <v>#VALUE!</v>
      </c>
    </row>
    <row r="177" spans="1:88">
      <c r="A177" t="s">
        <v>18</v>
      </c>
      <c r="B177" t="s">
        <v>280</v>
      </c>
      <c r="C177" t="s">
        <v>280</v>
      </c>
      <c r="D177">
        <v>0.028</v>
      </c>
      <c r="E177">
        <v>0.0281507676635818</v>
      </c>
      <c r="F177">
        <v>0.0288920716706338</v>
      </c>
      <c r="G177">
        <v>0.0295174140529994</v>
      </c>
      <c r="H177">
        <v>0.030075240885544</v>
      </c>
      <c r="I177">
        <v>0.0305600371931852</v>
      </c>
      <c r="J177">
        <v>0.0309852534431373</v>
      </c>
      <c r="K177">
        <v>0.0313836657482678</v>
      </c>
      <c r="L177">
        <v>0.031719447895035</v>
      </c>
      <c r="M177">
        <v>0.0320166850239041</v>
      </c>
      <c r="N177">
        <v>0.0322792458843346</v>
      </c>
      <c r="O177">
        <v>0.0325028578302356</v>
      </c>
      <c r="P177">
        <v>0.0326822308456635</v>
      </c>
      <c r="Q177">
        <v>0.0328100520771636</v>
      </c>
      <c r="R177">
        <v>0.0328830780375158</v>
      </c>
      <c r="S177">
        <v>0.0329082985415918</v>
      </c>
      <c r="T177">
        <v>0.0329117446729589</v>
      </c>
      <c r="U177">
        <v>0.0329249401163573</v>
      </c>
      <c r="V177">
        <v>5</v>
      </c>
      <c r="AF177" s="99" t="s">
        <v>277</v>
      </c>
      <c r="AH177">
        <v>1</v>
      </c>
      <c r="AI177">
        <v>1.00675128244523</v>
      </c>
      <c r="AJ177">
        <v>1.04050769467137</v>
      </c>
      <c r="AK177">
        <v>1.06963558770311</v>
      </c>
      <c r="AL177">
        <v>1.09619914293641</v>
      </c>
      <c r="AM177">
        <v>1.11979768259025</v>
      </c>
      <c r="AN177">
        <v>1.14095070613241</v>
      </c>
      <c r="AO177">
        <v>1.16120289549108</v>
      </c>
      <c r="AP177">
        <v>1.17864757708764</v>
      </c>
      <c r="AQ177">
        <v>1.19442599177422</v>
      </c>
      <c r="AR177">
        <v>1.20867354100785</v>
      </c>
      <c r="AS177">
        <v>1.22107797244884</v>
      </c>
      <c r="AT177">
        <v>1.23124966149636</v>
      </c>
      <c r="AU177">
        <v>1.23865805550244</v>
      </c>
      <c r="AV177">
        <v>1.24298261224228</v>
      </c>
      <c r="AW177">
        <v>1.24450795110515</v>
      </c>
      <c r="AX177">
        <v>1.24472072482334</v>
      </c>
      <c r="AY177">
        <v>1.24555247663081</v>
      </c>
      <c r="AZ177">
        <v>0</v>
      </c>
      <c r="BA177">
        <v>0</v>
      </c>
      <c r="BB177">
        <v>0</v>
      </c>
      <c r="BC177">
        <v>0</v>
      </c>
      <c r="BD177">
        <v>0</v>
      </c>
      <c r="BE177">
        <v>0</v>
      </c>
      <c r="BF177">
        <v>0</v>
      </c>
      <c r="BG177">
        <v>0</v>
      </c>
      <c r="BI177" t="s">
        <v>287</v>
      </c>
      <c r="BK177">
        <v>0.8</v>
      </c>
      <c r="BL177">
        <v>0.797560975609756</v>
      </c>
      <c r="BM177">
        <v>0.785365853658536</v>
      </c>
      <c r="BN177">
        <v>0.773170731707317</v>
      </c>
      <c r="BO177">
        <v>0.760975609756097</v>
      </c>
      <c r="BP177">
        <v>0.748780487804878</v>
      </c>
      <c r="BQ177">
        <v>0.736585365853658</v>
      </c>
      <c r="BR177">
        <v>0.724390243902439</v>
      </c>
      <c r="BS177">
        <v>0.71219512195122</v>
      </c>
      <c r="BT177">
        <v>0.699999999999999</v>
      </c>
      <c r="BU177">
        <v>0.687499999999999</v>
      </c>
      <c r="BV177">
        <v>0.675</v>
      </c>
      <c r="BW177">
        <v>0.6625</v>
      </c>
      <c r="BX177">
        <v>0.649999999999999</v>
      </c>
      <c r="BY177">
        <v>0.637499999999999</v>
      </c>
      <c r="BZ177">
        <v>0.625</v>
      </c>
      <c r="CA177">
        <v>0.6125</v>
      </c>
      <c r="CB177">
        <v>0.6</v>
      </c>
      <c r="CC177" t="e">
        <v>#VALUE!</v>
      </c>
      <c r="CD177" t="e">
        <v>#VALUE!</v>
      </c>
      <c r="CE177" t="e">
        <v>#VALUE!</v>
      </c>
      <c r="CF177" t="e">
        <v>#VALUE!</v>
      </c>
      <c r="CG177" t="e">
        <v>#VALUE!</v>
      </c>
      <c r="CH177" t="e">
        <v>#VALUE!</v>
      </c>
      <c r="CI177" t="e">
        <v>#VALUE!</v>
      </c>
      <c r="CJ177" t="e">
        <v>#VALUE!</v>
      </c>
    </row>
    <row r="178" spans="1:88">
      <c r="A178" t="s">
        <v>18</v>
      </c>
      <c r="B178" t="s">
        <v>281</v>
      </c>
      <c r="C178" t="s">
        <v>281</v>
      </c>
      <c r="D178">
        <v>0.015</v>
      </c>
      <c r="E178">
        <v>0.0150807683912045</v>
      </c>
      <c r="F178">
        <v>0.0154778955378396</v>
      </c>
      <c r="G178">
        <v>0.0158129003855354</v>
      </c>
      <c r="H178">
        <v>0.0161117361886843</v>
      </c>
      <c r="I178">
        <v>0.0163714484963492</v>
      </c>
      <c r="J178">
        <v>0.0165992429159664</v>
      </c>
      <c r="K178">
        <v>0.0168126780794292</v>
      </c>
      <c r="L178">
        <v>0.0169925613723402</v>
      </c>
      <c r="M178">
        <v>0.01715179554852</v>
      </c>
      <c r="N178">
        <v>0.0172924531523221</v>
      </c>
      <c r="O178">
        <v>0.0174122452661977</v>
      </c>
      <c r="P178">
        <v>0.017508337953034</v>
      </c>
      <c r="Q178">
        <v>0.0175768136127662</v>
      </c>
      <c r="R178">
        <v>0.0176159346629549</v>
      </c>
      <c r="S178">
        <v>0.0176294456472813</v>
      </c>
      <c r="T178">
        <v>0.0176312917890851</v>
      </c>
      <c r="U178">
        <v>0.01763836077662</v>
      </c>
      <c r="V178">
        <v>5</v>
      </c>
      <c r="AF178" s="99" t="s">
        <v>277</v>
      </c>
      <c r="AH178">
        <v>1</v>
      </c>
      <c r="AI178">
        <v>1.00675128244523</v>
      </c>
      <c r="AJ178">
        <v>1.04050769467137</v>
      </c>
      <c r="AK178">
        <v>1.06963558770311</v>
      </c>
      <c r="AL178">
        <v>1.09619914293641</v>
      </c>
      <c r="AM178">
        <v>1.11979768259025</v>
      </c>
      <c r="AN178">
        <v>1.14095070613241</v>
      </c>
      <c r="AO178">
        <v>1.16120289549108</v>
      </c>
      <c r="AP178">
        <v>1.17864757708764</v>
      </c>
      <c r="AQ178">
        <v>1.19442599177422</v>
      </c>
      <c r="AR178">
        <v>1.20867354100785</v>
      </c>
      <c r="AS178">
        <v>1.22107797244884</v>
      </c>
      <c r="AT178">
        <v>1.23124966149636</v>
      </c>
      <c r="AU178">
        <v>1.23865805550244</v>
      </c>
      <c r="AV178">
        <v>1.24298261224228</v>
      </c>
      <c r="AW178">
        <v>1.24450795110515</v>
      </c>
      <c r="AX178">
        <v>1.24472072482334</v>
      </c>
      <c r="AY178">
        <v>1.24555247663081</v>
      </c>
      <c r="AZ178">
        <v>0</v>
      </c>
      <c r="BA178">
        <v>0</v>
      </c>
      <c r="BB178">
        <v>0</v>
      </c>
      <c r="BC178">
        <v>0</v>
      </c>
      <c r="BD178">
        <v>0</v>
      </c>
      <c r="BE178">
        <v>0</v>
      </c>
      <c r="BF178">
        <v>0</v>
      </c>
      <c r="BG178">
        <v>0</v>
      </c>
      <c r="BI178" t="s">
        <v>287</v>
      </c>
      <c r="BK178">
        <v>0.8</v>
      </c>
      <c r="BL178">
        <v>0.797560975609756</v>
      </c>
      <c r="BM178">
        <v>0.785365853658536</v>
      </c>
      <c r="BN178">
        <v>0.773170731707317</v>
      </c>
      <c r="BO178">
        <v>0.760975609756097</v>
      </c>
      <c r="BP178">
        <v>0.748780487804878</v>
      </c>
      <c r="BQ178">
        <v>0.736585365853658</v>
      </c>
      <c r="BR178">
        <v>0.724390243902439</v>
      </c>
      <c r="BS178">
        <v>0.71219512195122</v>
      </c>
      <c r="BT178">
        <v>0.699999999999999</v>
      </c>
      <c r="BU178">
        <v>0.687499999999999</v>
      </c>
      <c r="BV178">
        <v>0.675</v>
      </c>
      <c r="BW178">
        <v>0.6625</v>
      </c>
      <c r="BX178">
        <v>0.649999999999999</v>
      </c>
      <c r="BY178">
        <v>0.637499999999999</v>
      </c>
      <c r="BZ178">
        <v>0.625</v>
      </c>
      <c r="CA178">
        <v>0.6125</v>
      </c>
      <c r="CB178">
        <v>0.6</v>
      </c>
      <c r="CC178" t="e">
        <v>#VALUE!</v>
      </c>
      <c r="CD178" t="e">
        <v>#VALUE!</v>
      </c>
      <c r="CE178" t="e">
        <v>#VALUE!</v>
      </c>
      <c r="CF178" t="e">
        <v>#VALUE!</v>
      </c>
      <c r="CG178" t="e">
        <v>#VALUE!</v>
      </c>
      <c r="CH178" t="e">
        <v>#VALUE!</v>
      </c>
      <c r="CI178" t="e">
        <v>#VALUE!</v>
      </c>
      <c r="CJ178" t="e">
        <v>#VALUE!</v>
      </c>
    </row>
    <row r="179" spans="1:88">
      <c r="A179" t="s">
        <v>18</v>
      </c>
      <c r="B179" t="s">
        <v>282</v>
      </c>
      <c r="C179" t="s">
        <v>282</v>
      </c>
      <c r="D179">
        <v>0.035</v>
      </c>
      <c r="E179">
        <v>0.0351884595794772</v>
      </c>
      <c r="F179">
        <v>0.0361150895882923</v>
      </c>
      <c r="G179">
        <v>0.0368967675662493</v>
      </c>
      <c r="H179">
        <v>0.03759405110693</v>
      </c>
      <c r="I179">
        <v>0.0382000464914815</v>
      </c>
      <c r="J179">
        <v>0.0387315668039216</v>
      </c>
      <c r="K179">
        <v>0.0392295821853347</v>
      </c>
      <c r="L179">
        <v>0.0396493098687937</v>
      </c>
      <c r="M179">
        <v>0.0400208562798801</v>
      </c>
      <c r="N179">
        <v>0.0403490573554182</v>
      </c>
      <c r="O179">
        <v>0.0406285722877945</v>
      </c>
      <c r="P179">
        <v>0.0408527885570794</v>
      </c>
      <c r="Q179">
        <v>0.0410125650964545</v>
      </c>
      <c r="R179">
        <v>0.0411038475468948</v>
      </c>
      <c r="S179">
        <v>0.0411353731769897</v>
      </c>
      <c r="T179">
        <v>0.0411396808411987</v>
      </c>
      <c r="U179">
        <v>0.0411561751454467</v>
      </c>
      <c r="V179">
        <v>5</v>
      </c>
      <c r="AF179" s="99" t="s">
        <v>277</v>
      </c>
      <c r="AH179">
        <v>1</v>
      </c>
      <c r="AI179">
        <v>1.00675128244523</v>
      </c>
      <c r="AJ179">
        <v>1.04050769467137</v>
      </c>
      <c r="AK179">
        <v>1.06963558770311</v>
      </c>
      <c r="AL179">
        <v>1.09619914293641</v>
      </c>
      <c r="AM179">
        <v>1.11979768259025</v>
      </c>
      <c r="AN179">
        <v>1.14095070613241</v>
      </c>
      <c r="AO179">
        <v>1.16120289549108</v>
      </c>
      <c r="AP179">
        <v>1.17864757708764</v>
      </c>
      <c r="AQ179">
        <v>1.19442599177422</v>
      </c>
      <c r="AR179">
        <v>1.20867354100785</v>
      </c>
      <c r="AS179">
        <v>1.22107797244884</v>
      </c>
      <c r="AT179">
        <v>1.23124966149636</v>
      </c>
      <c r="AU179">
        <v>1.23865805550244</v>
      </c>
      <c r="AV179">
        <v>1.24298261224228</v>
      </c>
      <c r="AW179">
        <v>1.24450795110515</v>
      </c>
      <c r="AX179">
        <v>1.24472072482334</v>
      </c>
      <c r="AY179">
        <v>1.24555247663081</v>
      </c>
      <c r="AZ179">
        <v>0</v>
      </c>
      <c r="BA179">
        <v>0</v>
      </c>
      <c r="BB179">
        <v>0</v>
      </c>
      <c r="BC179">
        <v>0</v>
      </c>
      <c r="BD179">
        <v>0</v>
      </c>
      <c r="BE179">
        <v>0</v>
      </c>
      <c r="BF179">
        <v>0</v>
      </c>
      <c r="BG179">
        <v>0</v>
      </c>
      <c r="BI179" t="s">
        <v>287</v>
      </c>
      <c r="BK179">
        <v>0.8</v>
      </c>
      <c r="BL179">
        <v>0.797560975609756</v>
      </c>
      <c r="BM179">
        <v>0.785365853658536</v>
      </c>
      <c r="BN179">
        <v>0.773170731707317</v>
      </c>
      <c r="BO179">
        <v>0.760975609756097</v>
      </c>
      <c r="BP179">
        <v>0.748780487804878</v>
      </c>
      <c r="BQ179">
        <v>0.736585365853658</v>
      </c>
      <c r="BR179">
        <v>0.724390243902439</v>
      </c>
      <c r="BS179">
        <v>0.71219512195122</v>
      </c>
      <c r="BT179">
        <v>0.699999999999999</v>
      </c>
      <c r="BU179">
        <v>0.687499999999999</v>
      </c>
      <c r="BV179">
        <v>0.675</v>
      </c>
      <c r="BW179">
        <v>0.6625</v>
      </c>
      <c r="BX179">
        <v>0.649999999999999</v>
      </c>
      <c r="BY179">
        <v>0.637499999999999</v>
      </c>
      <c r="BZ179">
        <v>0.625</v>
      </c>
      <c r="CA179">
        <v>0.6125</v>
      </c>
      <c r="CB179">
        <v>0.6</v>
      </c>
      <c r="CC179" t="e">
        <v>#VALUE!</v>
      </c>
      <c r="CD179" t="e">
        <v>#VALUE!</v>
      </c>
      <c r="CE179" t="e">
        <v>#VALUE!</v>
      </c>
      <c r="CF179" t="e">
        <v>#VALUE!</v>
      </c>
      <c r="CG179" t="e">
        <v>#VALUE!</v>
      </c>
      <c r="CH179" t="e">
        <v>#VALUE!</v>
      </c>
      <c r="CI179" t="e">
        <v>#VALUE!</v>
      </c>
      <c r="CJ179" t="e">
        <v>#VALUE!</v>
      </c>
    </row>
    <row r="180" spans="1:88">
      <c r="A180" t="s">
        <v>18</v>
      </c>
      <c r="B180" t="s">
        <v>283</v>
      </c>
      <c r="C180" t="s">
        <v>283</v>
      </c>
      <c r="D180">
        <v>3.348</v>
      </c>
      <c r="E180">
        <v>3.37830571229301</v>
      </c>
      <c r="F180">
        <v>3.87500051462122</v>
      </c>
      <c r="G180">
        <v>4.20817276551987</v>
      </c>
      <c r="H180">
        <v>4.5185339010783</v>
      </c>
      <c r="I180">
        <v>4.81365085398528</v>
      </c>
      <c r="J180">
        <v>5.08143566161218</v>
      </c>
      <c r="K180">
        <v>5.30663734782078</v>
      </c>
      <c r="L180">
        <v>5.4989134394951</v>
      </c>
      <c r="M180">
        <v>5.67008837652624</v>
      </c>
      <c r="N180">
        <v>5.82867965320323</v>
      </c>
      <c r="O180">
        <v>5.96810517951262</v>
      </c>
      <c r="P180">
        <v>6.08774359000258</v>
      </c>
      <c r="Q180">
        <v>6.18944548440854</v>
      </c>
      <c r="R180">
        <v>6.27497715089905</v>
      </c>
      <c r="S180">
        <v>6.34684610536415</v>
      </c>
      <c r="T180">
        <v>6.40533710802108</v>
      </c>
      <c r="U180">
        <v>6.44939248330905</v>
      </c>
      <c r="V180">
        <v>5</v>
      </c>
      <c r="AF180" s="99" t="s">
        <v>284</v>
      </c>
      <c r="AH180">
        <v>1</v>
      </c>
      <c r="AI180">
        <v>1.0113494587486</v>
      </c>
      <c r="AJ180">
        <v>1.20067966116402</v>
      </c>
      <c r="AK180">
        <v>1.33420042461051</v>
      </c>
      <c r="AL180">
        <v>1.46350804157197</v>
      </c>
      <c r="AM180">
        <v>1.59116285860685</v>
      </c>
      <c r="AN180">
        <v>1.71133474934914</v>
      </c>
      <c r="AO180">
        <v>1.81603496669181</v>
      </c>
      <c r="AP180">
        <v>1.90842626887349</v>
      </c>
      <c r="AQ180">
        <v>1.99329361844755</v>
      </c>
      <c r="AR180">
        <v>2.07438749116079</v>
      </c>
      <c r="AS180">
        <v>2.14789948763416</v>
      </c>
      <c r="AT180">
        <v>2.21289183723026</v>
      </c>
      <c r="AU180">
        <v>2.26976658985274</v>
      </c>
      <c r="AV180">
        <v>2.3189678472383</v>
      </c>
      <c r="AW180">
        <v>2.36146343964895</v>
      </c>
      <c r="AX180">
        <v>2.39699434153274</v>
      </c>
      <c r="AY180">
        <v>2.42447155402458</v>
      </c>
      <c r="AZ180">
        <v>0</v>
      </c>
      <c r="BA180">
        <v>0</v>
      </c>
      <c r="BB180">
        <v>0</v>
      </c>
      <c r="BC180">
        <v>0</v>
      </c>
      <c r="BD180">
        <v>0</v>
      </c>
      <c r="BE180">
        <v>0</v>
      </c>
      <c r="BF180">
        <v>0</v>
      </c>
      <c r="BG180">
        <v>0</v>
      </c>
      <c r="BI180" t="s">
        <v>287</v>
      </c>
      <c r="BK180">
        <v>0.8</v>
      </c>
      <c r="BL180">
        <v>0.797560975609756</v>
      </c>
      <c r="BM180">
        <v>0.785365853658536</v>
      </c>
      <c r="BN180">
        <v>0.773170731707317</v>
      </c>
      <c r="BO180">
        <v>0.760975609756097</v>
      </c>
      <c r="BP180">
        <v>0.748780487804878</v>
      </c>
      <c r="BQ180">
        <v>0.736585365853658</v>
      </c>
      <c r="BR180">
        <v>0.724390243902439</v>
      </c>
      <c r="BS180">
        <v>0.71219512195122</v>
      </c>
      <c r="BT180">
        <v>0.699999999999999</v>
      </c>
      <c r="BU180">
        <v>0.687499999999999</v>
      </c>
      <c r="BV180">
        <v>0.675</v>
      </c>
      <c r="BW180">
        <v>0.6625</v>
      </c>
      <c r="BX180">
        <v>0.649999999999999</v>
      </c>
      <c r="BY180">
        <v>0.637499999999999</v>
      </c>
      <c r="BZ180">
        <v>0.625</v>
      </c>
      <c r="CA180">
        <v>0.6125</v>
      </c>
      <c r="CB180">
        <v>0.6</v>
      </c>
      <c r="CC180" t="e">
        <v>#VALUE!</v>
      </c>
      <c r="CD180" t="e">
        <v>#VALUE!</v>
      </c>
      <c r="CE180" t="e">
        <v>#VALUE!</v>
      </c>
      <c r="CF180" t="e">
        <v>#VALUE!</v>
      </c>
      <c r="CG180" t="e">
        <v>#VALUE!</v>
      </c>
      <c r="CH180" t="e">
        <v>#VALUE!</v>
      </c>
      <c r="CI180" t="e">
        <v>#VALUE!</v>
      </c>
      <c r="CJ180" t="e">
        <v>#VALUE!</v>
      </c>
    </row>
    <row r="181" spans="1:88">
      <c r="A181" t="s">
        <v>18</v>
      </c>
      <c r="B181" t="s">
        <v>285</v>
      </c>
      <c r="C181" t="s">
        <v>285</v>
      </c>
      <c r="D181">
        <v>0.8</v>
      </c>
      <c r="E181">
        <v>0.811598045312603</v>
      </c>
      <c r="F181">
        <v>0.956296174254752</v>
      </c>
      <c r="G181">
        <v>1.06151832422624</v>
      </c>
      <c r="H181">
        <v>1.16181248163338</v>
      </c>
      <c r="I181">
        <v>1.25805472412061</v>
      </c>
      <c r="J181">
        <v>1.34686744824534</v>
      </c>
      <c r="K181">
        <v>1.42493634094222</v>
      </c>
      <c r="L181">
        <v>1.49258765159579</v>
      </c>
      <c r="M181">
        <v>1.5536589657985</v>
      </c>
      <c r="N181">
        <v>1.61037403078488</v>
      </c>
      <c r="O181">
        <v>1.66044622328338</v>
      </c>
      <c r="P181">
        <v>1.70317277426145</v>
      </c>
      <c r="Q181">
        <v>1.73845835703833</v>
      </c>
      <c r="R181">
        <v>1.76643522869867</v>
      </c>
      <c r="S181">
        <v>1.78804631253495</v>
      </c>
      <c r="T181">
        <v>1.8047145761176</v>
      </c>
      <c r="U181">
        <v>1.81785911890695</v>
      </c>
      <c r="V181">
        <v>5</v>
      </c>
      <c r="AF181" s="99" t="s">
        <v>272</v>
      </c>
      <c r="AH181">
        <v>1</v>
      </c>
      <c r="AI181">
        <v>1.01817736459544</v>
      </c>
      <c r="AJ181">
        <v>1.24931642627657</v>
      </c>
      <c r="AK181">
        <v>1.427108255292</v>
      </c>
      <c r="AL181">
        <v>1.60429626085173</v>
      </c>
      <c r="AM181">
        <v>1.78178048169162</v>
      </c>
      <c r="AN181">
        <v>1.95254859069884</v>
      </c>
      <c r="AO181">
        <v>2.10878506163556</v>
      </c>
      <c r="AP181">
        <v>2.24936199785814</v>
      </c>
      <c r="AQ181">
        <v>2.38084170711145</v>
      </c>
      <c r="AR181">
        <v>2.50725727436371</v>
      </c>
      <c r="AS181">
        <v>2.62275275138424</v>
      </c>
      <c r="AT181">
        <v>2.72462232551781</v>
      </c>
      <c r="AU181">
        <v>2.81146467063139</v>
      </c>
      <c r="AV181">
        <v>2.88243671246611</v>
      </c>
      <c r="AW181">
        <v>2.93886002688723</v>
      </c>
      <c r="AX181">
        <v>2.98358853419008</v>
      </c>
      <c r="AY181">
        <v>3.01980654863627</v>
      </c>
      <c r="AZ181">
        <v>0</v>
      </c>
      <c r="BA181">
        <v>0</v>
      </c>
      <c r="BB181">
        <v>0</v>
      </c>
      <c r="BC181">
        <v>0</v>
      </c>
      <c r="BD181">
        <v>0</v>
      </c>
      <c r="BE181">
        <v>0</v>
      </c>
      <c r="BF181">
        <v>0</v>
      </c>
      <c r="BG181">
        <v>0</v>
      </c>
      <c r="BI181" t="s">
        <v>287</v>
      </c>
      <c r="BK181">
        <v>0.8</v>
      </c>
      <c r="BL181">
        <v>0.797560975609756</v>
      </c>
      <c r="BM181">
        <v>0.785365853658536</v>
      </c>
      <c r="BN181">
        <v>0.773170731707317</v>
      </c>
      <c r="BO181">
        <v>0.760975609756097</v>
      </c>
      <c r="BP181">
        <v>0.748780487804878</v>
      </c>
      <c r="BQ181">
        <v>0.736585365853658</v>
      </c>
      <c r="BR181">
        <v>0.724390243902439</v>
      </c>
      <c r="BS181">
        <v>0.71219512195122</v>
      </c>
      <c r="BT181">
        <v>0.699999999999999</v>
      </c>
      <c r="BU181">
        <v>0.687499999999999</v>
      </c>
      <c r="BV181">
        <v>0.675</v>
      </c>
      <c r="BW181">
        <v>0.6625</v>
      </c>
      <c r="BX181">
        <v>0.649999999999999</v>
      </c>
      <c r="BY181">
        <v>0.637499999999999</v>
      </c>
      <c r="BZ181">
        <v>0.625</v>
      </c>
      <c r="CA181">
        <v>0.6125</v>
      </c>
      <c r="CB181">
        <v>0.6</v>
      </c>
      <c r="CC181" t="e">
        <v>#VALUE!</v>
      </c>
      <c r="CD181" t="e">
        <v>#VALUE!</v>
      </c>
      <c r="CE181" t="e">
        <v>#VALUE!</v>
      </c>
      <c r="CF181" t="e">
        <v>#VALUE!</v>
      </c>
      <c r="CG181" t="e">
        <v>#VALUE!</v>
      </c>
      <c r="CH181" t="e">
        <v>#VALUE!</v>
      </c>
      <c r="CI181" t="e">
        <v>#VALUE!</v>
      </c>
      <c r="CJ181" t="e">
        <v>#VALUE!</v>
      </c>
    </row>
    <row r="182" spans="1:88">
      <c r="A182" t="s">
        <v>18</v>
      </c>
      <c r="B182" t="s">
        <v>286</v>
      </c>
      <c r="C182" t="s">
        <v>286</v>
      </c>
      <c r="D182">
        <v>0.44</v>
      </c>
      <c r="E182">
        <v>0.446378924921931</v>
      </c>
      <c r="F182">
        <v>0.525962895840114</v>
      </c>
      <c r="G182">
        <v>0.583835078324434</v>
      </c>
      <c r="H182">
        <v>0.638996864898358</v>
      </c>
      <c r="I182">
        <v>0.691930098266334</v>
      </c>
      <c r="J182">
        <v>0.740777096534935</v>
      </c>
      <c r="K182">
        <v>0.783714987518223</v>
      </c>
      <c r="L182">
        <v>0.820923208377685</v>
      </c>
      <c r="M182">
        <v>0.854512431189175</v>
      </c>
      <c r="N182">
        <v>0.885705716931683</v>
      </c>
      <c r="O182">
        <v>0.913245422805859</v>
      </c>
      <c r="P182">
        <v>0.936745025843797</v>
      </c>
      <c r="Q182">
        <v>0.956152096371083</v>
      </c>
      <c r="R182">
        <v>0.971539375784268</v>
      </c>
      <c r="S182">
        <v>0.983425471894223</v>
      </c>
      <c r="T182">
        <v>0.992593016864682</v>
      </c>
      <c r="U182">
        <v>0.99982251539882</v>
      </c>
      <c r="V182">
        <v>5</v>
      </c>
      <c r="AF182" s="99" t="s">
        <v>272</v>
      </c>
      <c r="AH182">
        <v>1</v>
      </c>
      <c r="AI182">
        <v>1.01817736459544</v>
      </c>
      <c r="AJ182">
        <v>1.24931642627657</v>
      </c>
      <c r="AK182">
        <v>1.427108255292</v>
      </c>
      <c r="AL182">
        <v>1.60429626085173</v>
      </c>
      <c r="AM182">
        <v>1.78178048169162</v>
      </c>
      <c r="AN182">
        <v>1.95254859069884</v>
      </c>
      <c r="AO182">
        <v>2.10878506163556</v>
      </c>
      <c r="AP182">
        <v>2.24936199785814</v>
      </c>
      <c r="AQ182">
        <v>2.38084170711145</v>
      </c>
      <c r="AR182">
        <v>2.50725727436371</v>
      </c>
      <c r="AS182">
        <v>2.62275275138424</v>
      </c>
      <c r="AT182">
        <v>2.72462232551781</v>
      </c>
      <c r="AU182">
        <v>2.81146467063139</v>
      </c>
      <c r="AV182">
        <v>2.88243671246611</v>
      </c>
      <c r="AW182">
        <v>2.93886002688723</v>
      </c>
      <c r="AX182">
        <v>2.98358853419008</v>
      </c>
      <c r="AY182">
        <v>3.01980654863627</v>
      </c>
      <c r="AZ182">
        <v>0</v>
      </c>
      <c r="BA182">
        <v>0</v>
      </c>
      <c r="BB182">
        <v>0</v>
      </c>
      <c r="BC182">
        <v>0</v>
      </c>
      <c r="BD182">
        <v>0</v>
      </c>
      <c r="BE182">
        <v>0</v>
      </c>
      <c r="BF182">
        <v>0</v>
      </c>
      <c r="BG182">
        <v>0</v>
      </c>
      <c r="BI182" t="s">
        <v>287</v>
      </c>
      <c r="BK182">
        <v>0.8</v>
      </c>
      <c r="BL182">
        <v>0.797560975609756</v>
      </c>
      <c r="BM182">
        <v>0.785365853658536</v>
      </c>
      <c r="BN182">
        <v>0.773170731707317</v>
      </c>
      <c r="BO182">
        <v>0.760975609756097</v>
      </c>
      <c r="BP182">
        <v>0.748780487804878</v>
      </c>
      <c r="BQ182">
        <v>0.736585365853658</v>
      </c>
      <c r="BR182">
        <v>0.724390243902439</v>
      </c>
      <c r="BS182">
        <v>0.71219512195122</v>
      </c>
      <c r="BT182">
        <v>0.699999999999999</v>
      </c>
      <c r="BU182">
        <v>0.687499999999999</v>
      </c>
      <c r="BV182">
        <v>0.675</v>
      </c>
      <c r="BW182">
        <v>0.6625</v>
      </c>
      <c r="BX182">
        <v>0.649999999999999</v>
      </c>
      <c r="BY182">
        <v>0.637499999999999</v>
      </c>
      <c r="BZ182">
        <v>0.625</v>
      </c>
      <c r="CA182">
        <v>0.6125</v>
      </c>
      <c r="CB182">
        <v>0.6</v>
      </c>
      <c r="CC182" t="e">
        <v>#VALUE!</v>
      </c>
      <c r="CD182" t="e">
        <v>#VALUE!</v>
      </c>
      <c r="CE182" t="e">
        <v>#VALUE!</v>
      </c>
      <c r="CF182" t="e">
        <v>#VALUE!</v>
      </c>
      <c r="CG182" t="e">
        <v>#VALUE!</v>
      </c>
      <c r="CH182" t="e">
        <v>#VALUE!</v>
      </c>
      <c r="CI182" t="e">
        <v>#VALUE!</v>
      </c>
      <c r="CJ182" t="e">
        <v>#VALUE!</v>
      </c>
    </row>
    <row r="183" spans="1:88">
      <c r="A183" t="s">
        <v>19</v>
      </c>
      <c r="B183" t="s">
        <v>271</v>
      </c>
      <c r="C183" t="s">
        <v>271</v>
      </c>
      <c r="D183">
        <v>179.286291306</v>
      </c>
      <c r="E183">
        <v>186.015286947819</v>
      </c>
      <c r="F183">
        <v>258.201756181373</v>
      </c>
      <c r="G183">
        <v>339.959369942816</v>
      </c>
      <c r="H183">
        <v>425.297287200582</v>
      </c>
      <c r="I183">
        <v>515.612389524465</v>
      </c>
      <c r="J183">
        <v>610.625222851728</v>
      </c>
      <c r="K183">
        <v>710.169083756186</v>
      </c>
      <c r="L183">
        <v>814.573595603162</v>
      </c>
      <c r="M183">
        <v>922.537776014918</v>
      </c>
      <c r="N183">
        <v>1031.81649452161</v>
      </c>
      <c r="O183">
        <v>1138.36353541486</v>
      </c>
      <c r="P183">
        <v>1241.42513984554</v>
      </c>
      <c r="Q183">
        <v>1338.09690588386</v>
      </c>
      <c r="R183">
        <v>1427.91423296186</v>
      </c>
      <c r="S183">
        <v>1511.07215481962</v>
      </c>
      <c r="T183">
        <v>1588.0141114592</v>
      </c>
      <c r="U183">
        <v>1659.70277527771</v>
      </c>
      <c r="V183">
        <v>5</v>
      </c>
      <c r="AF183" s="99" t="s">
        <v>272</v>
      </c>
      <c r="AH183">
        <v>1</v>
      </c>
      <c r="AI183">
        <v>1.03762389140165</v>
      </c>
      <c r="AJ183">
        <v>1.44627211766871</v>
      </c>
      <c r="AK183">
        <v>1.91684835209244</v>
      </c>
      <c r="AL183">
        <v>2.4175631359905</v>
      </c>
      <c r="AM183">
        <v>2.95866601655253</v>
      </c>
      <c r="AN183">
        <v>3.54077928771504</v>
      </c>
      <c r="AO183">
        <v>4.16520854656052</v>
      </c>
      <c r="AP183">
        <v>4.83649287827296</v>
      </c>
      <c r="AQ183">
        <v>5.54875099506021</v>
      </c>
      <c r="AR183">
        <v>6.28934178872169</v>
      </c>
      <c r="AS183">
        <v>7.03156762919676</v>
      </c>
      <c r="AT183">
        <v>7.7696570452703</v>
      </c>
      <c r="AU183">
        <v>8.48146369390752</v>
      </c>
      <c r="AV183">
        <v>9.16122830573521</v>
      </c>
      <c r="AW183">
        <v>9.80792592603439</v>
      </c>
      <c r="AX183">
        <v>10.422581509524</v>
      </c>
      <c r="AY183">
        <v>11.0107224905814</v>
      </c>
      <c r="AZ183">
        <v>0</v>
      </c>
      <c r="BA183">
        <v>0</v>
      </c>
      <c r="BB183">
        <v>0</v>
      </c>
      <c r="BC183">
        <v>0</v>
      </c>
      <c r="BD183">
        <v>0</v>
      </c>
      <c r="BE183">
        <v>0</v>
      </c>
      <c r="BF183">
        <v>0</v>
      </c>
      <c r="BG183">
        <v>0</v>
      </c>
      <c r="BI183" t="s">
        <v>273</v>
      </c>
      <c r="BK183">
        <v>1</v>
      </c>
      <c r="BL183">
        <v>0.997560975609757</v>
      </c>
      <c r="BM183">
        <v>0.985365853658537</v>
      </c>
      <c r="BN183">
        <v>0.973170731707317</v>
      </c>
      <c r="BO183">
        <v>0.960975609756098</v>
      </c>
      <c r="BP183">
        <v>0.948780487804878</v>
      </c>
      <c r="BQ183">
        <v>0.936585365853658</v>
      </c>
      <c r="BR183">
        <v>0.924390243902439</v>
      </c>
      <c r="BS183">
        <v>0.91219512195122</v>
      </c>
      <c r="BT183">
        <v>0.9</v>
      </c>
      <c r="BU183">
        <v>0.8875</v>
      </c>
      <c r="BV183">
        <v>0.875000000000001</v>
      </c>
      <c r="BW183">
        <v>0.862500000000001</v>
      </c>
      <c r="BX183">
        <v>0.850000000000001</v>
      </c>
      <c r="BY183">
        <v>0.8375</v>
      </c>
      <c r="BZ183">
        <v>0.825000000000001</v>
      </c>
      <c r="CA183">
        <v>0.812500000000001</v>
      </c>
      <c r="CB183">
        <v>0.800000000000001</v>
      </c>
      <c r="CC183" t="e">
        <v>#VALUE!</v>
      </c>
      <c r="CD183" t="e">
        <v>#VALUE!</v>
      </c>
      <c r="CE183" t="e">
        <v>#VALUE!</v>
      </c>
      <c r="CF183" t="e">
        <v>#VALUE!</v>
      </c>
      <c r="CG183" t="e">
        <v>#VALUE!</v>
      </c>
      <c r="CH183" t="e">
        <v>#VALUE!</v>
      </c>
      <c r="CI183" t="e">
        <v>#VALUE!</v>
      </c>
      <c r="CJ183" t="e">
        <v>#VALUE!</v>
      </c>
    </row>
    <row r="184" spans="1:88">
      <c r="A184" t="s">
        <v>19</v>
      </c>
      <c r="B184" t="s">
        <v>274</v>
      </c>
      <c r="C184" t="s">
        <v>274</v>
      </c>
      <c r="D184">
        <v>177.4691070624</v>
      </c>
      <c r="E184">
        <v>184.129899916563</v>
      </c>
      <c r="F184">
        <v>255.584711902166</v>
      </c>
      <c r="G184">
        <v>336.513658583491</v>
      </c>
      <c r="H184">
        <v>420.986620035139</v>
      </c>
      <c r="I184">
        <v>510.3863195153</v>
      </c>
      <c r="J184">
        <v>604.436135411589</v>
      </c>
      <c r="K184">
        <v>702.971053946472</v>
      </c>
      <c r="L184">
        <v>806.317357536102</v>
      </c>
      <c r="M184">
        <v>913.187250113086</v>
      </c>
      <c r="N184">
        <v>1021.35835707857</v>
      </c>
      <c r="O184">
        <v>1126.82547377626</v>
      </c>
      <c r="P184">
        <v>1228.84248119773</v>
      </c>
      <c r="Q184">
        <v>1324.53441543314</v>
      </c>
      <c r="R184">
        <v>1413.44138494627</v>
      </c>
      <c r="S184">
        <v>1495.75644668221</v>
      </c>
      <c r="T184">
        <v>1571.91854608754</v>
      </c>
      <c r="U184">
        <v>1642.88059824273</v>
      </c>
      <c r="V184">
        <v>5</v>
      </c>
      <c r="AF184" s="99" t="s">
        <v>272</v>
      </c>
      <c r="AH184">
        <v>1</v>
      </c>
      <c r="AI184">
        <v>1.03762389140165</v>
      </c>
      <c r="AJ184">
        <v>1.44627211766871</v>
      </c>
      <c r="AK184">
        <v>1.91684835209244</v>
      </c>
      <c r="AL184">
        <v>2.4175631359905</v>
      </c>
      <c r="AM184">
        <v>2.95866601655253</v>
      </c>
      <c r="AN184">
        <v>3.54077928771504</v>
      </c>
      <c r="AO184">
        <v>4.16520854656052</v>
      </c>
      <c r="AP184">
        <v>4.83649287827296</v>
      </c>
      <c r="AQ184">
        <v>5.54875099506021</v>
      </c>
      <c r="AR184">
        <v>6.28934178872169</v>
      </c>
      <c r="AS184">
        <v>7.03156762919676</v>
      </c>
      <c r="AT184">
        <v>7.7696570452703</v>
      </c>
      <c r="AU184">
        <v>8.48146369390752</v>
      </c>
      <c r="AV184">
        <v>9.16122830573521</v>
      </c>
      <c r="AW184">
        <v>9.80792592603439</v>
      </c>
      <c r="AX184">
        <v>10.422581509524</v>
      </c>
      <c r="AY184">
        <v>11.0107224905814</v>
      </c>
      <c r="AZ184">
        <v>0</v>
      </c>
      <c r="BA184">
        <v>0</v>
      </c>
      <c r="BB184">
        <v>0</v>
      </c>
      <c r="BC184">
        <v>0</v>
      </c>
      <c r="BD184">
        <v>0</v>
      </c>
      <c r="BE184">
        <v>0</v>
      </c>
      <c r="BF184">
        <v>0</v>
      </c>
      <c r="BG184">
        <v>0</v>
      </c>
      <c r="BI184" t="s">
        <v>273</v>
      </c>
      <c r="BK184">
        <v>1</v>
      </c>
      <c r="BL184">
        <v>0.997560975609757</v>
      </c>
      <c r="BM184">
        <v>0.985365853658537</v>
      </c>
      <c r="BN184">
        <v>0.973170731707317</v>
      </c>
      <c r="BO184">
        <v>0.960975609756098</v>
      </c>
      <c r="BP184">
        <v>0.948780487804878</v>
      </c>
      <c r="BQ184">
        <v>0.936585365853658</v>
      </c>
      <c r="BR184">
        <v>0.924390243902439</v>
      </c>
      <c r="BS184">
        <v>0.91219512195122</v>
      </c>
      <c r="BT184">
        <v>0.9</v>
      </c>
      <c r="BU184">
        <v>0.8875</v>
      </c>
      <c r="BV184">
        <v>0.875000000000001</v>
      </c>
      <c r="BW184">
        <v>0.862500000000001</v>
      </c>
      <c r="BX184">
        <v>0.850000000000001</v>
      </c>
      <c r="BY184">
        <v>0.8375</v>
      </c>
      <c r="BZ184">
        <v>0.825000000000001</v>
      </c>
      <c r="CA184">
        <v>0.812500000000001</v>
      </c>
      <c r="CB184">
        <v>0.800000000000001</v>
      </c>
      <c r="CC184" t="e">
        <v>#VALUE!</v>
      </c>
      <c r="CD184" t="e">
        <v>#VALUE!</v>
      </c>
      <c r="CE184" t="e">
        <v>#VALUE!</v>
      </c>
      <c r="CF184" t="e">
        <v>#VALUE!</v>
      </c>
      <c r="CG184" t="e">
        <v>#VALUE!</v>
      </c>
      <c r="CH184" t="e">
        <v>#VALUE!</v>
      </c>
      <c r="CI184" t="e">
        <v>#VALUE!</v>
      </c>
      <c r="CJ184" t="e">
        <v>#VALUE!</v>
      </c>
    </row>
    <row r="185" spans="1:88">
      <c r="A185" t="s">
        <v>19</v>
      </c>
      <c r="B185" t="s">
        <v>275</v>
      </c>
      <c r="C185" t="s">
        <v>275</v>
      </c>
      <c r="D185">
        <v>75.65784907824</v>
      </c>
      <c r="E185">
        <v>78.4974489885753</v>
      </c>
      <c r="F185">
        <v>108.95975012147</v>
      </c>
      <c r="G185">
        <v>143.461022683369</v>
      </c>
      <c r="H185">
        <v>179.473164032869</v>
      </c>
      <c r="I185">
        <v>217.58565066713</v>
      </c>
      <c r="J185">
        <v>257.680554477154</v>
      </c>
      <c r="K185">
        <v>299.687527515158</v>
      </c>
      <c r="L185">
        <v>343.745669065557</v>
      </c>
      <c r="M185">
        <v>389.305971573611</v>
      </c>
      <c r="N185">
        <v>435.421002076036</v>
      </c>
      <c r="O185">
        <v>480.383279341708</v>
      </c>
      <c r="P185">
        <v>523.874721196956</v>
      </c>
      <c r="Q185">
        <v>564.669685674026</v>
      </c>
      <c r="R185">
        <v>602.572113836144</v>
      </c>
      <c r="S185">
        <v>637.664308870934</v>
      </c>
      <c r="T185">
        <v>670.133400070362</v>
      </c>
      <c r="U185">
        <v>700.385629999891</v>
      </c>
      <c r="V185">
        <v>5</v>
      </c>
      <c r="AF185" s="99" t="s">
        <v>272</v>
      </c>
      <c r="AH185">
        <v>1</v>
      </c>
      <c r="AI185">
        <v>1.03762389140165</v>
      </c>
      <c r="AJ185">
        <v>1.44627211766871</v>
      </c>
      <c r="AK185">
        <v>1.91684835209244</v>
      </c>
      <c r="AL185">
        <v>2.4175631359905</v>
      </c>
      <c r="AM185">
        <v>2.95866601655253</v>
      </c>
      <c r="AN185">
        <v>3.54077928771504</v>
      </c>
      <c r="AO185">
        <v>4.16520854656052</v>
      </c>
      <c r="AP185">
        <v>4.83649287827296</v>
      </c>
      <c r="AQ185">
        <v>5.54875099506021</v>
      </c>
      <c r="AR185">
        <v>6.28934178872169</v>
      </c>
      <c r="AS185">
        <v>7.03156762919676</v>
      </c>
      <c r="AT185">
        <v>7.7696570452703</v>
      </c>
      <c r="AU185">
        <v>8.48146369390752</v>
      </c>
      <c r="AV185">
        <v>9.16122830573521</v>
      </c>
      <c r="AW185">
        <v>9.80792592603439</v>
      </c>
      <c r="AX185">
        <v>10.422581509524</v>
      </c>
      <c r="AY185">
        <v>11.0107224905814</v>
      </c>
      <c r="AZ185">
        <v>0</v>
      </c>
      <c r="BA185">
        <v>0</v>
      </c>
      <c r="BB185">
        <v>0</v>
      </c>
      <c r="BC185">
        <v>0</v>
      </c>
      <c r="BD185">
        <v>0</v>
      </c>
      <c r="BE185">
        <v>0</v>
      </c>
      <c r="BF185">
        <v>0</v>
      </c>
      <c r="BG185">
        <v>0</v>
      </c>
      <c r="BI185" t="s">
        <v>273</v>
      </c>
      <c r="BK185">
        <v>1</v>
      </c>
      <c r="BL185">
        <v>0.997560975609757</v>
      </c>
      <c r="BM185">
        <v>0.985365853658537</v>
      </c>
      <c r="BN185">
        <v>0.973170731707317</v>
      </c>
      <c r="BO185">
        <v>0.960975609756098</v>
      </c>
      <c r="BP185">
        <v>0.948780487804878</v>
      </c>
      <c r="BQ185">
        <v>0.936585365853658</v>
      </c>
      <c r="BR185">
        <v>0.924390243902439</v>
      </c>
      <c r="BS185">
        <v>0.91219512195122</v>
      </c>
      <c r="BT185">
        <v>0.9</v>
      </c>
      <c r="BU185">
        <v>0.8875</v>
      </c>
      <c r="BV185">
        <v>0.875000000000001</v>
      </c>
      <c r="BW185">
        <v>0.862500000000001</v>
      </c>
      <c r="BX185">
        <v>0.850000000000001</v>
      </c>
      <c r="BY185">
        <v>0.8375</v>
      </c>
      <c r="BZ185">
        <v>0.825000000000001</v>
      </c>
      <c r="CA185">
        <v>0.812500000000001</v>
      </c>
      <c r="CB185">
        <v>0.800000000000001</v>
      </c>
      <c r="CC185" t="e">
        <v>#VALUE!</v>
      </c>
      <c r="CD185" t="e">
        <v>#VALUE!</v>
      </c>
      <c r="CE185" t="e">
        <v>#VALUE!</v>
      </c>
      <c r="CF185" t="e">
        <v>#VALUE!</v>
      </c>
      <c r="CG185" t="e">
        <v>#VALUE!</v>
      </c>
      <c r="CH185" t="e">
        <v>#VALUE!</v>
      </c>
      <c r="CI185" t="e">
        <v>#VALUE!</v>
      </c>
      <c r="CJ185" t="e">
        <v>#VALUE!</v>
      </c>
    </row>
    <row r="186" spans="1:88">
      <c r="A186" t="s">
        <v>19</v>
      </c>
      <c r="B186" t="s">
        <v>276</v>
      </c>
      <c r="C186" t="s">
        <v>276</v>
      </c>
      <c r="D186">
        <v>103.23096836976</v>
      </c>
      <c r="E186">
        <v>104.060158429408</v>
      </c>
      <c r="F186">
        <v>108.155344953904</v>
      </c>
      <c r="G186">
        <v>112.25092541646</v>
      </c>
      <c r="H186">
        <v>115.579723919514</v>
      </c>
      <c r="I186">
        <v>118.102884953976</v>
      </c>
      <c r="J186">
        <v>119.779713332028</v>
      </c>
      <c r="K186">
        <v>120.651844860726</v>
      </c>
      <c r="L186">
        <v>120.971353349677</v>
      </c>
      <c r="M186">
        <v>120.804510344153</v>
      </c>
      <c r="N186">
        <v>120.115387220584</v>
      </c>
      <c r="O186">
        <v>118.976673125594</v>
      </c>
      <c r="P186">
        <v>117.390312410032</v>
      </c>
      <c r="Q186">
        <v>115.449954770433</v>
      </c>
      <c r="R186">
        <v>113.282375582986</v>
      </c>
      <c r="S186">
        <v>111.002132976692</v>
      </c>
      <c r="T186">
        <v>108.662131649905</v>
      </c>
      <c r="U186">
        <v>106.318426449093</v>
      </c>
      <c r="V186">
        <v>5</v>
      </c>
      <c r="AF186" s="99" t="s">
        <v>277</v>
      </c>
      <c r="AH186">
        <v>1</v>
      </c>
      <c r="AI186">
        <v>1.00805201609879</v>
      </c>
      <c r="AJ186">
        <v>1.04831209659274</v>
      </c>
      <c r="AK186">
        <v>1.08910353632669</v>
      </c>
      <c r="AL186">
        <v>1.12271244267224</v>
      </c>
      <c r="AM186">
        <v>1.14854492301775</v>
      </c>
      <c r="AN186">
        <v>1.16595612395182</v>
      </c>
      <c r="AO186">
        <v>1.17513999066876</v>
      </c>
      <c r="AP186">
        <v>1.17855152930929</v>
      </c>
      <c r="AQ186">
        <v>1.17674547198093</v>
      </c>
      <c r="AR186">
        <v>1.16918188426727</v>
      </c>
      <c r="AS186">
        <v>1.15651440870038</v>
      </c>
      <c r="AT186">
        <v>1.13863586790409</v>
      </c>
      <c r="AU186">
        <v>1.11649393853589</v>
      </c>
      <c r="AV186">
        <v>1.09146440481315</v>
      </c>
      <c r="AW186">
        <v>1.06483421041404</v>
      </c>
      <c r="AX186">
        <v>1.03720659477644</v>
      </c>
      <c r="AY186">
        <v>1.00924254633584</v>
      </c>
      <c r="AZ186">
        <v>0</v>
      </c>
      <c r="BA186">
        <v>0</v>
      </c>
      <c r="BB186">
        <v>0</v>
      </c>
      <c r="BC186">
        <v>0</v>
      </c>
      <c r="BD186">
        <v>0</v>
      </c>
      <c r="BE186">
        <v>0</v>
      </c>
      <c r="BF186">
        <v>0</v>
      </c>
      <c r="BG186">
        <v>0</v>
      </c>
      <c r="BI186" t="s">
        <v>273</v>
      </c>
      <c r="BK186">
        <v>1</v>
      </c>
      <c r="BL186">
        <v>0.997560975609757</v>
      </c>
      <c r="BM186">
        <v>0.985365853658537</v>
      </c>
      <c r="BN186">
        <v>0.973170731707317</v>
      </c>
      <c r="BO186">
        <v>0.960975609756098</v>
      </c>
      <c r="BP186">
        <v>0.948780487804878</v>
      </c>
      <c r="BQ186">
        <v>0.936585365853658</v>
      </c>
      <c r="BR186">
        <v>0.924390243902439</v>
      </c>
      <c r="BS186">
        <v>0.91219512195122</v>
      </c>
      <c r="BT186">
        <v>0.9</v>
      </c>
      <c r="BU186">
        <v>0.8875</v>
      </c>
      <c r="BV186">
        <v>0.875000000000001</v>
      </c>
      <c r="BW186">
        <v>0.862500000000001</v>
      </c>
      <c r="BX186">
        <v>0.850000000000001</v>
      </c>
      <c r="BY186">
        <v>0.8375</v>
      </c>
      <c r="BZ186">
        <v>0.825000000000001</v>
      </c>
      <c r="CA186">
        <v>0.812500000000001</v>
      </c>
      <c r="CB186">
        <v>0.800000000000001</v>
      </c>
      <c r="CC186" t="e">
        <v>#VALUE!</v>
      </c>
      <c r="CD186" t="e">
        <v>#VALUE!</v>
      </c>
      <c r="CE186" t="e">
        <v>#VALUE!</v>
      </c>
      <c r="CF186" t="e">
        <v>#VALUE!</v>
      </c>
      <c r="CG186" t="e">
        <v>#VALUE!</v>
      </c>
      <c r="CH186" t="e">
        <v>#VALUE!</v>
      </c>
      <c r="CI186" t="e">
        <v>#VALUE!</v>
      </c>
      <c r="CJ186" t="e">
        <v>#VALUE!</v>
      </c>
    </row>
    <row r="187" spans="1:88">
      <c r="A187" t="s">
        <v>19</v>
      </c>
      <c r="B187" t="s">
        <v>278</v>
      </c>
      <c r="C187" t="s">
        <v>278</v>
      </c>
      <c r="D187">
        <v>64.3754036268</v>
      </c>
      <c r="E187">
        <v>66.791549374975</v>
      </c>
      <c r="F187">
        <v>92.7111724507416</v>
      </c>
      <c r="G187">
        <v>122.067457011695</v>
      </c>
      <c r="H187">
        <v>152.709302677199</v>
      </c>
      <c r="I187">
        <v>185.138280505585</v>
      </c>
      <c r="J187">
        <v>219.254048368332</v>
      </c>
      <c r="K187">
        <v>254.996748926275</v>
      </c>
      <c r="L187">
        <v>292.484738340574</v>
      </c>
      <c r="M187">
        <v>331.250879581016</v>
      </c>
      <c r="N187">
        <v>370.489025233105</v>
      </c>
      <c r="O187">
        <v>408.74632149809</v>
      </c>
      <c r="P187">
        <v>445.752120074887</v>
      </c>
      <c r="Q187">
        <v>480.463552347255</v>
      </c>
      <c r="R187">
        <v>512.713796586275</v>
      </c>
      <c r="S187">
        <v>542.572882550757</v>
      </c>
      <c r="T187">
        <v>570.200033954401</v>
      </c>
      <c r="U187">
        <v>595.940912608117</v>
      </c>
      <c r="V187">
        <v>5</v>
      </c>
      <c r="AF187" s="99" t="s">
        <v>272</v>
      </c>
      <c r="AH187">
        <v>1</v>
      </c>
      <c r="AI187">
        <v>1.03762389140165</v>
      </c>
      <c r="AJ187">
        <v>1.44627211766871</v>
      </c>
      <c r="AK187">
        <v>1.91684835209244</v>
      </c>
      <c r="AL187">
        <v>2.4175631359905</v>
      </c>
      <c r="AM187">
        <v>2.95866601655253</v>
      </c>
      <c r="AN187">
        <v>3.54077928771504</v>
      </c>
      <c r="AO187">
        <v>4.16520854656052</v>
      </c>
      <c r="AP187">
        <v>4.83649287827296</v>
      </c>
      <c r="AQ187">
        <v>5.54875099506021</v>
      </c>
      <c r="AR187">
        <v>6.28934178872169</v>
      </c>
      <c r="AS187">
        <v>7.03156762919676</v>
      </c>
      <c r="AT187">
        <v>7.7696570452703</v>
      </c>
      <c r="AU187">
        <v>8.48146369390752</v>
      </c>
      <c r="AV187">
        <v>9.16122830573521</v>
      </c>
      <c r="AW187">
        <v>9.80792592603439</v>
      </c>
      <c r="AX187">
        <v>10.422581509524</v>
      </c>
      <c r="AY187">
        <v>11.0107224905814</v>
      </c>
      <c r="AZ187">
        <v>0</v>
      </c>
      <c r="BA187">
        <v>0</v>
      </c>
      <c r="BB187">
        <v>0</v>
      </c>
      <c r="BC187">
        <v>0</v>
      </c>
      <c r="BD187">
        <v>0</v>
      </c>
      <c r="BE187">
        <v>0</v>
      </c>
      <c r="BF187">
        <v>0</v>
      </c>
      <c r="BG187">
        <v>0</v>
      </c>
      <c r="BI187" t="s">
        <v>273</v>
      </c>
      <c r="BK187">
        <v>1</v>
      </c>
      <c r="BL187">
        <v>0.997560975609757</v>
      </c>
      <c r="BM187">
        <v>0.985365853658537</v>
      </c>
      <c r="BN187">
        <v>0.973170731707317</v>
      </c>
      <c r="BO187">
        <v>0.960975609756098</v>
      </c>
      <c r="BP187">
        <v>0.948780487804878</v>
      </c>
      <c r="BQ187">
        <v>0.936585365853658</v>
      </c>
      <c r="BR187">
        <v>0.924390243902439</v>
      </c>
      <c r="BS187">
        <v>0.91219512195122</v>
      </c>
      <c r="BT187">
        <v>0.9</v>
      </c>
      <c r="BU187">
        <v>0.8875</v>
      </c>
      <c r="BV187">
        <v>0.875000000000001</v>
      </c>
      <c r="BW187">
        <v>0.862500000000001</v>
      </c>
      <c r="BX187">
        <v>0.850000000000001</v>
      </c>
      <c r="BY187">
        <v>0.8375</v>
      </c>
      <c r="BZ187">
        <v>0.825000000000001</v>
      </c>
      <c r="CA187">
        <v>0.812500000000001</v>
      </c>
      <c r="CB187">
        <v>0.800000000000001</v>
      </c>
      <c r="CC187" t="e">
        <v>#VALUE!</v>
      </c>
      <c r="CD187" t="e">
        <v>#VALUE!</v>
      </c>
      <c r="CE187" t="e">
        <v>#VALUE!</v>
      </c>
      <c r="CF187" t="e">
        <v>#VALUE!</v>
      </c>
      <c r="CG187" t="e">
        <v>#VALUE!</v>
      </c>
      <c r="CH187" t="e">
        <v>#VALUE!</v>
      </c>
      <c r="CI187" t="e">
        <v>#VALUE!</v>
      </c>
      <c r="CJ187" t="e">
        <v>#VALUE!</v>
      </c>
    </row>
    <row r="188" spans="1:88">
      <c r="A188" t="s">
        <v>19</v>
      </c>
      <c r="B188" t="s">
        <v>279</v>
      </c>
      <c r="C188" t="s">
        <v>279</v>
      </c>
      <c r="D188">
        <v>68.148941346</v>
      </c>
      <c r="E188">
        <v>70.7067159866117</v>
      </c>
      <c r="F188">
        <v>98.1456875997618</v>
      </c>
      <c r="G188">
        <v>129.222769869861</v>
      </c>
      <c r="H188">
        <v>161.660769872121</v>
      </c>
      <c r="I188">
        <v>195.990659603754</v>
      </c>
      <c r="J188">
        <v>232.106215112041</v>
      </c>
      <c r="K188">
        <v>269.94407035862</v>
      </c>
      <c r="L188">
        <v>309.629519269901</v>
      </c>
      <c r="M188">
        <v>350.668042320121</v>
      </c>
      <c r="N188">
        <v>392.206237592217</v>
      </c>
      <c r="O188">
        <v>432.70608834785</v>
      </c>
      <c r="P188">
        <v>471.881081506606</v>
      </c>
      <c r="Q188">
        <v>508.62721789868</v>
      </c>
      <c r="R188">
        <v>542.767897090075</v>
      </c>
      <c r="S188">
        <v>574.377253822583</v>
      </c>
      <c r="T188">
        <v>603.623845136849</v>
      </c>
      <c r="U188">
        <v>630.87359474209</v>
      </c>
      <c r="V188">
        <v>5</v>
      </c>
      <c r="AF188" s="99" t="s">
        <v>272</v>
      </c>
      <c r="AH188">
        <v>1</v>
      </c>
      <c r="AI188">
        <v>1.03762389140165</v>
      </c>
      <c r="AJ188">
        <v>1.44627211766871</v>
      </c>
      <c r="AK188">
        <v>1.91684835209244</v>
      </c>
      <c r="AL188">
        <v>2.4175631359905</v>
      </c>
      <c r="AM188">
        <v>2.95866601655253</v>
      </c>
      <c r="AN188">
        <v>3.54077928771504</v>
      </c>
      <c r="AO188">
        <v>4.16520854656052</v>
      </c>
      <c r="AP188">
        <v>4.83649287827296</v>
      </c>
      <c r="AQ188">
        <v>5.54875099506021</v>
      </c>
      <c r="AR188">
        <v>6.28934178872169</v>
      </c>
      <c r="AS188">
        <v>7.03156762919676</v>
      </c>
      <c r="AT188">
        <v>7.7696570452703</v>
      </c>
      <c r="AU188">
        <v>8.48146369390752</v>
      </c>
      <c r="AV188">
        <v>9.16122830573521</v>
      </c>
      <c r="AW188">
        <v>9.80792592603439</v>
      </c>
      <c r="AX188">
        <v>10.422581509524</v>
      </c>
      <c r="AY188">
        <v>11.0107224905814</v>
      </c>
      <c r="AZ188">
        <v>0</v>
      </c>
      <c r="BA188">
        <v>0</v>
      </c>
      <c r="BB188">
        <v>0</v>
      </c>
      <c r="BC188">
        <v>0</v>
      </c>
      <c r="BD188">
        <v>0</v>
      </c>
      <c r="BE188">
        <v>0</v>
      </c>
      <c r="BF188">
        <v>0</v>
      </c>
      <c r="BG188">
        <v>0</v>
      </c>
      <c r="BI188" t="s">
        <v>273</v>
      </c>
      <c r="BK188">
        <v>1</v>
      </c>
      <c r="BL188">
        <v>0.997560975609757</v>
      </c>
      <c r="BM188">
        <v>0.985365853658537</v>
      </c>
      <c r="BN188">
        <v>0.973170731707317</v>
      </c>
      <c r="BO188">
        <v>0.960975609756098</v>
      </c>
      <c r="BP188">
        <v>0.948780487804878</v>
      </c>
      <c r="BQ188">
        <v>0.936585365853658</v>
      </c>
      <c r="BR188">
        <v>0.924390243902439</v>
      </c>
      <c r="BS188">
        <v>0.91219512195122</v>
      </c>
      <c r="BT188">
        <v>0.9</v>
      </c>
      <c r="BU188">
        <v>0.8875</v>
      </c>
      <c r="BV188">
        <v>0.875000000000001</v>
      </c>
      <c r="BW188">
        <v>0.862500000000001</v>
      </c>
      <c r="BX188">
        <v>0.850000000000001</v>
      </c>
      <c r="BY188">
        <v>0.8375</v>
      </c>
      <c r="BZ188">
        <v>0.825000000000001</v>
      </c>
      <c r="CA188">
        <v>0.812500000000001</v>
      </c>
      <c r="CB188">
        <v>0.800000000000001</v>
      </c>
      <c r="CC188" t="e">
        <v>#VALUE!</v>
      </c>
      <c r="CD188" t="e">
        <v>#VALUE!</v>
      </c>
      <c r="CE188" t="e">
        <v>#VALUE!</v>
      </c>
      <c r="CF188" t="e">
        <v>#VALUE!</v>
      </c>
      <c r="CG188" t="e">
        <v>#VALUE!</v>
      </c>
      <c r="CH188" t="e">
        <v>#VALUE!</v>
      </c>
      <c r="CI188" t="e">
        <v>#VALUE!</v>
      </c>
      <c r="CJ188" t="e">
        <v>#VALUE!</v>
      </c>
    </row>
    <row r="189" spans="1:88">
      <c r="A189" t="s">
        <v>19</v>
      </c>
      <c r="B189" t="s">
        <v>280</v>
      </c>
      <c r="C189" t="s">
        <v>280</v>
      </c>
      <c r="D189">
        <v>531.783</v>
      </c>
      <c r="E189">
        <v>536.054481556875</v>
      </c>
      <c r="F189">
        <v>557.15038533408</v>
      </c>
      <c r="G189">
        <v>578.248318439949</v>
      </c>
      <c r="H189">
        <v>595.396258465166</v>
      </c>
      <c r="I189">
        <v>608.394045520528</v>
      </c>
      <c r="J189">
        <v>617.032042813859</v>
      </c>
      <c r="K189">
        <v>621.524732634073</v>
      </c>
      <c r="L189">
        <v>623.170645536594</v>
      </c>
      <c r="M189">
        <v>622.311172111054</v>
      </c>
      <c r="N189">
        <v>618.761229997674</v>
      </c>
      <c r="O189">
        <v>612.895269354869</v>
      </c>
      <c r="P189">
        <v>604.723306292562</v>
      </c>
      <c r="Q189">
        <v>594.727766940813</v>
      </c>
      <c r="R189">
        <v>583.561720731607</v>
      </c>
      <c r="S189">
        <v>571.815301289337</v>
      </c>
      <c r="T189">
        <v>559.761041359256</v>
      </c>
      <c r="U189">
        <v>547.687701328783</v>
      </c>
      <c r="V189">
        <v>5</v>
      </c>
      <c r="AF189" s="99" t="s">
        <v>277</v>
      </c>
      <c r="AH189">
        <v>1</v>
      </c>
      <c r="AI189">
        <v>1.00805201609879</v>
      </c>
      <c r="AJ189">
        <v>1.04831209659274</v>
      </c>
      <c r="AK189">
        <v>1.08910353632669</v>
      </c>
      <c r="AL189">
        <v>1.12271244267224</v>
      </c>
      <c r="AM189">
        <v>1.14854492301775</v>
      </c>
      <c r="AN189">
        <v>1.16595612395182</v>
      </c>
      <c r="AO189">
        <v>1.17513999066876</v>
      </c>
      <c r="AP189">
        <v>1.17855152930929</v>
      </c>
      <c r="AQ189">
        <v>1.17674547198093</v>
      </c>
      <c r="AR189">
        <v>1.16918188426727</v>
      </c>
      <c r="AS189">
        <v>1.15651440870038</v>
      </c>
      <c r="AT189">
        <v>1.13863586790409</v>
      </c>
      <c r="AU189">
        <v>1.11649393853589</v>
      </c>
      <c r="AV189">
        <v>1.09146440481315</v>
      </c>
      <c r="AW189">
        <v>1.06483421041404</v>
      </c>
      <c r="AX189">
        <v>1.03720659477644</v>
      </c>
      <c r="AY189">
        <v>1.00924254633584</v>
      </c>
      <c r="AZ189">
        <v>0</v>
      </c>
      <c r="BA189">
        <v>0</v>
      </c>
      <c r="BB189">
        <v>0</v>
      </c>
      <c r="BC189">
        <v>0</v>
      </c>
      <c r="BD189">
        <v>0</v>
      </c>
      <c r="BE189">
        <v>0</v>
      </c>
      <c r="BF189">
        <v>0</v>
      </c>
      <c r="BG189">
        <v>0</v>
      </c>
      <c r="BI189" t="s">
        <v>273</v>
      </c>
      <c r="BK189">
        <v>1</v>
      </c>
      <c r="BL189">
        <v>0.997560975609757</v>
      </c>
      <c r="BM189">
        <v>0.985365853658537</v>
      </c>
      <c r="BN189">
        <v>0.973170731707317</v>
      </c>
      <c r="BO189">
        <v>0.960975609756098</v>
      </c>
      <c r="BP189">
        <v>0.948780487804878</v>
      </c>
      <c r="BQ189">
        <v>0.936585365853658</v>
      </c>
      <c r="BR189">
        <v>0.924390243902439</v>
      </c>
      <c r="BS189">
        <v>0.91219512195122</v>
      </c>
      <c r="BT189">
        <v>0.9</v>
      </c>
      <c r="BU189">
        <v>0.8875</v>
      </c>
      <c r="BV189">
        <v>0.875000000000001</v>
      </c>
      <c r="BW189">
        <v>0.862500000000001</v>
      </c>
      <c r="BX189">
        <v>0.850000000000001</v>
      </c>
      <c r="BY189">
        <v>0.8375</v>
      </c>
      <c r="BZ189">
        <v>0.825000000000001</v>
      </c>
      <c r="CA189">
        <v>0.812500000000001</v>
      </c>
      <c r="CB189">
        <v>0.800000000000001</v>
      </c>
      <c r="CC189" t="e">
        <v>#VALUE!</v>
      </c>
      <c r="CD189" t="e">
        <v>#VALUE!</v>
      </c>
      <c r="CE189" t="e">
        <v>#VALUE!</v>
      </c>
      <c r="CF189" t="e">
        <v>#VALUE!</v>
      </c>
      <c r="CG189" t="e">
        <v>#VALUE!</v>
      </c>
      <c r="CH189" t="e">
        <v>#VALUE!</v>
      </c>
      <c r="CI189" t="e">
        <v>#VALUE!</v>
      </c>
      <c r="CJ189" t="e">
        <v>#VALUE!</v>
      </c>
    </row>
    <row r="190" spans="1:88">
      <c r="A190" t="s">
        <v>19</v>
      </c>
      <c r="B190" t="s">
        <v>281</v>
      </c>
      <c r="C190" t="s">
        <v>281</v>
      </c>
      <c r="D190">
        <v>168.165</v>
      </c>
      <c r="E190">
        <v>169.515764684113</v>
      </c>
      <c r="F190">
        <v>176.186893055449</v>
      </c>
      <c r="G190">
        <v>182.85866315857</v>
      </c>
      <c r="H190">
        <v>188.281332432204</v>
      </c>
      <c r="I190">
        <v>192.391604592399</v>
      </c>
      <c r="J190">
        <v>195.123186487331</v>
      </c>
      <c r="K190">
        <v>196.543903553534</v>
      </c>
      <c r="L190">
        <v>197.064388306248</v>
      </c>
      <c r="M190">
        <v>196.792598217798</v>
      </c>
      <c r="N190">
        <v>195.670004950438</v>
      </c>
      <c r="O190">
        <v>193.815020358044</v>
      </c>
      <c r="P190">
        <v>191.230811821154</v>
      </c>
      <c r="Q190">
        <v>188.069936285293</v>
      </c>
      <c r="R190">
        <v>184.538912990507</v>
      </c>
      <c r="S190">
        <v>180.82435907376</v>
      </c>
      <c r="T190">
        <v>177.012457186821</v>
      </c>
      <c r="U190">
        <v>173.194521626218</v>
      </c>
      <c r="V190">
        <v>5</v>
      </c>
      <c r="AF190" s="99" t="s">
        <v>277</v>
      </c>
      <c r="AH190">
        <v>1</v>
      </c>
      <c r="AI190">
        <v>1.00805201609879</v>
      </c>
      <c r="AJ190">
        <v>1.04831209659274</v>
      </c>
      <c r="AK190">
        <v>1.08910353632669</v>
      </c>
      <c r="AL190">
        <v>1.12271244267224</v>
      </c>
      <c r="AM190">
        <v>1.14854492301775</v>
      </c>
      <c r="AN190">
        <v>1.16595612395182</v>
      </c>
      <c r="AO190">
        <v>1.17513999066876</v>
      </c>
      <c r="AP190">
        <v>1.17855152930929</v>
      </c>
      <c r="AQ190">
        <v>1.17674547198093</v>
      </c>
      <c r="AR190">
        <v>1.16918188426727</v>
      </c>
      <c r="AS190">
        <v>1.15651440870038</v>
      </c>
      <c r="AT190">
        <v>1.13863586790409</v>
      </c>
      <c r="AU190">
        <v>1.11649393853589</v>
      </c>
      <c r="AV190">
        <v>1.09146440481315</v>
      </c>
      <c r="AW190">
        <v>1.06483421041404</v>
      </c>
      <c r="AX190">
        <v>1.03720659477644</v>
      </c>
      <c r="AY190">
        <v>1.00924254633584</v>
      </c>
      <c r="AZ190">
        <v>0</v>
      </c>
      <c r="BA190">
        <v>0</v>
      </c>
      <c r="BB190">
        <v>0</v>
      </c>
      <c r="BC190">
        <v>0</v>
      </c>
      <c r="BD190">
        <v>0</v>
      </c>
      <c r="BE190">
        <v>0</v>
      </c>
      <c r="BF190">
        <v>0</v>
      </c>
      <c r="BG190">
        <v>0</v>
      </c>
      <c r="BI190" t="s">
        <v>273</v>
      </c>
      <c r="BK190">
        <v>1</v>
      </c>
      <c r="BL190">
        <v>0.997560975609757</v>
      </c>
      <c r="BM190">
        <v>0.985365853658537</v>
      </c>
      <c r="BN190">
        <v>0.973170731707317</v>
      </c>
      <c r="BO190">
        <v>0.960975609756098</v>
      </c>
      <c r="BP190">
        <v>0.948780487804878</v>
      </c>
      <c r="BQ190">
        <v>0.936585365853658</v>
      </c>
      <c r="BR190">
        <v>0.924390243902439</v>
      </c>
      <c r="BS190">
        <v>0.91219512195122</v>
      </c>
      <c r="BT190">
        <v>0.9</v>
      </c>
      <c r="BU190">
        <v>0.8875</v>
      </c>
      <c r="BV190">
        <v>0.875000000000001</v>
      </c>
      <c r="BW190">
        <v>0.862500000000001</v>
      </c>
      <c r="BX190">
        <v>0.850000000000001</v>
      </c>
      <c r="BY190">
        <v>0.8375</v>
      </c>
      <c r="BZ190">
        <v>0.825000000000001</v>
      </c>
      <c r="CA190">
        <v>0.812500000000001</v>
      </c>
      <c r="CB190">
        <v>0.800000000000001</v>
      </c>
      <c r="CC190" t="e">
        <v>#VALUE!</v>
      </c>
      <c r="CD190" t="e">
        <v>#VALUE!</v>
      </c>
      <c r="CE190" t="e">
        <v>#VALUE!</v>
      </c>
      <c r="CF190" t="e">
        <v>#VALUE!</v>
      </c>
      <c r="CG190" t="e">
        <v>#VALUE!</v>
      </c>
      <c r="CH190" t="e">
        <v>#VALUE!</v>
      </c>
      <c r="CI190" t="e">
        <v>#VALUE!</v>
      </c>
      <c r="CJ190" t="e">
        <v>#VALUE!</v>
      </c>
    </row>
    <row r="191" spans="1:88">
      <c r="A191" t="s">
        <v>19</v>
      </c>
      <c r="B191" t="s">
        <v>282</v>
      </c>
      <c r="C191" t="s">
        <v>282</v>
      </c>
      <c r="D191">
        <v>37.835</v>
      </c>
      <c r="E191">
        <v>38.1389049851243</v>
      </c>
      <c r="F191">
        <v>39.6398245696363</v>
      </c>
      <c r="G191">
        <v>41.1408885356912</v>
      </c>
      <c r="H191">
        <v>42.3609205992474</v>
      </c>
      <c r="I191">
        <v>43.2856798962531</v>
      </c>
      <c r="J191">
        <v>43.9002513052549</v>
      </c>
      <c r="K191">
        <v>44.219894692403</v>
      </c>
      <c r="L191">
        <v>44.3369971847107</v>
      </c>
      <c r="M191">
        <v>44.2758478492575</v>
      </c>
      <c r="N191">
        <v>44.0232785496377</v>
      </c>
      <c r="O191">
        <v>43.605930456674</v>
      </c>
      <c r="P191">
        <v>43.0245161909634</v>
      </c>
      <c r="Q191">
        <v>42.3133591374783</v>
      </c>
      <c r="R191">
        <v>41.51892351557</v>
      </c>
      <c r="S191">
        <v>40.6831958228865</v>
      </c>
      <c r="T191">
        <v>39.8255660670376</v>
      </c>
      <c r="U191">
        <v>38.966578810858</v>
      </c>
      <c r="V191">
        <v>5</v>
      </c>
      <c r="AF191" s="99" t="s">
        <v>277</v>
      </c>
      <c r="AH191">
        <v>1</v>
      </c>
      <c r="AI191">
        <v>1.00805201609879</v>
      </c>
      <c r="AJ191">
        <v>1.04831209659274</v>
      </c>
      <c r="AK191">
        <v>1.08910353632669</v>
      </c>
      <c r="AL191">
        <v>1.12271244267224</v>
      </c>
      <c r="AM191">
        <v>1.14854492301775</v>
      </c>
      <c r="AN191">
        <v>1.16595612395182</v>
      </c>
      <c r="AO191">
        <v>1.17513999066876</v>
      </c>
      <c r="AP191">
        <v>1.17855152930929</v>
      </c>
      <c r="AQ191">
        <v>1.17674547198093</v>
      </c>
      <c r="AR191">
        <v>1.16918188426727</v>
      </c>
      <c r="AS191">
        <v>1.15651440870038</v>
      </c>
      <c r="AT191">
        <v>1.13863586790409</v>
      </c>
      <c r="AU191">
        <v>1.11649393853589</v>
      </c>
      <c r="AV191">
        <v>1.09146440481315</v>
      </c>
      <c r="AW191">
        <v>1.06483421041404</v>
      </c>
      <c r="AX191">
        <v>1.03720659477644</v>
      </c>
      <c r="AY191">
        <v>1.00924254633584</v>
      </c>
      <c r="AZ191">
        <v>0</v>
      </c>
      <c r="BA191">
        <v>0</v>
      </c>
      <c r="BB191">
        <v>0</v>
      </c>
      <c r="BC191">
        <v>0</v>
      </c>
      <c r="BD191">
        <v>0</v>
      </c>
      <c r="BE191">
        <v>0</v>
      </c>
      <c r="BF191">
        <v>0</v>
      </c>
      <c r="BG191">
        <v>0</v>
      </c>
      <c r="BI191" t="s">
        <v>273</v>
      </c>
      <c r="BK191">
        <v>1</v>
      </c>
      <c r="BL191">
        <v>0.997560975609757</v>
      </c>
      <c r="BM191">
        <v>0.985365853658537</v>
      </c>
      <c r="BN191">
        <v>0.973170731707317</v>
      </c>
      <c r="BO191">
        <v>0.960975609756098</v>
      </c>
      <c r="BP191">
        <v>0.948780487804878</v>
      </c>
      <c r="BQ191">
        <v>0.936585365853658</v>
      </c>
      <c r="BR191">
        <v>0.924390243902439</v>
      </c>
      <c r="BS191">
        <v>0.91219512195122</v>
      </c>
      <c r="BT191">
        <v>0.9</v>
      </c>
      <c r="BU191">
        <v>0.8875</v>
      </c>
      <c r="BV191">
        <v>0.875000000000001</v>
      </c>
      <c r="BW191">
        <v>0.862500000000001</v>
      </c>
      <c r="BX191">
        <v>0.850000000000001</v>
      </c>
      <c r="BY191">
        <v>0.8375</v>
      </c>
      <c r="BZ191">
        <v>0.825000000000001</v>
      </c>
      <c r="CA191">
        <v>0.812500000000001</v>
      </c>
      <c r="CB191">
        <v>0.800000000000001</v>
      </c>
      <c r="CC191" t="e">
        <v>#VALUE!</v>
      </c>
      <c r="CD191" t="e">
        <v>#VALUE!</v>
      </c>
      <c r="CE191" t="e">
        <v>#VALUE!</v>
      </c>
      <c r="CF191" t="e">
        <v>#VALUE!</v>
      </c>
      <c r="CG191" t="e">
        <v>#VALUE!</v>
      </c>
      <c r="CH191" t="e">
        <v>#VALUE!</v>
      </c>
      <c r="CI191" t="e">
        <v>#VALUE!</v>
      </c>
      <c r="CJ191" t="e">
        <v>#VALUE!</v>
      </c>
    </row>
    <row r="192" spans="1:88">
      <c r="A192" t="s">
        <v>19</v>
      </c>
      <c r="B192" t="s">
        <v>283</v>
      </c>
      <c r="C192" t="s">
        <v>283</v>
      </c>
      <c r="D192">
        <v>568.104</v>
      </c>
      <c r="E192">
        <v>584.729060028635</v>
      </c>
      <c r="F192">
        <v>780.801081496547</v>
      </c>
      <c r="G192">
        <v>990.316181829653</v>
      </c>
      <c r="H192">
        <v>1202.97877553391</v>
      </c>
      <c r="I192">
        <v>1427.02378057992</v>
      </c>
      <c r="J192">
        <v>1666.0988974572</v>
      </c>
      <c r="K192">
        <v>1923.5467067764</v>
      </c>
      <c r="L192">
        <v>2200.43648297593</v>
      </c>
      <c r="M192">
        <v>2495.57104956898</v>
      </c>
      <c r="N192">
        <v>2807.42288199203</v>
      </c>
      <c r="O192">
        <v>3127.40357717487</v>
      </c>
      <c r="P192">
        <v>3457.34204228706</v>
      </c>
      <c r="Q192">
        <v>3790.19017424105</v>
      </c>
      <c r="R192">
        <v>4123.22684797869</v>
      </c>
      <c r="S192">
        <v>4454.42923573282</v>
      </c>
      <c r="T192">
        <v>4783.6885741564</v>
      </c>
      <c r="U192">
        <v>5111.66206826436</v>
      </c>
      <c r="V192">
        <v>5</v>
      </c>
      <c r="AF192" s="99" t="s">
        <v>284</v>
      </c>
      <c r="AH192">
        <v>1</v>
      </c>
      <c r="AI192">
        <v>1.02933566406356</v>
      </c>
      <c r="AJ192">
        <v>1.37961979296951</v>
      </c>
      <c r="AK192">
        <v>1.76002399051752</v>
      </c>
      <c r="AL192">
        <v>2.15332354403796</v>
      </c>
      <c r="AM192">
        <v>2.57601244605982</v>
      </c>
      <c r="AN192">
        <v>3.03680319951847</v>
      </c>
      <c r="AO192">
        <v>3.54443604986174</v>
      </c>
      <c r="AP192">
        <v>4.10376021581973</v>
      </c>
      <c r="AQ192">
        <v>4.71533660182219</v>
      </c>
      <c r="AR192">
        <v>5.37926722381884</v>
      </c>
      <c r="AS192">
        <v>6.07996543432466</v>
      </c>
      <c r="AT192">
        <v>6.82365386888092</v>
      </c>
      <c r="AU192">
        <v>7.59651566494815</v>
      </c>
      <c r="AV192">
        <v>8.39351999509641</v>
      </c>
      <c r="AW192">
        <v>9.21075396537155</v>
      </c>
      <c r="AX192">
        <v>10.0487034714338</v>
      </c>
      <c r="AY192">
        <v>10.909887351219</v>
      </c>
      <c r="AZ192">
        <v>0</v>
      </c>
      <c r="BA192">
        <v>0</v>
      </c>
      <c r="BB192">
        <v>0</v>
      </c>
      <c r="BC192">
        <v>0</v>
      </c>
      <c r="BD192">
        <v>0</v>
      </c>
      <c r="BE192">
        <v>0</v>
      </c>
      <c r="BF192">
        <v>0</v>
      </c>
      <c r="BG192">
        <v>0</v>
      </c>
      <c r="BI192" t="s">
        <v>273</v>
      </c>
      <c r="BK192">
        <v>1</v>
      </c>
      <c r="BL192">
        <v>0.997560975609757</v>
      </c>
      <c r="BM192">
        <v>0.985365853658537</v>
      </c>
      <c r="BN192">
        <v>0.973170731707317</v>
      </c>
      <c r="BO192">
        <v>0.960975609756098</v>
      </c>
      <c r="BP192">
        <v>0.948780487804878</v>
      </c>
      <c r="BQ192">
        <v>0.936585365853658</v>
      </c>
      <c r="BR192">
        <v>0.924390243902439</v>
      </c>
      <c r="BS192">
        <v>0.91219512195122</v>
      </c>
      <c r="BT192">
        <v>0.9</v>
      </c>
      <c r="BU192">
        <v>0.8875</v>
      </c>
      <c r="BV192">
        <v>0.875000000000001</v>
      </c>
      <c r="BW192">
        <v>0.862500000000001</v>
      </c>
      <c r="BX192">
        <v>0.850000000000001</v>
      </c>
      <c r="BY192">
        <v>0.8375</v>
      </c>
      <c r="BZ192">
        <v>0.825000000000001</v>
      </c>
      <c r="CA192">
        <v>0.812500000000001</v>
      </c>
      <c r="CB192">
        <v>0.800000000000001</v>
      </c>
      <c r="CC192" t="e">
        <v>#VALUE!</v>
      </c>
      <c r="CD192" t="e">
        <v>#VALUE!</v>
      </c>
      <c r="CE192" t="e">
        <v>#VALUE!</v>
      </c>
      <c r="CF192" t="e">
        <v>#VALUE!</v>
      </c>
      <c r="CG192" t="e">
        <v>#VALUE!</v>
      </c>
      <c r="CH192" t="e">
        <v>#VALUE!</v>
      </c>
      <c r="CI192" t="e">
        <v>#VALUE!</v>
      </c>
      <c r="CJ192" t="e">
        <v>#VALUE!</v>
      </c>
    </row>
    <row r="193" spans="1:88">
      <c r="A193" t="s">
        <v>19</v>
      </c>
      <c r="B193" t="s">
        <v>285</v>
      </c>
      <c r="C193" t="s">
        <v>285</v>
      </c>
      <c r="D193">
        <v>127.3</v>
      </c>
      <c r="E193">
        <v>132.077839615978</v>
      </c>
      <c r="F193">
        <v>183.332943765281</v>
      </c>
      <c r="G193">
        <v>241.38391997778</v>
      </c>
      <c r="H193">
        <v>301.977046132485</v>
      </c>
      <c r="I193">
        <v>366.10416060443</v>
      </c>
      <c r="J193">
        <v>433.566840514055</v>
      </c>
      <c r="K193">
        <v>504.246720168152</v>
      </c>
      <c r="L193">
        <v>578.377844535246</v>
      </c>
      <c r="M193">
        <v>655.036467268197</v>
      </c>
      <c r="N193">
        <v>732.628461416587</v>
      </c>
      <c r="O193">
        <v>808.280861870122</v>
      </c>
      <c r="P193">
        <v>881.45847153819</v>
      </c>
      <c r="Q193">
        <v>950.099055974585</v>
      </c>
      <c r="R193">
        <v>1013.87273132779</v>
      </c>
      <c r="S193">
        <v>1072.91797887784</v>
      </c>
      <c r="T193">
        <v>1127.54965767977</v>
      </c>
      <c r="U193">
        <v>1178.4513012891</v>
      </c>
      <c r="V193">
        <v>5</v>
      </c>
      <c r="AF193" s="99" t="s">
        <v>272</v>
      </c>
      <c r="AH193">
        <v>1</v>
      </c>
      <c r="AI193">
        <v>1.03762389140165</v>
      </c>
      <c r="AJ193">
        <v>1.44627211766871</v>
      </c>
      <c r="AK193">
        <v>1.91684835209244</v>
      </c>
      <c r="AL193">
        <v>2.4175631359905</v>
      </c>
      <c r="AM193">
        <v>2.95866601655253</v>
      </c>
      <c r="AN193">
        <v>3.54077928771504</v>
      </c>
      <c r="AO193">
        <v>4.16520854656052</v>
      </c>
      <c r="AP193">
        <v>4.83649287827296</v>
      </c>
      <c r="AQ193">
        <v>5.54875099506021</v>
      </c>
      <c r="AR193">
        <v>6.28934178872169</v>
      </c>
      <c r="AS193">
        <v>7.03156762919676</v>
      </c>
      <c r="AT193">
        <v>7.7696570452703</v>
      </c>
      <c r="AU193">
        <v>8.48146369390752</v>
      </c>
      <c r="AV193">
        <v>9.16122830573521</v>
      </c>
      <c r="AW193">
        <v>9.80792592603439</v>
      </c>
      <c r="AX193">
        <v>10.422581509524</v>
      </c>
      <c r="AY193">
        <v>11.0107224905814</v>
      </c>
      <c r="AZ193">
        <v>0</v>
      </c>
      <c r="BA193">
        <v>0</v>
      </c>
      <c r="BB193">
        <v>0</v>
      </c>
      <c r="BC193">
        <v>0</v>
      </c>
      <c r="BD193">
        <v>0</v>
      </c>
      <c r="BE193">
        <v>0</v>
      </c>
      <c r="BF193">
        <v>0</v>
      </c>
      <c r="BG193">
        <v>0</v>
      </c>
      <c r="BI193" t="s">
        <v>273</v>
      </c>
      <c r="BK193">
        <v>1</v>
      </c>
      <c r="BL193">
        <v>0.997560975609757</v>
      </c>
      <c r="BM193">
        <v>0.985365853658537</v>
      </c>
      <c r="BN193">
        <v>0.973170731707317</v>
      </c>
      <c r="BO193">
        <v>0.960975609756098</v>
      </c>
      <c r="BP193">
        <v>0.948780487804878</v>
      </c>
      <c r="BQ193">
        <v>0.936585365853658</v>
      </c>
      <c r="BR193">
        <v>0.924390243902439</v>
      </c>
      <c r="BS193">
        <v>0.91219512195122</v>
      </c>
      <c r="BT193">
        <v>0.9</v>
      </c>
      <c r="BU193">
        <v>0.8875</v>
      </c>
      <c r="BV193">
        <v>0.875000000000001</v>
      </c>
      <c r="BW193">
        <v>0.862500000000001</v>
      </c>
      <c r="BX193">
        <v>0.850000000000001</v>
      </c>
      <c r="BY193">
        <v>0.8375</v>
      </c>
      <c r="BZ193">
        <v>0.825000000000001</v>
      </c>
      <c r="CA193">
        <v>0.812500000000001</v>
      </c>
      <c r="CB193">
        <v>0.800000000000001</v>
      </c>
      <c r="CC193" t="e">
        <v>#VALUE!</v>
      </c>
      <c r="CD193" t="e">
        <v>#VALUE!</v>
      </c>
      <c r="CE193" t="e">
        <v>#VALUE!</v>
      </c>
      <c r="CF193" t="e">
        <v>#VALUE!</v>
      </c>
      <c r="CG193" t="e">
        <v>#VALUE!</v>
      </c>
      <c r="CH193" t="e">
        <v>#VALUE!</v>
      </c>
      <c r="CI193" t="e">
        <v>#VALUE!</v>
      </c>
      <c r="CJ193" t="e">
        <v>#VALUE!</v>
      </c>
    </row>
    <row r="194" spans="1:88">
      <c r="A194" t="s">
        <v>19</v>
      </c>
      <c r="B194" t="s">
        <v>286</v>
      </c>
      <c r="C194" t="s">
        <v>286</v>
      </c>
      <c r="D194">
        <v>179.96</v>
      </c>
      <c r="E194">
        <v>186.714281361283</v>
      </c>
      <c r="F194">
        <v>259.172007541241</v>
      </c>
      <c r="G194">
        <v>341.236843984299</v>
      </c>
      <c r="H194">
        <v>426.895437721932</v>
      </c>
      <c r="I194">
        <v>517.549919421628</v>
      </c>
      <c r="J194">
        <v>612.91978490895</v>
      </c>
      <c r="K194">
        <v>712.837704331977</v>
      </c>
      <c r="L194">
        <v>817.634539690204</v>
      </c>
      <c r="M194">
        <v>926.004419871051</v>
      </c>
      <c r="N194">
        <v>1035.69377782034</v>
      </c>
      <c r="O194">
        <v>1142.64119326117</v>
      </c>
      <c r="P194">
        <v>1246.09007492547</v>
      </c>
      <c r="Q194">
        <v>1343.12510693783</v>
      </c>
      <c r="R194">
        <v>1433.27994288884</v>
      </c>
      <c r="S194">
        <v>1516.75034940185</v>
      </c>
      <c r="T194">
        <v>1593.9814328048</v>
      </c>
      <c r="U194">
        <v>1665.93948295354</v>
      </c>
      <c r="V194">
        <v>5</v>
      </c>
      <c r="AF194" s="99" t="s">
        <v>272</v>
      </c>
      <c r="AH194">
        <v>1</v>
      </c>
      <c r="AI194">
        <v>1.03762389140165</v>
      </c>
      <c r="AJ194">
        <v>1.44627211766871</v>
      </c>
      <c r="AK194">
        <v>1.91684835209244</v>
      </c>
      <c r="AL194">
        <v>2.4175631359905</v>
      </c>
      <c r="AM194">
        <v>2.95866601655253</v>
      </c>
      <c r="AN194">
        <v>3.54077928771504</v>
      </c>
      <c r="AO194">
        <v>4.16520854656052</v>
      </c>
      <c r="AP194">
        <v>4.83649287827296</v>
      </c>
      <c r="AQ194">
        <v>5.54875099506021</v>
      </c>
      <c r="AR194">
        <v>6.28934178872169</v>
      </c>
      <c r="AS194">
        <v>7.03156762919676</v>
      </c>
      <c r="AT194">
        <v>7.7696570452703</v>
      </c>
      <c r="AU194">
        <v>8.48146369390752</v>
      </c>
      <c r="AV194">
        <v>9.16122830573521</v>
      </c>
      <c r="AW194">
        <v>9.80792592603439</v>
      </c>
      <c r="AX194">
        <v>10.422581509524</v>
      </c>
      <c r="AY194">
        <v>11.0107224905814</v>
      </c>
      <c r="AZ194">
        <v>0</v>
      </c>
      <c r="BA194">
        <v>0</v>
      </c>
      <c r="BB194">
        <v>0</v>
      </c>
      <c r="BC194">
        <v>0</v>
      </c>
      <c r="BD194">
        <v>0</v>
      </c>
      <c r="BE194">
        <v>0</v>
      </c>
      <c r="BF194">
        <v>0</v>
      </c>
      <c r="BG194">
        <v>0</v>
      </c>
      <c r="BI194" t="s">
        <v>273</v>
      </c>
      <c r="BK194">
        <v>1</v>
      </c>
      <c r="BL194">
        <v>0.997560975609757</v>
      </c>
      <c r="BM194">
        <v>0.985365853658537</v>
      </c>
      <c r="BN194">
        <v>0.973170731707317</v>
      </c>
      <c r="BO194">
        <v>0.960975609756098</v>
      </c>
      <c r="BP194">
        <v>0.948780487804878</v>
      </c>
      <c r="BQ194">
        <v>0.936585365853658</v>
      </c>
      <c r="BR194">
        <v>0.924390243902439</v>
      </c>
      <c r="BS194">
        <v>0.91219512195122</v>
      </c>
      <c r="BT194">
        <v>0.9</v>
      </c>
      <c r="BU194">
        <v>0.8875</v>
      </c>
      <c r="BV194">
        <v>0.875000000000001</v>
      </c>
      <c r="BW194">
        <v>0.862500000000001</v>
      </c>
      <c r="BX194">
        <v>0.850000000000001</v>
      </c>
      <c r="BY194">
        <v>0.8375</v>
      </c>
      <c r="BZ194">
        <v>0.825000000000001</v>
      </c>
      <c r="CA194">
        <v>0.812500000000001</v>
      </c>
      <c r="CB194">
        <v>0.800000000000001</v>
      </c>
      <c r="CC194" t="e">
        <v>#VALUE!</v>
      </c>
      <c r="CD194" t="e">
        <v>#VALUE!</v>
      </c>
      <c r="CE194" t="e">
        <v>#VALUE!</v>
      </c>
      <c r="CF194" t="e">
        <v>#VALUE!</v>
      </c>
      <c r="CG194" t="e">
        <v>#VALUE!</v>
      </c>
      <c r="CH194" t="e">
        <v>#VALUE!</v>
      </c>
      <c r="CI194" t="e">
        <v>#VALUE!</v>
      </c>
      <c r="CJ194" t="e">
        <v>#VALUE!</v>
      </c>
    </row>
    <row r="195" spans="1:88">
      <c r="A195" t="s">
        <v>20</v>
      </c>
      <c r="B195" t="s">
        <v>271</v>
      </c>
      <c r="C195" t="s">
        <v>271</v>
      </c>
      <c r="D195">
        <v>0.2450282832</v>
      </c>
      <c r="E195">
        <v>0.256072074981676</v>
      </c>
      <c r="F195">
        <v>0.319428073185248</v>
      </c>
      <c r="G195">
        <v>0.351201063834966</v>
      </c>
      <c r="H195">
        <v>0.380834280442219</v>
      </c>
      <c r="I195">
        <v>0.415297274846185</v>
      </c>
      <c r="J195">
        <v>0.455846830459891</v>
      </c>
      <c r="K195">
        <v>0.498859311957103</v>
      </c>
      <c r="L195">
        <v>0.538871446028989</v>
      </c>
      <c r="M195">
        <v>0.575562428719876</v>
      </c>
      <c r="N195">
        <v>0.60837930437947</v>
      </c>
      <c r="O195">
        <v>0.635909466193235</v>
      </c>
      <c r="P195">
        <v>0.658368719876043</v>
      </c>
      <c r="Q195">
        <v>0.676947747125679</v>
      </c>
      <c r="R195">
        <v>0.693023734569272</v>
      </c>
      <c r="S195">
        <v>0.707256969324496</v>
      </c>
      <c r="T195">
        <v>0.719364122783072</v>
      </c>
      <c r="U195">
        <v>0.728660335659828</v>
      </c>
      <c r="V195">
        <v>5</v>
      </c>
      <c r="AF195" s="99" t="s">
        <v>272</v>
      </c>
      <c r="AH195">
        <v>1</v>
      </c>
      <c r="AI195">
        <v>1.05651166418708</v>
      </c>
      <c r="AJ195">
        <v>1.38934575154197</v>
      </c>
      <c r="AK195">
        <v>1.56808500721045</v>
      </c>
      <c r="AL195">
        <v>1.74195387975481</v>
      </c>
      <c r="AM195">
        <v>1.95247666591835</v>
      </c>
      <c r="AN195">
        <v>2.21129186912367</v>
      </c>
      <c r="AO195">
        <v>2.49932937107373</v>
      </c>
      <c r="AP195">
        <v>2.78080327076667</v>
      </c>
      <c r="AQ195">
        <v>3.05129027102921</v>
      </c>
      <c r="AR195">
        <v>3.30434567544223</v>
      </c>
      <c r="AS195">
        <v>3.52586725161997</v>
      </c>
      <c r="AT195">
        <v>3.71383360031657</v>
      </c>
      <c r="AU195">
        <v>3.87506991663274</v>
      </c>
      <c r="AV195">
        <v>4.01942160395414</v>
      </c>
      <c r="AW195">
        <v>4.15150220879485</v>
      </c>
      <c r="AX195">
        <v>4.26753052550673</v>
      </c>
      <c r="AY195">
        <v>4.35944473827398</v>
      </c>
      <c r="AZ195">
        <v>0</v>
      </c>
      <c r="BA195">
        <v>0</v>
      </c>
      <c r="BB195">
        <v>0</v>
      </c>
      <c r="BC195">
        <v>0</v>
      </c>
      <c r="BD195">
        <v>0</v>
      </c>
      <c r="BE195">
        <v>0</v>
      </c>
      <c r="BF195">
        <v>0</v>
      </c>
      <c r="BG195">
        <v>0</v>
      </c>
      <c r="BI195" t="s">
        <v>287</v>
      </c>
      <c r="BK195">
        <v>0.8</v>
      </c>
      <c r="BL195">
        <v>0.797560975609756</v>
      </c>
      <c r="BM195">
        <v>0.785365853658536</v>
      </c>
      <c r="BN195">
        <v>0.773170731707317</v>
      </c>
      <c r="BO195">
        <v>0.760975609756097</v>
      </c>
      <c r="BP195">
        <v>0.748780487804878</v>
      </c>
      <c r="BQ195">
        <v>0.736585365853658</v>
      </c>
      <c r="BR195">
        <v>0.724390243902439</v>
      </c>
      <c r="BS195">
        <v>0.71219512195122</v>
      </c>
      <c r="BT195">
        <v>0.699999999999999</v>
      </c>
      <c r="BU195">
        <v>0.687499999999999</v>
      </c>
      <c r="BV195">
        <v>0.675</v>
      </c>
      <c r="BW195">
        <v>0.6625</v>
      </c>
      <c r="BX195">
        <v>0.649999999999999</v>
      </c>
      <c r="BY195">
        <v>0.637499999999999</v>
      </c>
      <c r="BZ195">
        <v>0.625</v>
      </c>
      <c r="CA195">
        <v>0.6125</v>
      </c>
      <c r="CB195">
        <v>0.6</v>
      </c>
      <c r="CC195" t="e">
        <v>#VALUE!</v>
      </c>
      <c r="CD195" t="e">
        <v>#VALUE!</v>
      </c>
      <c r="CE195" t="e">
        <v>#VALUE!</v>
      </c>
      <c r="CF195" t="e">
        <v>#VALUE!</v>
      </c>
      <c r="CG195" t="e">
        <v>#VALUE!</v>
      </c>
      <c r="CH195" t="e">
        <v>#VALUE!</v>
      </c>
      <c r="CI195" t="e">
        <v>#VALUE!</v>
      </c>
      <c r="CJ195" t="e">
        <v>#VALUE!</v>
      </c>
    </row>
    <row r="196" spans="1:88">
      <c r="A196" t="s">
        <v>20</v>
      </c>
      <c r="B196" t="s">
        <v>274</v>
      </c>
      <c r="C196" t="s">
        <v>274</v>
      </c>
      <c r="D196">
        <v>45.3314591244</v>
      </c>
      <c r="E196">
        <v>47.3746158946769</v>
      </c>
      <c r="F196">
        <v>59.0957927537033</v>
      </c>
      <c r="G196">
        <v>64.9739550951584</v>
      </c>
      <c r="H196">
        <v>70.4562485259936</v>
      </c>
      <c r="I196">
        <v>76.8320750294696</v>
      </c>
      <c r="J196">
        <v>84.3339458290741</v>
      </c>
      <c r="K196">
        <v>92.2914702477486</v>
      </c>
      <c r="L196">
        <v>99.6939153715191</v>
      </c>
      <c r="M196">
        <v>106.481930862484</v>
      </c>
      <c r="N196">
        <v>112.553217156969</v>
      </c>
      <c r="O196">
        <v>117.646434922079</v>
      </c>
      <c r="P196">
        <v>121.801509295497</v>
      </c>
      <c r="Q196">
        <v>125.23872235245</v>
      </c>
      <c r="R196">
        <v>128.212860513835</v>
      </c>
      <c r="S196">
        <v>130.846080202142</v>
      </c>
      <c r="T196">
        <v>133.085964206359</v>
      </c>
      <c r="U196">
        <v>134.805810129984</v>
      </c>
      <c r="V196">
        <v>5</v>
      </c>
      <c r="AF196" s="99" t="s">
        <v>272</v>
      </c>
      <c r="AH196">
        <v>1</v>
      </c>
      <c r="AI196">
        <v>1.05651166418708</v>
      </c>
      <c r="AJ196">
        <v>1.38934575154197</v>
      </c>
      <c r="AK196">
        <v>1.56808500721045</v>
      </c>
      <c r="AL196">
        <v>1.74195387975481</v>
      </c>
      <c r="AM196">
        <v>1.95247666591835</v>
      </c>
      <c r="AN196">
        <v>2.21129186912367</v>
      </c>
      <c r="AO196">
        <v>2.49932937107373</v>
      </c>
      <c r="AP196">
        <v>2.78080327076667</v>
      </c>
      <c r="AQ196">
        <v>3.05129027102921</v>
      </c>
      <c r="AR196">
        <v>3.30434567544223</v>
      </c>
      <c r="AS196">
        <v>3.52586725161997</v>
      </c>
      <c r="AT196">
        <v>3.71383360031657</v>
      </c>
      <c r="AU196">
        <v>3.87506991663274</v>
      </c>
      <c r="AV196">
        <v>4.01942160395414</v>
      </c>
      <c r="AW196">
        <v>4.15150220879485</v>
      </c>
      <c r="AX196">
        <v>4.26753052550673</v>
      </c>
      <c r="AY196">
        <v>4.35944473827398</v>
      </c>
      <c r="AZ196">
        <v>0</v>
      </c>
      <c r="BA196">
        <v>0</v>
      </c>
      <c r="BB196">
        <v>0</v>
      </c>
      <c r="BC196">
        <v>0</v>
      </c>
      <c r="BD196">
        <v>0</v>
      </c>
      <c r="BE196">
        <v>0</v>
      </c>
      <c r="BF196">
        <v>0</v>
      </c>
      <c r="BG196">
        <v>0</v>
      </c>
      <c r="BI196" t="s">
        <v>287</v>
      </c>
      <c r="BK196">
        <v>0.8</v>
      </c>
      <c r="BL196">
        <v>0.797560975609756</v>
      </c>
      <c r="BM196">
        <v>0.785365853658536</v>
      </c>
      <c r="BN196">
        <v>0.773170731707317</v>
      </c>
      <c r="BO196">
        <v>0.760975609756097</v>
      </c>
      <c r="BP196">
        <v>0.748780487804878</v>
      </c>
      <c r="BQ196">
        <v>0.736585365853658</v>
      </c>
      <c r="BR196">
        <v>0.724390243902439</v>
      </c>
      <c r="BS196">
        <v>0.71219512195122</v>
      </c>
      <c r="BT196">
        <v>0.699999999999999</v>
      </c>
      <c r="BU196">
        <v>0.687499999999999</v>
      </c>
      <c r="BV196">
        <v>0.675</v>
      </c>
      <c r="BW196">
        <v>0.6625</v>
      </c>
      <c r="BX196">
        <v>0.649999999999999</v>
      </c>
      <c r="BY196">
        <v>0.637499999999999</v>
      </c>
      <c r="BZ196">
        <v>0.625</v>
      </c>
      <c r="CA196">
        <v>0.6125</v>
      </c>
      <c r="CB196">
        <v>0.6</v>
      </c>
      <c r="CC196" t="e">
        <v>#VALUE!</v>
      </c>
      <c r="CD196" t="e">
        <v>#VALUE!</v>
      </c>
      <c r="CE196" t="e">
        <v>#VALUE!</v>
      </c>
      <c r="CF196" t="e">
        <v>#VALUE!</v>
      </c>
      <c r="CG196" t="e">
        <v>#VALUE!</v>
      </c>
      <c r="CH196" t="e">
        <v>#VALUE!</v>
      </c>
      <c r="CI196" t="e">
        <v>#VALUE!</v>
      </c>
      <c r="CJ196" t="e">
        <v>#VALUE!</v>
      </c>
    </row>
    <row r="197" spans="1:88">
      <c r="A197" t="s">
        <v>20</v>
      </c>
      <c r="B197" t="s">
        <v>275</v>
      </c>
      <c r="C197" t="s">
        <v>275</v>
      </c>
      <c r="D197">
        <v>1.47555434268</v>
      </c>
      <c r="E197">
        <v>1.54205978731801</v>
      </c>
      <c r="F197">
        <v>1.92358806259798</v>
      </c>
      <c r="G197">
        <v>2.11492423702179</v>
      </c>
      <c r="H197">
        <v>2.2933747443729</v>
      </c>
      <c r="I197">
        <v>2.50091005576803</v>
      </c>
      <c r="J197">
        <v>2.74509849025464</v>
      </c>
      <c r="K197">
        <v>3.00411860431572</v>
      </c>
      <c r="L197">
        <v>3.24507069939069</v>
      </c>
      <c r="M197">
        <v>3.46602290188621</v>
      </c>
      <c r="N197">
        <v>3.66364532636845</v>
      </c>
      <c r="O197">
        <v>3.82943128906822</v>
      </c>
      <c r="P197">
        <v>3.96468036673477</v>
      </c>
      <c r="Q197">
        <v>4.07656281549924</v>
      </c>
      <c r="R197">
        <v>4.17337201962651</v>
      </c>
      <c r="S197">
        <v>4.25908421202804</v>
      </c>
      <c r="T197">
        <v>4.33199319473806</v>
      </c>
      <c r="U197">
        <v>4.38797476185201</v>
      </c>
      <c r="V197">
        <v>5</v>
      </c>
      <c r="AF197" s="99" t="s">
        <v>272</v>
      </c>
      <c r="AH197">
        <v>1</v>
      </c>
      <c r="AI197">
        <v>1.05651166418708</v>
      </c>
      <c r="AJ197">
        <v>1.38934575154197</v>
      </c>
      <c r="AK197">
        <v>1.56808500721045</v>
      </c>
      <c r="AL197">
        <v>1.74195387975481</v>
      </c>
      <c r="AM197">
        <v>1.95247666591835</v>
      </c>
      <c r="AN197">
        <v>2.21129186912367</v>
      </c>
      <c r="AO197">
        <v>2.49932937107373</v>
      </c>
      <c r="AP197">
        <v>2.78080327076667</v>
      </c>
      <c r="AQ197">
        <v>3.05129027102921</v>
      </c>
      <c r="AR197">
        <v>3.30434567544223</v>
      </c>
      <c r="AS197">
        <v>3.52586725161997</v>
      </c>
      <c r="AT197">
        <v>3.71383360031657</v>
      </c>
      <c r="AU197">
        <v>3.87506991663274</v>
      </c>
      <c r="AV197">
        <v>4.01942160395414</v>
      </c>
      <c r="AW197">
        <v>4.15150220879485</v>
      </c>
      <c r="AX197">
        <v>4.26753052550673</v>
      </c>
      <c r="AY197">
        <v>4.35944473827398</v>
      </c>
      <c r="AZ197">
        <v>0</v>
      </c>
      <c r="BA197">
        <v>0</v>
      </c>
      <c r="BB197">
        <v>0</v>
      </c>
      <c r="BC197">
        <v>0</v>
      </c>
      <c r="BD197">
        <v>0</v>
      </c>
      <c r="BE197">
        <v>0</v>
      </c>
      <c r="BF197">
        <v>0</v>
      </c>
      <c r="BG197">
        <v>0</v>
      </c>
      <c r="BI197" t="s">
        <v>287</v>
      </c>
      <c r="BK197">
        <v>0.8</v>
      </c>
      <c r="BL197">
        <v>0.797560975609756</v>
      </c>
      <c r="BM197">
        <v>0.785365853658536</v>
      </c>
      <c r="BN197">
        <v>0.773170731707317</v>
      </c>
      <c r="BO197">
        <v>0.760975609756097</v>
      </c>
      <c r="BP197">
        <v>0.748780487804878</v>
      </c>
      <c r="BQ197">
        <v>0.736585365853658</v>
      </c>
      <c r="BR197">
        <v>0.724390243902439</v>
      </c>
      <c r="BS197">
        <v>0.71219512195122</v>
      </c>
      <c r="BT197">
        <v>0.699999999999999</v>
      </c>
      <c r="BU197">
        <v>0.687499999999999</v>
      </c>
      <c r="BV197">
        <v>0.675</v>
      </c>
      <c r="BW197">
        <v>0.6625</v>
      </c>
      <c r="BX197">
        <v>0.649999999999999</v>
      </c>
      <c r="BY197">
        <v>0.637499999999999</v>
      </c>
      <c r="BZ197">
        <v>0.625</v>
      </c>
      <c r="CA197">
        <v>0.6125</v>
      </c>
      <c r="CB197">
        <v>0.6</v>
      </c>
      <c r="CC197" t="e">
        <v>#VALUE!</v>
      </c>
      <c r="CD197" t="e">
        <v>#VALUE!</v>
      </c>
      <c r="CE197" t="e">
        <v>#VALUE!</v>
      </c>
      <c r="CF197" t="e">
        <v>#VALUE!</v>
      </c>
      <c r="CG197" t="e">
        <v>#VALUE!</v>
      </c>
      <c r="CH197" t="e">
        <v>#VALUE!</v>
      </c>
      <c r="CI197" t="e">
        <v>#VALUE!</v>
      </c>
      <c r="CJ197" t="e">
        <v>#VALUE!</v>
      </c>
    </row>
    <row r="198" spans="1:88">
      <c r="A198" t="s">
        <v>20</v>
      </c>
      <c r="B198" t="s">
        <v>276</v>
      </c>
      <c r="C198" t="s">
        <v>276</v>
      </c>
      <c r="D198">
        <v>0.35056034532</v>
      </c>
      <c r="E198">
        <v>0.352843445576617</v>
      </c>
      <c r="F198">
        <v>0.364065966282969</v>
      </c>
      <c r="G198">
        <v>0.371965900909619</v>
      </c>
      <c r="H198">
        <v>0.380077614067599</v>
      </c>
      <c r="I198">
        <v>0.388635517829094</v>
      </c>
      <c r="J198">
        <v>0.39736177909812</v>
      </c>
      <c r="K198">
        <v>0.405863584509525</v>
      </c>
      <c r="L198">
        <v>0.412843306064853</v>
      </c>
      <c r="M198">
        <v>0.418379334786995</v>
      </c>
      <c r="N198">
        <v>0.422644900105911</v>
      </c>
      <c r="O198">
        <v>0.426181842103671</v>
      </c>
      <c r="P198">
        <v>0.429335295555151</v>
      </c>
      <c r="Q198">
        <v>0.43232902372459</v>
      </c>
      <c r="R198">
        <v>0.435186207353742</v>
      </c>
      <c r="S198">
        <v>0.437643581396963</v>
      </c>
      <c r="T198">
        <v>0.43931866888544</v>
      </c>
      <c r="U198">
        <v>0.439997486713419</v>
      </c>
      <c r="V198">
        <v>5</v>
      </c>
      <c r="AF198" s="99" t="s">
        <v>277</v>
      </c>
      <c r="AH198">
        <v>1</v>
      </c>
      <c r="AI198">
        <v>1.00816579172873</v>
      </c>
      <c r="AJ198">
        <v>1.04899475037238</v>
      </c>
      <c r="AK198">
        <v>1.0784349889255</v>
      </c>
      <c r="AL198">
        <v>1.10934026935236</v>
      </c>
      <c r="AM198">
        <v>1.14269868123305</v>
      </c>
      <c r="AN198">
        <v>1.17753196061414</v>
      </c>
      <c r="AO198">
        <v>1.21231160844976</v>
      </c>
      <c r="AP198">
        <v>1.24158501605037</v>
      </c>
      <c r="AQ198">
        <v>1.26536937826259</v>
      </c>
      <c r="AR198">
        <v>1.28413448286069</v>
      </c>
      <c r="AS198">
        <v>1.30005506854337</v>
      </c>
      <c r="AT198">
        <v>1.31457509302719</v>
      </c>
      <c r="AU198">
        <v>1.3286773236778</v>
      </c>
      <c r="AV198">
        <v>1.34245141933838</v>
      </c>
      <c r="AW198">
        <v>1.35458013193606</v>
      </c>
      <c r="AX198">
        <v>1.36304490929575</v>
      </c>
      <c r="AY198">
        <v>1.36655511441676</v>
      </c>
      <c r="AZ198">
        <v>0</v>
      </c>
      <c r="BA198">
        <v>0</v>
      </c>
      <c r="BB198">
        <v>0</v>
      </c>
      <c r="BC198">
        <v>0</v>
      </c>
      <c r="BD198">
        <v>0</v>
      </c>
      <c r="BE198">
        <v>0</v>
      </c>
      <c r="BF198">
        <v>0</v>
      </c>
      <c r="BG198">
        <v>0</v>
      </c>
      <c r="BI198" t="s">
        <v>287</v>
      </c>
      <c r="BK198">
        <v>0.8</v>
      </c>
      <c r="BL198">
        <v>0.797560975609756</v>
      </c>
      <c r="BM198">
        <v>0.785365853658536</v>
      </c>
      <c r="BN198">
        <v>0.773170731707317</v>
      </c>
      <c r="BO198">
        <v>0.760975609756097</v>
      </c>
      <c r="BP198">
        <v>0.748780487804878</v>
      </c>
      <c r="BQ198">
        <v>0.736585365853658</v>
      </c>
      <c r="BR198">
        <v>0.724390243902439</v>
      </c>
      <c r="BS198">
        <v>0.71219512195122</v>
      </c>
      <c r="BT198">
        <v>0.699999999999999</v>
      </c>
      <c r="BU198">
        <v>0.687499999999999</v>
      </c>
      <c r="BV198">
        <v>0.675</v>
      </c>
      <c r="BW198">
        <v>0.6625</v>
      </c>
      <c r="BX198">
        <v>0.649999999999999</v>
      </c>
      <c r="BY198">
        <v>0.637499999999999</v>
      </c>
      <c r="BZ198">
        <v>0.625</v>
      </c>
      <c r="CA198">
        <v>0.6125</v>
      </c>
      <c r="CB198">
        <v>0.6</v>
      </c>
      <c r="CC198" t="e">
        <v>#VALUE!</v>
      </c>
      <c r="CD198" t="e">
        <v>#VALUE!</v>
      </c>
      <c r="CE198" t="e">
        <v>#VALUE!</v>
      </c>
      <c r="CF198" t="e">
        <v>#VALUE!</v>
      </c>
      <c r="CG198" t="e">
        <v>#VALUE!</v>
      </c>
      <c r="CH198" t="e">
        <v>#VALUE!</v>
      </c>
      <c r="CI198" t="e">
        <v>#VALUE!</v>
      </c>
      <c r="CJ198" t="e">
        <v>#VALUE!</v>
      </c>
    </row>
    <row r="199" spans="1:88">
      <c r="A199" t="s">
        <v>20</v>
      </c>
      <c r="B199" t="s">
        <v>278</v>
      </c>
      <c r="C199" t="s">
        <v>278</v>
      </c>
      <c r="D199">
        <v>3.6805991328</v>
      </c>
      <c r="E199">
        <v>3.84648924933516</v>
      </c>
      <c r="F199">
        <v>4.79816727197148</v>
      </c>
      <c r="G199">
        <v>5.27543316268647</v>
      </c>
      <c r="H199">
        <v>5.72055725171952</v>
      </c>
      <c r="I199">
        <v>6.238230010392</v>
      </c>
      <c r="J199">
        <v>6.8473297325878</v>
      </c>
      <c r="K199">
        <v>7.49342535889962</v>
      </c>
      <c r="L199">
        <v>8.09445240787198</v>
      </c>
      <c r="M199">
        <v>8.64559204493759</v>
      </c>
      <c r="N199">
        <v>9.13853825717269</v>
      </c>
      <c r="O199">
        <v>9.5520721087521</v>
      </c>
      <c r="P199">
        <v>9.8894352431165</v>
      </c>
      <c r="Q199">
        <v>10.1685130323832</v>
      </c>
      <c r="R199">
        <v>10.4099923615082</v>
      </c>
      <c r="S199">
        <v>10.6237914822173</v>
      </c>
      <c r="T199">
        <v>10.8056544816162</v>
      </c>
      <c r="U199">
        <v>10.9452940065138</v>
      </c>
      <c r="V199">
        <v>5</v>
      </c>
      <c r="AF199" s="99" t="s">
        <v>272</v>
      </c>
      <c r="AH199">
        <v>1</v>
      </c>
      <c r="AI199">
        <v>1.05651166418708</v>
      </c>
      <c r="AJ199">
        <v>1.38934575154197</v>
      </c>
      <c r="AK199">
        <v>1.56808500721045</v>
      </c>
      <c r="AL199">
        <v>1.74195387975481</v>
      </c>
      <c r="AM199">
        <v>1.95247666591835</v>
      </c>
      <c r="AN199">
        <v>2.21129186912367</v>
      </c>
      <c r="AO199">
        <v>2.49932937107373</v>
      </c>
      <c r="AP199">
        <v>2.78080327076667</v>
      </c>
      <c r="AQ199">
        <v>3.05129027102921</v>
      </c>
      <c r="AR199">
        <v>3.30434567544223</v>
      </c>
      <c r="AS199">
        <v>3.52586725161997</v>
      </c>
      <c r="AT199">
        <v>3.71383360031657</v>
      </c>
      <c r="AU199">
        <v>3.87506991663274</v>
      </c>
      <c r="AV199">
        <v>4.01942160395414</v>
      </c>
      <c r="AW199">
        <v>4.15150220879485</v>
      </c>
      <c r="AX199">
        <v>4.26753052550673</v>
      </c>
      <c r="AY199">
        <v>4.35944473827398</v>
      </c>
      <c r="AZ199">
        <v>0</v>
      </c>
      <c r="BA199">
        <v>0</v>
      </c>
      <c r="BB199">
        <v>0</v>
      </c>
      <c r="BC199">
        <v>0</v>
      </c>
      <c r="BD199">
        <v>0</v>
      </c>
      <c r="BE199">
        <v>0</v>
      </c>
      <c r="BF199">
        <v>0</v>
      </c>
      <c r="BG199">
        <v>0</v>
      </c>
      <c r="BI199" t="s">
        <v>287</v>
      </c>
      <c r="BK199">
        <v>0.8</v>
      </c>
      <c r="BL199">
        <v>0.797560975609756</v>
      </c>
      <c r="BM199">
        <v>0.785365853658536</v>
      </c>
      <c r="BN199">
        <v>0.773170731707317</v>
      </c>
      <c r="BO199">
        <v>0.760975609756097</v>
      </c>
      <c r="BP199">
        <v>0.748780487804878</v>
      </c>
      <c r="BQ199">
        <v>0.736585365853658</v>
      </c>
      <c r="BR199">
        <v>0.724390243902439</v>
      </c>
      <c r="BS199">
        <v>0.71219512195122</v>
      </c>
      <c r="BT199">
        <v>0.699999999999999</v>
      </c>
      <c r="BU199">
        <v>0.687499999999999</v>
      </c>
      <c r="BV199">
        <v>0.675</v>
      </c>
      <c r="BW199">
        <v>0.6625</v>
      </c>
      <c r="BX199">
        <v>0.649999999999999</v>
      </c>
      <c r="BY199">
        <v>0.637499999999999</v>
      </c>
      <c r="BZ199">
        <v>0.625</v>
      </c>
      <c r="CA199">
        <v>0.6125</v>
      </c>
      <c r="CB199">
        <v>0.6</v>
      </c>
      <c r="CC199" t="e">
        <v>#VALUE!</v>
      </c>
      <c r="CD199" t="e">
        <v>#VALUE!</v>
      </c>
      <c r="CE199" t="e">
        <v>#VALUE!</v>
      </c>
      <c r="CF199" t="e">
        <v>#VALUE!</v>
      </c>
      <c r="CG199" t="e">
        <v>#VALUE!</v>
      </c>
      <c r="CH199" t="e">
        <v>#VALUE!</v>
      </c>
      <c r="CI199" t="e">
        <v>#VALUE!</v>
      </c>
      <c r="CJ199" t="e">
        <v>#VALUE!</v>
      </c>
    </row>
    <row r="200" spans="1:88">
      <c r="A200" t="s">
        <v>20</v>
      </c>
      <c r="B200" t="s">
        <v>279</v>
      </c>
      <c r="C200" t="s">
        <v>279</v>
      </c>
      <c r="D200">
        <v>5.8469541228</v>
      </c>
      <c r="E200">
        <v>6.11048510398272</v>
      </c>
      <c r="F200">
        <v>7.62230900472858</v>
      </c>
      <c r="G200">
        <v>8.38048767801023</v>
      </c>
      <c r="H200">
        <v>9.08760628387411</v>
      </c>
      <c r="I200">
        <v>9.90997480632678</v>
      </c>
      <c r="J200">
        <v>10.877583068838</v>
      </c>
      <c r="K200">
        <v>11.9039625656764</v>
      </c>
      <c r="L200">
        <v>12.8587466796502</v>
      </c>
      <c r="M200">
        <v>13.7342802699458</v>
      </c>
      <c r="N200">
        <v>14.5173685074725</v>
      </c>
      <c r="O200">
        <v>15.1743032540093</v>
      </c>
      <c r="P200">
        <v>15.710234144112</v>
      </c>
      <c r="Q200">
        <v>16.1535736580497</v>
      </c>
      <c r="R200">
        <v>16.5371847246329</v>
      </c>
      <c r="S200">
        <v>16.8768233555125</v>
      </c>
      <c r="T200">
        <v>17.1657286602614</v>
      </c>
      <c r="U200">
        <v>17.3875582772196</v>
      </c>
      <c r="V200">
        <v>5</v>
      </c>
      <c r="AF200" s="99" t="s">
        <v>272</v>
      </c>
      <c r="AH200">
        <v>1</v>
      </c>
      <c r="AI200">
        <v>1.05651166418708</v>
      </c>
      <c r="AJ200">
        <v>1.38934575154197</v>
      </c>
      <c r="AK200">
        <v>1.56808500721045</v>
      </c>
      <c r="AL200">
        <v>1.74195387975481</v>
      </c>
      <c r="AM200">
        <v>1.95247666591835</v>
      </c>
      <c r="AN200">
        <v>2.21129186912367</v>
      </c>
      <c r="AO200">
        <v>2.49932937107373</v>
      </c>
      <c r="AP200">
        <v>2.78080327076667</v>
      </c>
      <c r="AQ200">
        <v>3.05129027102921</v>
      </c>
      <c r="AR200">
        <v>3.30434567544223</v>
      </c>
      <c r="AS200">
        <v>3.52586725161997</v>
      </c>
      <c r="AT200">
        <v>3.71383360031657</v>
      </c>
      <c r="AU200">
        <v>3.87506991663274</v>
      </c>
      <c r="AV200">
        <v>4.01942160395414</v>
      </c>
      <c r="AW200">
        <v>4.15150220879485</v>
      </c>
      <c r="AX200">
        <v>4.26753052550673</v>
      </c>
      <c r="AY200">
        <v>4.35944473827398</v>
      </c>
      <c r="AZ200">
        <v>0</v>
      </c>
      <c r="BA200">
        <v>0</v>
      </c>
      <c r="BB200">
        <v>0</v>
      </c>
      <c r="BC200">
        <v>0</v>
      </c>
      <c r="BD200">
        <v>0</v>
      </c>
      <c r="BE200">
        <v>0</v>
      </c>
      <c r="BF200">
        <v>0</v>
      </c>
      <c r="BG200">
        <v>0</v>
      </c>
      <c r="BI200" t="s">
        <v>287</v>
      </c>
      <c r="BK200">
        <v>0.8</v>
      </c>
      <c r="BL200">
        <v>0.797560975609756</v>
      </c>
      <c r="BM200">
        <v>0.785365853658536</v>
      </c>
      <c r="BN200">
        <v>0.773170731707317</v>
      </c>
      <c r="BO200">
        <v>0.760975609756097</v>
      </c>
      <c r="BP200">
        <v>0.748780487804878</v>
      </c>
      <c r="BQ200">
        <v>0.736585365853658</v>
      </c>
      <c r="BR200">
        <v>0.724390243902439</v>
      </c>
      <c r="BS200">
        <v>0.71219512195122</v>
      </c>
      <c r="BT200">
        <v>0.699999999999999</v>
      </c>
      <c r="BU200">
        <v>0.687499999999999</v>
      </c>
      <c r="BV200">
        <v>0.675</v>
      </c>
      <c r="BW200">
        <v>0.6625</v>
      </c>
      <c r="BX200">
        <v>0.649999999999999</v>
      </c>
      <c r="BY200">
        <v>0.637499999999999</v>
      </c>
      <c r="BZ200">
        <v>0.625</v>
      </c>
      <c r="CA200">
        <v>0.6125</v>
      </c>
      <c r="CB200">
        <v>0.6</v>
      </c>
      <c r="CC200" t="e">
        <v>#VALUE!</v>
      </c>
      <c r="CD200" t="e">
        <v>#VALUE!</v>
      </c>
      <c r="CE200" t="e">
        <v>#VALUE!</v>
      </c>
      <c r="CF200" t="e">
        <v>#VALUE!</v>
      </c>
      <c r="CG200" t="e">
        <v>#VALUE!</v>
      </c>
      <c r="CH200" t="e">
        <v>#VALUE!</v>
      </c>
      <c r="CI200" t="e">
        <v>#VALUE!</v>
      </c>
      <c r="CJ200" t="e">
        <v>#VALUE!</v>
      </c>
    </row>
    <row r="201" spans="1:88">
      <c r="A201" t="s">
        <v>20</v>
      </c>
      <c r="B201" t="s">
        <v>280</v>
      </c>
      <c r="C201" t="s">
        <v>280</v>
      </c>
      <c r="D201">
        <v>0.154</v>
      </c>
      <c r="E201">
        <v>0.15500295838994</v>
      </c>
      <c r="F201">
        <v>0.159932974610687</v>
      </c>
      <c r="G201">
        <v>0.163403389758166</v>
      </c>
      <c r="H201">
        <v>0.166966838513868</v>
      </c>
      <c r="I201">
        <v>0.170726297325638</v>
      </c>
      <c r="J201">
        <v>0.174559715033517</v>
      </c>
      <c r="K201">
        <v>0.178294530025673</v>
      </c>
      <c r="L201">
        <v>0.181360698615104</v>
      </c>
      <c r="M201">
        <v>0.18379265771884</v>
      </c>
      <c r="N201">
        <v>0.185666506452397</v>
      </c>
      <c r="O201">
        <v>0.18722027337135</v>
      </c>
      <c r="P201">
        <v>0.188605575040553</v>
      </c>
      <c r="Q201">
        <v>0.189920709921746</v>
      </c>
      <c r="R201">
        <v>0.191175861238099</v>
      </c>
      <c r="S201">
        <v>0.192255377525974</v>
      </c>
      <c r="T201">
        <v>0.192991237918255</v>
      </c>
      <c r="U201">
        <v>0.193289440344469</v>
      </c>
      <c r="V201">
        <v>5</v>
      </c>
      <c r="AF201" s="99" t="s">
        <v>277</v>
      </c>
      <c r="AH201">
        <v>1</v>
      </c>
      <c r="AI201">
        <v>1.00816579172873</v>
      </c>
      <c r="AJ201">
        <v>1.04899475037238</v>
      </c>
      <c r="AK201">
        <v>1.0784349889255</v>
      </c>
      <c r="AL201">
        <v>1.10934026935236</v>
      </c>
      <c r="AM201">
        <v>1.14269868123305</v>
      </c>
      <c r="AN201">
        <v>1.17753196061414</v>
      </c>
      <c r="AO201">
        <v>1.21231160844976</v>
      </c>
      <c r="AP201">
        <v>1.24158501605037</v>
      </c>
      <c r="AQ201">
        <v>1.26536937826259</v>
      </c>
      <c r="AR201">
        <v>1.28413448286069</v>
      </c>
      <c r="AS201">
        <v>1.30005506854337</v>
      </c>
      <c r="AT201">
        <v>1.31457509302719</v>
      </c>
      <c r="AU201">
        <v>1.3286773236778</v>
      </c>
      <c r="AV201">
        <v>1.34245141933838</v>
      </c>
      <c r="AW201">
        <v>1.35458013193606</v>
      </c>
      <c r="AX201">
        <v>1.36304490929575</v>
      </c>
      <c r="AY201">
        <v>1.36655511441676</v>
      </c>
      <c r="AZ201">
        <v>0</v>
      </c>
      <c r="BA201">
        <v>0</v>
      </c>
      <c r="BB201">
        <v>0</v>
      </c>
      <c r="BC201">
        <v>0</v>
      </c>
      <c r="BD201">
        <v>0</v>
      </c>
      <c r="BE201">
        <v>0</v>
      </c>
      <c r="BF201">
        <v>0</v>
      </c>
      <c r="BG201">
        <v>0</v>
      </c>
      <c r="BI201" t="s">
        <v>287</v>
      </c>
      <c r="BK201">
        <v>0.8</v>
      </c>
      <c r="BL201">
        <v>0.797560975609756</v>
      </c>
      <c r="BM201">
        <v>0.785365853658536</v>
      </c>
      <c r="BN201">
        <v>0.773170731707317</v>
      </c>
      <c r="BO201">
        <v>0.760975609756097</v>
      </c>
      <c r="BP201">
        <v>0.748780487804878</v>
      </c>
      <c r="BQ201">
        <v>0.736585365853658</v>
      </c>
      <c r="BR201">
        <v>0.724390243902439</v>
      </c>
      <c r="BS201">
        <v>0.71219512195122</v>
      </c>
      <c r="BT201">
        <v>0.699999999999999</v>
      </c>
      <c r="BU201">
        <v>0.687499999999999</v>
      </c>
      <c r="BV201">
        <v>0.675</v>
      </c>
      <c r="BW201">
        <v>0.6625</v>
      </c>
      <c r="BX201">
        <v>0.649999999999999</v>
      </c>
      <c r="BY201">
        <v>0.637499999999999</v>
      </c>
      <c r="BZ201">
        <v>0.625</v>
      </c>
      <c r="CA201">
        <v>0.6125</v>
      </c>
      <c r="CB201">
        <v>0.6</v>
      </c>
      <c r="CC201" t="e">
        <v>#VALUE!</v>
      </c>
      <c r="CD201" t="e">
        <v>#VALUE!</v>
      </c>
      <c r="CE201" t="e">
        <v>#VALUE!</v>
      </c>
      <c r="CF201" t="e">
        <v>#VALUE!</v>
      </c>
      <c r="CG201" t="e">
        <v>#VALUE!</v>
      </c>
      <c r="CH201" t="e">
        <v>#VALUE!</v>
      </c>
      <c r="CI201" t="e">
        <v>#VALUE!</v>
      </c>
      <c r="CJ201" t="e">
        <v>#VALUE!</v>
      </c>
    </row>
    <row r="202" spans="1:88">
      <c r="A202" t="s">
        <v>20</v>
      </c>
      <c r="B202" t="s">
        <v>281</v>
      </c>
      <c r="C202" t="s">
        <v>281</v>
      </c>
      <c r="D202">
        <v>0.09</v>
      </c>
      <c r="E202">
        <v>0.0905861445136013</v>
      </c>
      <c r="F202">
        <v>0.0934673228244276</v>
      </c>
      <c r="G202">
        <v>0.0954954875210062</v>
      </c>
      <c r="H202">
        <v>0.0975780225081048</v>
      </c>
      <c r="I202">
        <v>0.0997751088266713</v>
      </c>
      <c r="J202">
        <v>0.102015417876731</v>
      </c>
      <c r="K202">
        <v>0.104198101963055</v>
      </c>
      <c r="L202">
        <v>0.105990018671165</v>
      </c>
      <c r="M202">
        <v>0.107411293472049</v>
      </c>
      <c r="N202">
        <v>0.108506399874778</v>
      </c>
      <c r="O202">
        <v>0.109414445476763</v>
      </c>
      <c r="P202">
        <v>0.110224037361362</v>
      </c>
      <c r="Q202">
        <v>0.11099262268154</v>
      </c>
      <c r="R202">
        <v>0.111726152671616</v>
      </c>
      <c r="S202">
        <v>0.112357038813881</v>
      </c>
      <c r="T202">
        <v>0.112787087095084</v>
      </c>
      <c r="U202">
        <v>0.112961361240274</v>
      </c>
      <c r="V202">
        <v>5</v>
      </c>
      <c r="AF202" s="99" t="s">
        <v>277</v>
      </c>
      <c r="AH202">
        <v>1</v>
      </c>
      <c r="AI202">
        <v>1.00816579172873</v>
      </c>
      <c r="AJ202">
        <v>1.04899475037238</v>
      </c>
      <c r="AK202">
        <v>1.0784349889255</v>
      </c>
      <c r="AL202">
        <v>1.10934026935236</v>
      </c>
      <c r="AM202">
        <v>1.14269868123305</v>
      </c>
      <c r="AN202">
        <v>1.17753196061414</v>
      </c>
      <c r="AO202">
        <v>1.21231160844976</v>
      </c>
      <c r="AP202">
        <v>1.24158501605037</v>
      </c>
      <c r="AQ202">
        <v>1.26536937826259</v>
      </c>
      <c r="AR202">
        <v>1.28413448286069</v>
      </c>
      <c r="AS202">
        <v>1.30005506854337</v>
      </c>
      <c r="AT202">
        <v>1.31457509302719</v>
      </c>
      <c r="AU202">
        <v>1.3286773236778</v>
      </c>
      <c r="AV202">
        <v>1.34245141933838</v>
      </c>
      <c r="AW202">
        <v>1.35458013193606</v>
      </c>
      <c r="AX202">
        <v>1.36304490929575</v>
      </c>
      <c r="AY202">
        <v>1.36655511441676</v>
      </c>
      <c r="AZ202">
        <v>0</v>
      </c>
      <c r="BA202">
        <v>0</v>
      </c>
      <c r="BB202">
        <v>0</v>
      </c>
      <c r="BC202">
        <v>0</v>
      </c>
      <c r="BD202">
        <v>0</v>
      </c>
      <c r="BE202">
        <v>0</v>
      </c>
      <c r="BF202">
        <v>0</v>
      </c>
      <c r="BG202">
        <v>0</v>
      </c>
      <c r="BI202" t="s">
        <v>287</v>
      </c>
      <c r="BK202">
        <v>0.8</v>
      </c>
      <c r="BL202">
        <v>0.797560975609756</v>
      </c>
      <c r="BM202">
        <v>0.785365853658536</v>
      </c>
      <c r="BN202">
        <v>0.773170731707317</v>
      </c>
      <c r="BO202">
        <v>0.760975609756097</v>
      </c>
      <c r="BP202">
        <v>0.748780487804878</v>
      </c>
      <c r="BQ202">
        <v>0.736585365853658</v>
      </c>
      <c r="BR202">
        <v>0.724390243902439</v>
      </c>
      <c r="BS202">
        <v>0.71219512195122</v>
      </c>
      <c r="BT202">
        <v>0.699999999999999</v>
      </c>
      <c r="BU202">
        <v>0.687499999999999</v>
      </c>
      <c r="BV202">
        <v>0.675</v>
      </c>
      <c r="BW202">
        <v>0.6625</v>
      </c>
      <c r="BX202">
        <v>0.649999999999999</v>
      </c>
      <c r="BY202">
        <v>0.637499999999999</v>
      </c>
      <c r="BZ202">
        <v>0.625</v>
      </c>
      <c r="CA202">
        <v>0.6125</v>
      </c>
      <c r="CB202">
        <v>0.6</v>
      </c>
      <c r="CC202" t="e">
        <v>#VALUE!</v>
      </c>
      <c r="CD202" t="e">
        <v>#VALUE!</v>
      </c>
      <c r="CE202" t="e">
        <v>#VALUE!</v>
      </c>
      <c r="CF202" t="e">
        <v>#VALUE!</v>
      </c>
      <c r="CG202" t="e">
        <v>#VALUE!</v>
      </c>
      <c r="CH202" t="e">
        <v>#VALUE!</v>
      </c>
      <c r="CI202" t="e">
        <v>#VALUE!</v>
      </c>
      <c r="CJ202" t="e">
        <v>#VALUE!</v>
      </c>
    </row>
    <row r="203" spans="1:88">
      <c r="A203" t="s">
        <v>20</v>
      </c>
      <c r="B203" t="s">
        <v>282</v>
      </c>
      <c r="C203" t="s">
        <v>282</v>
      </c>
      <c r="D203">
        <v>0.385</v>
      </c>
      <c r="E203">
        <v>0.38750739597485</v>
      </c>
      <c r="F203">
        <v>0.399832436526718</v>
      </c>
      <c r="G203">
        <v>0.408508474395415</v>
      </c>
      <c r="H203">
        <v>0.417417096284671</v>
      </c>
      <c r="I203">
        <v>0.426815743314094</v>
      </c>
      <c r="J203">
        <v>0.436399287583793</v>
      </c>
      <c r="K203">
        <v>0.445736325064182</v>
      </c>
      <c r="L203">
        <v>0.45340174653776</v>
      </c>
      <c r="M203">
        <v>0.459481644297101</v>
      </c>
      <c r="N203">
        <v>0.464166266130993</v>
      </c>
      <c r="O203">
        <v>0.468050683428376</v>
      </c>
      <c r="P203">
        <v>0.471513937601381</v>
      </c>
      <c r="Q203">
        <v>0.474801774804365</v>
      </c>
      <c r="R203">
        <v>0.477939653095246</v>
      </c>
      <c r="S203">
        <v>0.480638443814934</v>
      </c>
      <c r="T203">
        <v>0.482478094795638</v>
      </c>
      <c r="U203">
        <v>0.483223600861173</v>
      </c>
      <c r="V203">
        <v>5</v>
      </c>
      <c r="AF203" s="99" t="s">
        <v>277</v>
      </c>
      <c r="AH203">
        <v>1</v>
      </c>
      <c r="AI203">
        <v>1.00816579172873</v>
      </c>
      <c r="AJ203">
        <v>1.04899475037238</v>
      </c>
      <c r="AK203">
        <v>1.0784349889255</v>
      </c>
      <c r="AL203">
        <v>1.10934026935236</v>
      </c>
      <c r="AM203">
        <v>1.14269868123305</v>
      </c>
      <c r="AN203">
        <v>1.17753196061414</v>
      </c>
      <c r="AO203">
        <v>1.21231160844976</v>
      </c>
      <c r="AP203">
        <v>1.24158501605037</v>
      </c>
      <c r="AQ203">
        <v>1.26536937826259</v>
      </c>
      <c r="AR203">
        <v>1.28413448286069</v>
      </c>
      <c r="AS203">
        <v>1.30005506854337</v>
      </c>
      <c r="AT203">
        <v>1.31457509302719</v>
      </c>
      <c r="AU203">
        <v>1.3286773236778</v>
      </c>
      <c r="AV203">
        <v>1.34245141933838</v>
      </c>
      <c r="AW203">
        <v>1.35458013193606</v>
      </c>
      <c r="AX203">
        <v>1.36304490929575</v>
      </c>
      <c r="AY203">
        <v>1.36655511441676</v>
      </c>
      <c r="AZ203">
        <v>0</v>
      </c>
      <c r="BA203">
        <v>0</v>
      </c>
      <c r="BB203">
        <v>0</v>
      </c>
      <c r="BC203">
        <v>0</v>
      </c>
      <c r="BD203">
        <v>0</v>
      </c>
      <c r="BE203">
        <v>0</v>
      </c>
      <c r="BF203">
        <v>0</v>
      </c>
      <c r="BG203">
        <v>0</v>
      </c>
      <c r="BI203" t="s">
        <v>287</v>
      </c>
      <c r="BK203">
        <v>0.8</v>
      </c>
      <c r="BL203">
        <v>0.797560975609756</v>
      </c>
      <c r="BM203">
        <v>0.785365853658536</v>
      </c>
      <c r="BN203">
        <v>0.773170731707317</v>
      </c>
      <c r="BO203">
        <v>0.760975609756097</v>
      </c>
      <c r="BP203">
        <v>0.748780487804878</v>
      </c>
      <c r="BQ203">
        <v>0.736585365853658</v>
      </c>
      <c r="BR203">
        <v>0.724390243902439</v>
      </c>
      <c r="BS203">
        <v>0.71219512195122</v>
      </c>
      <c r="BT203">
        <v>0.699999999999999</v>
      </c>
      <c r="BU203">
        <v>0.687499999999999</v>
      </c>
      <c r="BV203">
        <v>0.675</v>
      </c>
      <c r="BW203">
        <v>0.6625</v>
      </c>
      <c r="BX203">
        <v>0.649999999999999</v>
      </c>
      <c r="BY203">
        <v>0.637499999999999</v>
      </c>
      <c r="BZ203">
        <v>0.625</v>
      </c>
      <c r="CA203">
        <v>0.6125</v>
      </c>
      <c r="CB203">
        <v>0.6</v>
      </c>
      <c r="CC203" t="e">
        <v>#VALUE!</v>
      </c>
      <c r="CD203" t="e">
        <v>#VALUE!</v>
      </c>
      <c r="CE203" t="e">
        <v>#VALUE!</v>
      </c>
      <c r="CF203" t="e">
        <v>#VALUE!</v>
      </c>
      <c r="CG203" t="e">
        <v>#VALUE!</v>
      </c>
      <c r="CH203" t="e">
        <v>#VALUE!</v>
      </c>
      <c r="CI203" t="e">
        <v>#VALUE!</v>
      </c>
      <c r="CJ203" t="e">
        <v>#VALUE!</v>
      </c>
    </row>
    <row r="204" spans="1:88">
      <c r="A204" t="s">
        <v>20</v>
      </c>
      <c r="B204" t="s">
        <v>283</v>
      </c>
      <c r="C204" t="s">
        <v>283</v>
      </c>
      <c r="D204">
        <v>28.296</v>
      </c>
      <c r="E204">
        <v>29.3782220729134</v>
      </c>
      <c r="F204">
        <v>35.4658844104725</v>
      </c>
      <c r="G204">
        <v>38.1487425196904</v>
      </c>
      <c r="H204">
        <v>40.4691772860081</v>
      </c>
      <c r="I204">
        <v>43.1398507371754</v>
      </c>
      <c r="J204">
        <v>46.2874254743419</v>
      </c>
      <c r="K204">
        <v>49.5677461734989</v>
      </c>
      <c r="L204">
        <v>52.6173732246464</v>
      </c>
      <c r="M204">
        <v>55.4403626436467</v>
      </c>
      <c r="N204">
        <v>57.9982369150633</v>
      </c>
      <c r="O204">
        <v>60.1111925864411</v>
      </c>
      <c r="P204">
        <v>61.7709003704825</v>
      </c>
      <c r="Q204">
        <v>63.0694077404931</v>
      </c>
      <c r="R204">
        <v>64.1392593004524</v>
      </c>
      <c r="S204">
        <v>65.0858151410128</v>
      </c>
      <c r="T204">
        <v>65.9454952735247</v>
      </c>
      <c r="U204">
        <v>66.6938733764835</v>
      </c>
      <c r="V204">
        <v>5</v>
      </c>
      <c r="AF204" s="99" t="s">
        <v>284</v>
      </c>
      <c r="AH204">
        <v>1</v>
      </c>
      <c r="AI204">
        <v>1.04795428773223</v>
      </c>
      <c r="AJ204">
        <v>1.32445443702056</v>
      </c>
      <c r="AK204">
        <v>1.45403758530945</v>
      </c>
      <c r="AL204">
        <v>1.57026110732623</v>
      </c>
      <c r="AM204">
        <v>1.70865399425464</v>
      </c>
      <c r="AN204">
        <v>1.87790390671891</v>
      </c>
      <c r="AO204">
        <v>2.06162289765561</v>
      </c>
      <c r="AP204">
        <v>2.23972038548978</v>
      </c>
      <c r="AQ204">
        <v>2.41138305023531</v>
      </c>
      <c r="AR204">
        <v>2.57320842913671</v>
      </c>
      <c r="AS204">
        <v>2.71209069287387</v>
      </c>
      <c r="AT204">
        <v>2.82512092311471</v>
      </c>
      <c r="AU204">
        <v>2.91648683060721</v>
      </c>
      <c r="AV204">
        <v>2.99409091908524</v>
      </c>
      <c r="AW204">
        <v>3.06478894154548</v>
      </c>
      <c r="AX204">
        <v>3.13088035207267</v>
      </c>
      <c r="AY204">
        <v>3.19009800064636</v>
      </c>
      <c r="AZ204">
        <v>0</v>
      </c>
      <c r="BA204">
        <v>0</v>
      </c>
      <c r="BB204">
        <v>0</v>
      </c>
      <c r="BC204">
        <v>0</v>
      </c>
      <c r="BD204">
        <v>0</v>
      </c>
      <c r="BE204">
        <v>0</v>
      </c>
      <c r="BF204">
        <v>0</v>
      </c>
      <c r="BG204">
        <v>0</v>
      </c>
      <c r="BI204" t="s">
        <v>287</v>
      </c>
      <c r="BK204">
        <v>0.8</v>
      </c>
      <c r="BL204">
        <v>0.797560975609756</v>
      </c>
      <c r="BM204">
        <v>0.785365853658536</v>
      </c>
      <c r="BN204">
        <v>0.773170731707317</v>
      </c>
      <c r="BO204">
        <v>0.760975609756097</v>
      </c>
      <c r="BP204">
        <v>0.748780487804878</v>
      </c>
      <c r="BQ204">
        <v>0.736585365853658</v>
      </c>
      <c r="BR204">
        <v>0.724390243902439</v>
      </c>
      <c r="BS204">
        <v>0.71219512195122</v>
      </c>
      <c r="BT204">
        <v>0.699999999999999</v>
      </c>
      <c r="BU204">
        <v>0.687499999999999</v>
      </c>
      <c r="BV204">
        <v>0.675</v>
      </c>
      <c r="BW204">
        <v>0.6625</v>
      </c>
      <c r="BX204">
        <v>0.649999999999999</v>
      </c>
      <c r="BY204">
        <v>0.637499999999999</v>
      </c>
      <c r="BZ204">
        <v>0.625</v>
      </c>
      <c r="CA204">
        <v>0.6125</v>
      </c>
      <c r="CB204">
        <v>0.6</v>
      </c>
      <c r="CC204" t="e">
        <v>#VALUE!</v>
      </c>
      <c r="CD204" t="e">
        <v>#VALUE!</v>
      </c>
      <c r="CE204" t="e">
        <v>#VALUE!</v>
      </c>
      <c r="CF204" t="e">
        <v>#VALUE!</v>
      </c>
      <c r="CG204" t="e">
        <v>#VALUE!</v>
      </c>
      <c r="CH204" t="e">
        <v>#VALUE!</v>
      </c>
      <c r="CI204" t="e">
        <v>#VALUE!</v>
      </c>
      <c r="CJ204" t="e">
        <v>#VALUE!</v>
      </c>
    </row>
    <row r="205" spans="1:88">
      <c r="A205" t="s">
        <v>20</v>
      </c>
      <c r="B205" t="s">
        <v>285</v>
      </c>
      <c r="C205" t="s">
        <v>285</v>
      </c>
      <c r="D205">
        <v>11.6</v>
      </c>
      <c r="E205">
        <v>12.1228293770596</v>
      </c>
      <c r="F205">
        <v>15.122195693321</v>
      </c>
      <c r="G205">
        <v>16.6263758913102</v>
      </c>
      <c r="H205">
        <v>18.0292560329613</v>
      </c>
      <c r="I205">
        <v>19.6607849726621</v>
      </c>
      <c r="J205">
        <v>21.5804606891795</v>
      </c>
      <c r="K205">
        <v>23.616734946386</v>
      </c>
      <c r="L205">
        <v>25.51096833517</v>
      </c>
      <c r="M205">
        <v>27.2479735235339</v>
      </c>
      <c r="N205">
        <v>28.801572776158</v>
      </c>
      <c r="O205">
        <v>30.1048912048269</v>
      </c>
      <c r="P205">
        <v>31.1681453700938</v>
      </c>
      <c r="Q205">
        <v>32.0477038981183</v>
      </c>
      <c r="R205">
        <v>32.8087648332491</v>
      </c>
      <c r="S205">
        <v>33.4825871406348</v>
      </c>
      <c r="T205">
        <v>34.0557576264471</v>
      </c>
      <c r="U205">
        <v>34.4958540429181</v>
      </c>
      <c r="V205">
        <v>5</v>
      </c>
      <c r="AF205" s="99" t="s">
        <v>272</v>
      </c>
      <c r="AH205">
        <v>1</v>
      </c>
      <c r="AI205">
        <v>1.05651166418708</v>
      </c>
      <c r="AJ205">
        <v>1.38934575154197</v>
      </c>
      <c r="AK205">
        <v>1.56808500721045</v>
      </c>
      <c r="AL205">
        <v>1.74195387975481</v>
      </c>
      <c r="AM205">
        <v>1.95247666591835</v>
      </c>
      <c r="AN205">
        <v>2.21129186912367</v>
      </c>
      <c r="AO205">
        <v>2.49932937107373</v>
      </c>
      <c r="AP205">
        <v>2.78080327076667</v>
      </c>
      <c r="AQ205">
        <v>3.05129027102921</v>
      </c>
      <c r="AR205">
        <v>3.30434567544223</v>
      </c>
      <c r="AS205">
        <v>3.52586725161997</v>
      </c>
      <c r="AT205">
        <v>3.71383360031657</v>
      </c>
      <c r="AU205">
        <v>3.87506991663274</v>
      </c>
      <c r="AV205">
        <v>4.01942160395414</v>
      </c>
      <c r="AW205">
        <v>4.15150220879485</v>
      </c>
      <c r="AX205">
        <v>4.26753052550673</v>
      </c>
      <c r="AY205">
        <v>4.35944473827398</v>
      </c>
      <c r="AZ205">
        <v>0</v>
      </c>
      <c r="BA205">
        <v>0</v>
      </c>
      <c r="BB205">
        <v>0</v>
      </c>
      <c r="BC205">
        <v>0</v>
      </c>
      <c r="BD205">
        <v>0</v>
      </c>
      <c r="BE205">
        <v>0</v>
      </c>
      <c r="BF205">
        <v>0</v>
      </c>
      <c r="BG205">
        <v>0</v>
      </c>
      <c r="BI205" t="s">
        <v>287</v>
      </c>
      <c r="BK205">
        <v>0.8</v>
      </c>
      <c r="BL205">
        <v>0.797560975609756</v>
      </c>
      <c r="BM205">
        <v>0.785365853658536</v>
      </c>
      <c r="BN205">
        <v>0.773170731707317</v>
      </c>
      <c r="BO205">
        <v>0.760975609756097</v>
      </c>
      <c r="BP205">
        <v>0.748780487804878</v>
      </c>
      <c r="BQ205">
        <v>0.736585365853658</v>
      </c>
      <c r="BR205">
        <v>0.724390243902439</v>
      </c>
      <c r="BS205">
        <v>0.71219512195122</v>
      </c>
      <c r="BT205">
        <v>0.699999999999999</v>
      </c>
      <c r="BU205">
        <v>0.687499999999999</v>
      </c>
      <c r="BV205">
        <v>0.675</v>
      </c>
      <c r="BW205">
        <v>0.6625</v>
      </c>
      <c r="BX205">
        <v>0.649999999999999</v>
      </c>
      <c r="BY205">
        <v>0.637499999999999</v>
      </c>
      <c r="BZ205">
        <v>0.625</v>
      </c>
      <c r="CA205">
        <v>0.6125</v>
      </c>
      <c r="CB205">
        <v>0.6</v>
      </c>
      <c r="CC205" t="e">
        <v>#VALUE!</v>
      </c>
      <c r="CD205" t="e">
        <v>#VALUE!</v>
      </c>
      <c r="CE205" t="e">
        <v>#VALUE!</v>
      </c>
      <c r="CF205" t="e">
        <v>#VALUE!</v>
      </c>
      <c r="CG205" t="e">
        <v>#VALUE!</v>
      </c>
      <c r="CH205" t="e">
        <v>#VALUE!</v>
      </c>
      <c r="CI205" t="e">
        <v>#VALUE!</v>
      </c>
      <c r="CJ205" t="e">
        <v>#VALUE!</v>
      </c>
    </row>
    <row r="206" spans="1:88">
      <c r="A206" t="s">
        <v>20</v>
      </c>
      <c r="B206" t="s">
        <v>286</v>
      </c>
      <c r="C206" t="s">
        <v>286</v>
      </c>
      <c r="D206">
        <v>6.28</v>
      </c>
      <c r="E206">
        <v>6.56304900758054</v>
      </c>
      <c r="F206">
        <v>8.18684387534964</v>
      </c>
      <c r="G206">
        <v>9.00117591357138</v>
      </c>
      <c r="H206">
        <v>9.7606661971549</v>
      </c>
      <c r="I206">
        <v>10.6439422093377</v>
      </c>
      <c r="J206">
        <v>11.6832149248316</v>
      </c>
      <c r="K206">
        <v>12.785611677871</v>
      </c>
      <c r="L206">
        <v>13.8111104435231</v>
      </c>
      <c r="M206">
        <v>14.7514891144649</v>
      </c>
      <c r="N206">
        <v>15.5925756064028</v>
      </c>
      <c r="O206">
        <v>16.2981652384753</v>
      </c>
      <c r="P206">
        <v>16.8737890451887</v>
      </c>
      <c r="Q206">
        <v>17.3499638344985</v>
      </c>
      <c r="R206">
        <v>17.76198647869</v>
      </c>
      <c r="S206">
        <v>18.1267799347575</v>
      </c>
      <c r="T206">
        <v>18.4370825770765</v>
      </c>
      <c r="U206">
        <v>18.6753416715109</v>
      </c>
      <c r="V206">
        <v>5</v>
      </c>
      <c r="AF206" s="99" t="s">
        <v>272</v>
      </c>
      <c r="AH206">
        <v>1</v>
      </c>
      <c r="AI206">
        <v>1.05651166418708</v>
      </c>
      <c r="AJ206">
        <v>1.38934575154197</v>
      </c>
      <c r="AK206">
        <v>1.56808500721045</v>
      </c>
      <c r="AL206">
        <v>1.74195387975481</v>
      </c>
      <c r="AM206">
        <v>1.95247666591835</v>
      </c>
      <c r="AN206">
        <v>2.21129186912367</v>
      </c>
      <c r="AO206">
        <v>2.49932937107373</v>
      </c>
      <c r="AP206">
        <v>2.78080327076667</v>
      </c>
      <c r="AQ206">
        <v>3.05129027102921</v>
      </c>
      <c r="AR206">
        <v>3.30434567544223</v>
      </c>
      <c r="AS206">
        <v>3.52586725161997</v>
      </c>
      <c r="AT206">
        <v>3.71383360031657</v>
      </c>
      <c r="AU206">
        <v>3.87506991663274</v>
      </c>
      <c r="AV206">
        <v>4.01942160395414</v>
      </c>
      <c r="AW206">
        <v>4.15150220879485</v>
      </c>
      <c r="AX206">
        <v>4.26753052550673</v>
      </c>
      <c r="AY206">
        <v>4.35944473827398</v>
      </c>
      <c r="AZ206">
        <v>0</v>
      </c>
      <c r="BA206">
        <v>0</v>
      </c>
      <c r="BB206">
        <v>0</v>
      </c>
      <c r="BC206">
        <v>0</v>
      </c>
      <c r="BD206">
        <v>0</v>
      </c>
      <c r="BE206">
        <v>0</v>
      </c>
      <c r="BF206">
        <v>0</v>
      </c>
      <c r="BG206">
        <v>0</v>
      </c>
      <c r="BI206" t="s">
        <v>287</v>
      </c>
      <c r="BK206">
        <v>0.8</v>
      </c>
      <c r="BL206">
        <v>0.797560975609756</v>
      </c>
      <c r="BM206">
        <v>0.785365853658536</v>
      </c>
      <c r="BN206">
        <v>0.773170731707317</v>
      </c>
      <c r="BO206">
        <v>0.760975609756097</v>
      </c>
      <c r="BP206">
        <v>0.748780487804878</v>
      </c>
      <c r="BQ206">
        <v>0.736585365853658</v>
      </c>
      <c r="BR206">
        <v>0.724390243902439</v>
      </c>
      <c r="BS206">
        <v>0.71219512195122</v>
      </c>
      <c r="BT206">
        <v>0.699999999999999</v>
      </c>
      <c r="BU206">
        <v>0.687499999999999</v>
      </c>
      <c r="BV206">
        <v>0.675</v>
      </c>
      <c r="BW206">
        <v>0.6625</v>
      </c>
      <c r="BX206">
        <v>0.649999999999999</v>
      </c>
      <c r="BY206">
        <v>0.637499999999999</v>
      </c>
      <c r="BZ206">
        <v>0.625</v>
      </c>
      <c r="CA206">
        <v>0.6125</v>
      </c>
      <c r="CB206">
        <v>0.6</v>
      </c>
      <c r="CC206" t="e">
        <v>#VALUE!</v>
      </c>
      <c r="CD206" t="e">
        <v>#VALUE!</v>
      </c>
      <c r="CE206" t="e">
        <v>#VALUE!</v>
      </c>
      <c r="CF206" t="e">
        <v>#VALUE!</v>
      </c>
      <c r="CG206" t="e">
        <v>#VALUE!</v>
      </c>
      <c r="CH206" t="e">
        <v>#VALUE!</v>
      </c>
      <c r="CI206" t="e">
        <v>#VALUE!</v>
      </c>
      <c r="CJ206" t="e">
        <v>#VALUE!</v>
      </c>
    </row>
    <row r="207" spans="1:88">
      <c r="A207" t="s">
        <v>21</v>
      </c>
      <c r="B207" t="s">
        <v>271</v>
      </c>
      <c r="C207" t="s">
        <v>271</v>
      </c>
      <c r="D207">
        <v>37.9845252864</v>
      </c>
      <c r="E207">
        <v>37.6862690821027</v>
      </c>
      <c r="F207">
        <v>42.2907973160385</v>
      </c>
      <c r="G207">
        <v>44.0089003446974</v>
      </c>
      <c r="H207">
        <v>46.1288594151289</v>
      </c>
      <c r="I207">
        <v>48.218057370588</v>
      </c>
      <c r="J207">
        <v>50.2682529720105</v>
      </c>
      <c r="K207">
        <v>52.1934292571219</v>
      </c>
      <c r="L207">
        <v>53.9625971012773</v>
      </c>
      <c r="M207">
        <v>55.5569165815313</v>
      </c>
      <c r="N207">
        <v>56.9983494907293</v>
      </c>
      <c r="O207">
        <v>58.2627432793185</v>
      </c>
      <c r="P207">
        <v>59.3752806353277</v>
      </c>
      <c r="Q207">
        <v>60.380272909441</v>
      </c>
      <c r="R207">
        <v>61.2868587459408</v>
      </c>
      <c r="S207">
        <v>62.0714407127115</v>
      </c>
      <c r="T207">
        <v>62.7044881552213</v>
      </c>
      <c r="U207">
        <v>63.1471921651433</v>
      </c>
      <c r="V207">
        <v>5</v>
      </c>
      <c r="AF207" s="99" t="s">
        <v>272</v>
      </c>
      <c r="AH207">
        <v>1</v>
      </c>
      <c r="AI207">
        <v>0.99015492820676</v>
      </c>
      <c r="AJ207">
        <v>1.14419479487314</v>
      </c>
      <c r="AK207">
        <v>1.2043160297901</v>
      </c>
      <c r="AL207">
        <v>1.28055143077042</v>
      </c>
      <c r="AM207">
        <v>1.3580064173029</v>
      </c>
      <c r="AN207">
        <v>1.43639707786436</v>
      </c>
      <c r="AO207">
        <v>1.51233848353564</v>
      </c>
      <c r="AP207">
        <v>1.58431705345552</v>
      </c>
      <c r="AQ207">
        <v>1.65118632103046</v>
      </c>
      <c r="AR207">
        <v>1.71349946709724</v>
      </c>
      <c r="AS207">
        <v>1.76981137924015</v>
      </c>
      <c r="AT207">
        <v>1.82082248919626</v>
      </c>
      <c r="AU207">
        <v>1.86823700281963</v>
      </c>
      <c r="AV207">
        <v>1.9122383160877</v>
      </c>
      <c r="AW207">
        <v>1.95140645698237</v>
      </c>
      <c r="AX207">
        <v>1.98389917768614</v>
      </c>
      <c r="AY207">
        <v>2.00724360238581</v>
      </c>
      <c r="AZ207">
        <v>0</v>
      </c>
      <c r="BA207">
        <v>0</v>
      </c>
      <c r="BB207">
        <v>0</v>
      </c>
      <c r="BC207">
        <v>0</v>
      </c>
      <c r="BD207">
        <v>0</v>
      </c>
      <c r="BE207">
        <v>0</v>
      </c>
      <c r="BF207">
        <v>0</v>
      </c>
      <c r="BG207">
        <v>0</v>
      </c>
      <c r="BI207" t="s">
        <v>287</v>
      </c>
      <c r="BK207">
        <v>0.8</v>
      </c>
      <c r="BL207">
        <v>0.797560975609756</v>
      </c>
      <c r="BM207">
        <v>0.785365853658536</v>
      </c>
      <c r="BN207">
        <v>0.773170731707317</v>
      </c>
      <c r="BO207">
        <v>0.760975609756097</v>
      </c>
      <c r="BP207">
        <v>0.748780487804878</v>
      </c>
      <c r="BQ207">
        <v>0.736585365853658</v>
      </c>
      <c r="BR207">
        <v>0.724390243902439</v>
      </c>
      <c r="BS207">
        <v>0.71219512195122</v>
      </c>
      <c r="BT207">
        <v>0.699999999999999</v>
      </c>
      <c r="BU207">
        <v>0.687499999999999</v>
      </c>
      <c r="BV207">
        <v>0.675</v>
      </c>
      <c r="BW207">
        <v>0.6625</v>
      </c>
      <c r="BX207">
        <v>0.649999999999999</v>
      </c>
      <c r="BY207">
        <v>0.637499999999999</v>
      </c>
      <c r="BZ207">
        <v>0.625</v>
      </c>
      <c r="CA207">
        <v>0.6125</v>
      </c>
      <c r="CB207">
        <v>0.6</v>
      </c>
      <c r="CC207" t="e">
        <v>#VALUE!</v>
      </c>
      <c r="CD207" t="e">
        <v>#VALUE!</v>
      </c>
      <c r="CE207" t="e">
        <v>#VALUE!</v>
      </c>
      <c r="CF207" t="e">
        <v>#VALUE!</v>
      </c>
      <c r="CG207" t="e">
        <v>#VALUE!</v>
      </c>
      <c r="CH207" t="e">
        <v>#VALUE!</v>
      </c>
      <c r="CI207" t="e">
        <v>#VALUE!</v>
      </c>
      <c r="CJ207" t="e">
        <v>#VALUE!</v>
      </c>
    </row>
    <row r="208" spans="1:88">
      <c r="A208" t="s">
        <v>21</v>
      </c>
      <c r="B208" t="s">
        <v>274</v>
      </c>
      <c r="C208" t="s">
        <v>274</v>
      </c>
      <c r="D208">
        <v>173.0543776704</v>
      </c>
      <c r="E208">
        <v>171.695546898346</v>
      </c>
      <c r="F208">
        <v>192.673399378573</v>
      </c>
      <c r="G208">
        <v>200.500935675431</v>
      </c>
      <c r="H208">
        <v>210.159295095592</v>
      </c>
      <c r="I208">
        <v>219.67750940224</v>
      </c>
      <c r="J208">
        <v>229.018032187022</v>
      </c>
      <c r="K208">
        <v>237.788977234085</v>
      </c>
      <c r="L208">
        <v>245.849160636572</v>
      </c>
      <c r="M208">
        <v>253.112749252801</v>
      </c>
      <c r="N208">
        <v>259.67979920733</v>
      </c>
      <c r="O208">
        <v>265.440273467962</v>
      </c>
      <c r="P208">
        <v>270.50890229319</v>
      </c>
      <c r="Q208">
        <v>275.087564557597</v>
      </c>
      <c r="R208">
        <v>279.217895174008</v>
      </c>
      <c r="S208">
        <v>282.792386179679</v>
      </c>
      <c r="T208">
        <v>285.676498337811</v>
      </c>
      <c r="U208">
        <v>287.693421449304</v>
      </c>
      <c r="V208">
        <v>5</v>
      </c>
      <c r="AF208" s="99" t="s">
        <v>272</v>
      </c>
      <c r="AH208">
        <v>1</v>
      </c>
      <c r="AI208">
        <v>0.99015492820676</v>
      </c>
      <c r="AJ208">
        <v>1.14419479487314</v>
      </c>
      <c r="AK208">
        <v>1.2043160297901</v>
      </c>
      <c r="AL208">
        <v>1.28055143077042</v>
      </c>
      <c r="AM208">
        <v>1.3580064173029</v>
      </c>
      <c r="AN208">
        <v>1.43639707786436</v>
      </c>
      <c r="AO208">
        <v>1.51233848353564</v>
      </c>
      <c r="AP208">
        <v>1.58431705345552</v>
      </c>
      <c r="AQ208">
        <v>1.65118632103046</v>
      </c>
      <c r="AR208">
        <v>1.71349946709724</v>
      </c>
      <c r="AS208">
        <v>1.76981137924015</v>
      </c>
      <c r="AT208">
        <v>1.82082248919626</v>
      </c>
      <c r="AU208">
        <v>1.86823700281963</v>
      </c>
      <c r="AV208">
        <v>1.9122383160877</v>
      </c>
      <c r="AW208">
        <v>1.95140645698237</v>
      </c>
      <c r="AX208">
        <v>1.98389917768614</v>
      </c>
      <c r="AY208">
        <v>2.00724360238581</v>
      </c>
      <c r="AZ208">
        <v>0</v>
      </c>
      <c r="BA208">
        <v>0</v>
      </c>
      <c r="BB208">
        <v>0</v>
      </c>
      <c r="BC208">
        <v>0</v>
      </c>
      <c r="BD208">
        <v>0</v>
      </c>
      <c r="BE208">
        <v>0</v>
      </c>
      <c r="BF208">
        <v>0</v>
      </c>
      <c r="BG208">
        <v>0</v>
      </c>
      <c r="BI208" t="s">
        <v>287</v>
      </c>
      <c r="BK208">
        <v>0.8</v>
      </c>
      <c r="BL208">
        <v>0.797560975609756</v>
      </c>
      <c r="BM208">
        <v>0.785365853658536</v>
      </c>
      <c r="BN208">
        <v>0.773170731707317</v>
      </c>
      <c r="BO208">
        <v>0.760975609756097</v>
      </c>
      <c r="BP208">
        <v>0.748780487804878</v>
      </c>
      <c r="BQ208">
        <v>0.736585365853658</v>
      </c>
      <c r="BR208">
        <v>0.724390243902439</v>
      </c>
      <c r="BS208">
        <v>0.71219512195122</v>
      </c>
      <c r="BT208">
        <v>0.699999999999999</v>
      </c>
      <c r="BU208">
        <v>0.687499999999999</v>
      </c>
      <c r="BV208">
        <v>0.675</v>
      </c>
      <c r="BW208">
        <v>0.6625</v>
      </c>
      <c r="BX208">
        <v>0.649999999999999</v>
      </c>
      <c r="BY208">
        <v>0.637499999999999</v>
      </c>
      <c r="BZ208">
        <v>0.625</v>
      </c>
      <c r="CA208">
        <v>0.6125</v>
      </c>
      <c r="CB208">
        <v>0.6</v>
      </c>
      <c r="CC208" t="e">
        <v>#VALUE!</v>
      </c>
      <c r="CD208" t="e">
        <v>#VALUE!</v>
      </c>
      <c r="CE208" t="e">
        <v>#VALUE!</v>
      </c>
      <c r="CF208" t="e">
        <v>#VALUE!</v>
      </c>
      <c r="CG208" t="e">
        <v>#VALUE!</v>
      </c>
      <c r="CH208" t="e">
        <v>#VALUE!</v>
      </c>
      <c r="CI208" t="e">
        <v>#VALUE!</v>
      </c>
      <c r="CJ208" t="e">
        <v>#VALUE!</v>
      </c>
    </row>
    <row r="209" spans="1:88">
      <c r="A209" t="s">
        <v>21</v>
      </c>
      <c r="B209" t="s">
        <v>275</v>
      </c>
      <c r="C209" t="s">
        <v>275</v>
      </c>
      <c r="D209">
        <v>1.64862032616</v>
      </c>
      <c r="E209">
        <v>1.63567528506496</v>
      </c>
      <c r="F209">
        <v>1.83552295412513</v>
      </c>
      <c r="G209">
        <v>1.91009278365775</v>
      </c>
      <c r="H209">
        <v>2.00210413796029</v>
      </c>
      <c r="I209">
        <v>2.09278038542612</v>
      </c>
      <c r="J209">
        <v>2.18176383633472</v>
      </c>
      <c r="K209">
        <v>2.26532114634834</v>
      </c>
      <c r="L209">
        <v>2.34210731245866</v>
      </c>
      <c r="M209">
        <v>2.41130463641418</v>
      </c>
      <c r="N209">
        <v>2.4738663131755</v>
      </c>
      <c r="O209">
        <v>2.52874406363892</v>
      </c>
      <c r="P209">
        <v>2.5770308774111</v>
      </c>
      <c r="Q209">
        <v>2.6206499743524</v>
      </c>
      <c r="R209">
        <v>2.6599979937417</v>
      </c>
      <c r="S209">
        <v>2.69405074991554</v>
      </c>
      <c r="T209">
        <v>2.72152654099825</v>
      </c>
      <c r="U209">
        <v>2.74074096644458</v>
      </c>
      <c r="V209">
        <v>5</v>
      </c>
      <c r="AF209" s="99" t="s">
        <v>272</v>
      </c>
      <c r="AH209">
        <v>1</v>
      </c>
      <c r="AI209">
        <v>0.99015492820676</v>
      </c>
      <c r="AJ209">
        <v>1.14419479487314</v>
      </c>
      <c r="AK209">
        <v>1.2043160297901</v>
      </c>
      <c r="AL209">
        <v>1.28055143077042</v>
      </c>
      <c r="AM209">
        <v>1.3580064173029</v>
      </c>
      <c r="AN209">
        <v>1.43639707786436</v>
      </c>
      <c r="AO209">
        <v>1.51233848353564</v>
      </c>
      <c r="AP209">
        <v>1.58431705345552</v>
      </c>
      <c r="AQ209">
        <v>1.65118632103046</v>
      </c>
      <c r="AR209">
        <v>1.71349946709724</v>
      </c>
      <c r="AS209">
        <v>1.76981137924015</v>
      </c>
      <c r="AT209">
        <v>1.82082248919626</v>
      </c>
      <c r="AU209">
        <v>1.86823700281963</v>
      </c>
      <c r="AV209">
        <v>1.9122383160877</v>
      </c>
      <c r="AW209">
        <v>1.95140645698237</v>
      </c>
      <c r="AX209">
        <v>1.98389917768614</v>
      </c>
      <c r="AY209">
        <v>2.00724360238581</v>
      </c>
      <c r="AZ209">
        <v>0</v>
      </c>
      <c r="BA209">
        <v>0</v>
      </c>
      <c r="BB209">
        <v>0</v>
      </c>
      <c r="BC209">
        <v>0</v>
      </c>
      <c r="BD209">
        <v>0</v>
      </c>
      <c r="BE209">
        <v>0</v>
      </c>
      <c r="BF209">
        <v>0</v>
      </c>
      <c r="BG209">
        <v>0</v>
      </c>
      <c r="BI209" t="s">
        <v>287</v>
      </c>
      <c r="BK209">
        <v>0.8</v>
      </c>
      <c r="BL209">
        <v>0.797560975609756</v>
      </c>
      <c r="BM209">
        <v>0.785365853658536</v>
      </c>
      <c r="BN209">
        <v>0.773170731707317</v>
      </c>
      <c r="BO209">
        <v>0.760975609756097</v>
      </c>
      <c r="BP209">
        <v>0.748780487804878</v>
      </c>
      <c r="BQ209">
        <v>0.736585365853658</v>
      </c>
      <c r="BR209">
        <v>0.724390243902439</v>
      </c>
      <c r="BS209">
        <v>0.71219512195122</v>
      </c>
      <c r="BT209">
        <v>0.699999999999999</v>
      </c>
      <c r="BU209">
        <v>0.687499999999999</v>
      </c>
      <c r="BV209">
        <v>0.675</v>
      </c>
      <c r="BW209">
        <v>0.6625</v>
      </c>
      <c r="BX209">
        <v>0.649999999999999</v>
      </c>
      <c r="BY209">
        <v>0.637499999999999</v>
      </c>
      <c r="BZ209">
        <v>0.625</v>
      </c>
      <c r="CA209">
        <v>0.6125</v>
      </c>
      <c r="CB209">
        <v>0.6</v>
      </c>
      <c r="CC209" t="e">
        <v>#VALUE!</v>
      </c>
      <c r="CD209" t="e">
        <v>#VALUE!</v>
      </c>
      <c r="CE209" t="e">
        <v>#VALUE!</v>
      </c>
      <c r="CF209" t="e">
        <v>#VALUE!</v>
      </c>
      <c r="CG209" t="e">
        <v>#VALUE!</v>
      </c>
      <c r="CH209" t="e">
        <v>#VALUE!</v>
      </c>
      <c r="CI209" t="e">
        <v>#VALUE!</v>
      </c>
      <c r="CJ209" t="e">
        <v>#VALUE!</v>
      </c>
    </row>
    <row r="210" spans="1:88">
      <c r="A210" t="s">
        <v>21</v>
      </c>
      <c r="B210" t="s">
        <v>276</v>
      </c>
      <c r="C210" t="s">
        <v>276</v>
      </c>
      <c r="D210">
        <v>20.16264825144</v>
      </c>
      <c r="E210">
        <v>20.1251585840136</v>
      </c>
      <c r="F210">
        <v>19.9404891126245</v>
      </c>
      <c r="G210">
        <v>19.7486203951851</v>
      </c>
      <c r="H210">
        <v>19.5799173646443</v>
      </c>
      <c r="I210">
        <v>19.4340318121154</v>
      </c>
      <c r="J210">
        <v>19.2997802037326</v>
      </c>
      <c r="K210">
        <v>19.1689954097244</v>
      </c>
      <c r="L210">
        <v>18.9893392880195</v>
      </c>
      <c r="M210">
        <v>18.769611292988</v>
      </c>
      <c r="N210">
        <v>18.5238484730903</v>
      </c>
      <c r="O210">
        <v>18.2910244469363</v>
      </c>
      <c r="P210">
        <v>18.0962515620294</v>
      </c>
      <c r="Q210">
        <v>17.9407535529965</v>
      </c>
      <c r="R210">
        <v>17.8032743088043</v>
      </c>
      <c r="S210">
        <v>17.6573858041843</v>
      </c>
      <c r="T210">
        <v>17.4888412787382</v>
      </c>
      <c r="U210">
        <v>17.2937393473289</v>
      </c>
      <c r="V210">
        <v>5</v>
      </c>
      <c r="AF210" s="99" t="s">
        <v>277</v>
      </c>
      <c r="AH210">
        <v>1</v>
      </c>
      <c r="AI210">
        <v>0.997668689508291</v>
      </c>
      <c r="AJ210">
        <v>0.986012137049744</v>
      </c>
      <c r="AK210">
        <v>0.97374127083826</v>
      </c>
      <c r="AL210">
        <v>0.962810294293591</v>
      </c>
      <c r="AM210">
        <v>0.953229806181516</v>
      </c>
      <c r="AN210">
        <v>0.944289937992211</v>
      </c>
      <c r="AO210">
        <v>0.935456339430984</v>
      </c>
      <c r="AP210">
        <v>0.9231460803107</v>
      </c>
      <c r="AQ210">
        <v>0.907886312390298</v>
      </c>
      <c r="AR210">
        <v>0.890595329986751</v>
      </c>
      <c r="AS210">
        <v>0.87401194374418</v>
      </c>
      <c r="AT210">
        <v>0.859963702660613</v>
      </c>
      <c r="AU210">
        <v>0.8485952077377</v>
      </c>
      <c r="AV210">
        <v>0.838394816226259</v>
      </c>
      <c r="AW210">
        <v>0.827402486262789</v>
      </c>
      <c r="AX210">
        <v>0.814508150557037</v>
      </c>
      <c r="AY210">
        <v>0.799364007043897</v>
      </c>
      <c r="AZ210">
        <v>0</v>
      </c>
      <c r="BA210">
        <v>0</v>
      </c>
      <c r="BB210">
        <v>0</v>
      </c>
      <c r="BC210">
        <v>0</v>
      </c>
      <c r="BD210">
        <v>0</v>
      </c>
      <c r="BE210">
        <v>0</v>
      </c>
      <c r="BF210">
        <v>0</v>
      </c>
      <c r="BG210">
        <v>0</v>
      </c>
      <c r="BI210" t="s">
        <v>287</v>
      </c>
      <c r="BK210">
        <v>0.8</v>
      </c>
      <c r="BL210">
        <v>0.797560975609756</v>
      </c>
      <c r="BM210">
        <v>0.785365853658536</v>
      </c>
      <c r="BN210">
        <v>0.773170731707317</v>
      </c>
      <c r="BO210">
        <v>0.760975609756097</v>
      </c>
      <c r="BP210">
        <v>0.748780487804878</v>
      </c>
      <c r="BQ210">
        <v>0.736585365853658</v>
      </c>
      <c r="BR210">
        <v>0.724390243902439</v>
      </c>
      <c r="BS210">
        <v>0.71219512195122</v>
      </c>
      <c r="BT210">
        <v>0.699999999999999</v>
      </c>
      <c r="BU210">
        <v>0.687499999999999</v>
      </c>
      <c r="BV210">
        <v>0.675</v>
      </c>
      <c r="BW210">
        <v>0.6625</v>
      </c>
      <c r="BX210">
        <v>0.649999999999999</v>
      </c>
      <c r="BY210">
        <v>0.637499999999999</v>
      </c>
      <c r="BZ210">
        <v>0.625</v>
      </c>
      <c r="CA210">
        <v>0.6125</v>
      </c>
      <c r="CB210">
        <v>0.6</v>
      </c>
      <c r="CC210" t="e">
        <v>#VALUE!</v>
      </c>
      <c r="CD210" t="e">
        <v>#VALUE!</v>
      </c>
      <c r="CE210" t="e">
        <v>#VALUE!</v>
      </c>
      <c r="CF210" t="e">
        <v>#VALUE!</v>
      </c>
      <c r="CG210" t="e">
        <v>#VALUE!</v>
      </c>
      <c r="CH210" t="e">
        <v>#VALUE!</v>
      </c>
      <c r="CI210" t="e">
        <v>#VALUE!</v>
      </c>
      <c r="CJ210" t="e">
        <v>#VALUE!</v>
      </c>
    </row>
    <row r="211" spans="1:88">
      <c r="A211" t="s">
        <v>21</v>
      </c>
      <c r="B211" t="s">
        <v>278</v>
      </c>
      <c r="C211" t="s">
        <v>278</v>
      </c>
      <c r="D211">
        <v>25.9399641672</v>
      </c>
      <c r="E211">
        <v>25.7362823995911</v>
      </c>
      <c r="F211">
        <v>28.880754957681</v>
      </c>
      <c r="G211">
        <v>30.0540625260377</v>
      </c>
      <c r="H211">
        <v>31.5018010961078</v>
      </c>
      <c r="I211">
        <v>32.9285326320209</v>
      </c>
      <c r="J211">
        <v>34.3286291196212</v>
      </c>
      <c r="K211">
        <v>35.6433488238902</v>
      </c>
      <c r="L211">
        <v>36.8515290008735</v>
      </c>
      <c r="M211">
        <v>37.9403037025983</v>
      </c>
      <c r="N211">
        <v>38.9246708292663</v>
      </c>
      <c r="O211">
        <v>39.7881363937807</v>
      </c>
      <c r="P211">
        <v>40.5478978738033</v>
      </c>
      <c r="Q211">
        <v>41.2342158778391</v>
      </c>
      <c r="R211">
        <v>41.8533312659079</v>
      </c>
      <c r="S211">
        <v>42.3891291454604</v>
      </c>
      <c r="T211">
        <v>42.8214427745245</v>
      </c>
      <c r="U211">
        <v>43.1237692105525</v>
      </c>
      <c r="V211">
        <v>5</v>
      </c>
      <c r="AF211" s="99" t="s">
        <v>272</v>
      </c>
      <c r="AH211">
        <v>1</v>
      </c>
      <c r="AI211">
        <v>0.99015492820676</v>
      </c>
      <c r="AJ211">
        <v>1.14419479487314</v>
      </c>
      <c r="AK211">
        <v>1.2043160297901</v>
      </c>
      <c r="AL211">
        <v>1.28055143077042</v>
      </c>
      <c r="AM211">
        <v>1.3580064173029</v>
      </c>
      <c r="AN211">
        <v>1.43639707786436</v>
      </c>
      <c r="AO211">
        <v>1.51233848353564</v>
      </c>
      <c r="AP211">
        <v>1.58431705345552</v>
      </c>
      <c r="AQ211">
        <v>1.65118632103046</v>
      </c>
      <c r="AR211">
        <v>1.71349946709724</v>
      </c>
      <c r="AS211">
        <v>1.76981137924015</v>
      </c>
      <c r="AT211">
        <v>1.82082248919626</v>
      </c>
      <c r="AU211">
        <v>1.86823700281963</v>
      </c>
      <c r="AV211">
        <v>1.9122383160877</v>
      </c>
      <c r="AW211">
        <v>1.95140645698237</v>
      </c>
      <c r="AX211">
        <v>1.98389917768614</v>
      </c>
      <c r="AY211">
        <v>2.00724360238581</v>
      </c>
      <c r="AZ211">
        <v>0</v>
      </c>
      <c r="BA211">
        <v>0</v>
      </c>
      <c r="BB211">
        <v>0</v>
      </c>
      <c r="BC211">
        <v>0</v>
      </c>
      <c r="BD211">
        <v>0</v>
      </c>
      <c r="BE211">
        <v>0</v>
      </c>
      <c r="BF211">
        <v>0</v>
      </c>
      <c r="BG211">
        <v>0</v>
      </c>
      <c r="BI211" t="s">
        <v>287</v>
      </c>
      <c r="BK211">
        <v>0.8</v>
      </c>
      <c r="BL211">
        <v>0.797560975609756</v>
      </c>
      <c r="BM211">
        <v>0.785365853658536</v>
      </c>
      <c r="BN211">
        <v>0.773170731707317</v>
      </c>
      <c r="BO211">
        <v>0.760975609756097</v>
      </c>
      <c r="BP211">
        <v>0.748780487804878</v>
      </c>
      <c r="BQ211">
        <v>0.736585365853658</v>
      </c>
      <c r="BR211">
        <v>0.724390243902439</v>
      </c>
      <c r="BS211">
        <v>0.71219512195122</v>
      </c>
      <c r="BT211">
        <v>0.699999999999999</v>
      </c>
      <c r="BU211">
        <v>0.687499999999999</v>
      </c>
      <c r="BV211">
        <v>0.675</v>
      </c>
      <c r="BW211">
        <v>0.6625</v>
      </c>
      <c r="BX211">
        <v>0.649999999999999</v>
      </c>
      <c r="BY211">
        <v>0.637499999999999</v>
      </c>
      <c r="BZ211">
        <v>0.625</v>
      </c>
      <c r="CA211">
        <v>0.6125</v>
      </c>
      <c r="CB211">
        <v>0.6</v>
      </c>
      <c r="CC211" t="e">
        <v>#VALUE!</v>
      </c>
      <c r="CD211" t="e">
        <v>#VALUE!</v>
      </c>
      <c r="CE211" t="e">
        <v>#VALUE!</v>
      </c>
      <c r="CF211" t="e">
        <v>#VALUE!</v>
      </c>
      <c r="CG211" t="e">
        <v>#VALUE!</v>
      </c>
      <c r="CH211" t="e">
        <v>#VALUE!</v>
      </c>
      <c r="CI211" t="e">
        <v>#VALUE!</v>
      </c>
      <c r="CJ211" t="e">
        <v>#VALUE!</v>
      </c>
    </row>
    <row r="212" spans="1:88">
      <c r="A212" t="s">
        <v>21</v>
      </c>
      <c r="B212" t="s">
        <v>279</v>
      </c>
      <c r="C212" t="s">
        <v>279</v>
      </c>
      <c r="D212">
        <v>205.8285182796</v>
      </c>
      <c r="E212">
        <v>204.212343478537</v>
      </c>
      <c r="F212">
        <v>229.163115315797</v>
      </c>
      <c r="G212">
        <v>238.47308030744</v>
      </c>
      <c r="H212">
        <v>249.960601370038</v>
      </c>
      <c r="I212">
        <v>261.281435744632</v>
      </c>
      <c r="J212">
        <v>272.39092624484</v>
      </c>
      <c r="K212">
        <v>282.822968746457</v>
      </c>
      <c r="L212">
        <v>292.409641034838</v>
      </c>
      <c r="M212">
        <v>301.048854341065</v>
      </c>
      <c r="N212">
        <v>308.859614056046</v>
      </c>
      <c r="O212">
        <v>315.711043633354</v>
      </c>
      <c r="P212">
        <v>321.739601678808</v>
      </c>
      <c r="Q212">
        <v>327.185400174471</v>
      </c>
      <c r="R212">
        <v>332.097959118227</v>
      </c>
      <c r="S212">
        <v>336.34941000439</v>
      </c>
      <c r="T212">
        <v>339.779733698316</v>
      </c>
      <c r="U212">
        <v>342.178634558907</v>
      </c>
      <c r="V212">
        <v>5</v>
      </c>
      <c r="AF212" s="99" t="s">
        <v>272</v>
      </c>
      <c r="AH212">
        <v>1</v>
      </c>
      <c r="AI212">
        <v>0.99015492820676</v>
      </c>
      <c r="AJ212">
        <v>1.14419479487314</v>
      </c>
      <c r="AK212">
        <v>1.2043160297901</v>
      </c>
      <c r="AL212">
        <v>1.28055143077042</v>
      </c>
      <c r="AM212">
        <v>1.3580064173029</v>
      </c>
      <c r="AN212">
        <v>1.43639707786436</v>
      </c>
      <c r="AO212">
        <v>1.51233848353564</v>
      </c>
      <c r="AP212">
        <v>1.58431705345552</v>
      </c>
      <c r="AQ212">
        <v>1.65118632103046</v>
      </c>
      <c r="AR212">
        <v>1.71349946709724</v>
      </c>
      <c r="AS212">
        <v>1.76981137924015</v>
      </c>
      <c r="AT212">
        <v>1.82082248919626</v>
      </c>
      <c r="AU212">
        <v>1.86823700281963</v>
      </c>
      <c r="AV212">
        <v>1.9122383160877</v>
      </c>
      <c r="AW212">
        <v>1.95140645698237</v>
      </c>
      <c r="AX212">
        <v>1.98389917768614</v>
      </c>
      <c r="AY212">
        <v>2.00724360238581</v>
      </c>
      <c r="AZ212">
        <v>0</v>
      </c>
      <c r="BA212">
        <v>0</v>
      </c>
      <c r="BB212">
        <v>0</v>
      </c>
      <c r="BC212">
        <v>0</v>
      </c>
      <c r="BD212">
        <v>0</v>
      </c>
      <c r="BE212">
        <v>0</v>
      </c>
      <c r="BF212">
        <v>0</v>
      </c>
      <c r="BG212">
        <v>0</v>
      </c>
      <c r="BI212" t="s">
        <v>287</v>
      </c>
      <c r="BK212">
        <v>0.8</v>
      </c>
      <c r="BL212">
        <v>0.797560975609756</v>
      </c>
      <c r="BM212">
        <v>0.785365853658536</v>
      </c>
      <c r="BN212">
        <v>0.773170731707317</v>
      </c>
      <c r="BO212">
        <v>0.760975609756097</v>
      </c>
      <c r="BP212">
        <v>0.748780487804878</v>
      </c>
      <c r="BQ212">
        <v>0.736585365853658</v>
      </c>
      <c r="BR212">
        <v>0.724390243902439</v>
      </c>
      <c r="BS212">
        <v>0.71219512195122</v>
      </c>
      <c r="BT212">
        <v>0.699999999999999</v>
      </c>
      <c r="BU212">
        <v>0.687499999999999</v>
      </c>
      <c r="BV212">
        <v>0.675</v>
      </c>
      <c r="BW212">
        <v>0.6625</v>
      </c>
      <c r="BX212">
        <v>0.649999999999999</v>
      </c>
      <c r="BY212">
        <v>0.637499999999999</v>
      </c>
      <c r="BZ212">
        <v>0.625</v>
      </c>
      <c r="CA212">
        <v>0.6125</v>
      </c>
      <c r="CB212">
        <v>0.6</v>
      </c>
      <c r="CC212" t="e">
        <v>#VALUE!</v>
      </c>
      <c r="CD212" t="e">
        <v>#VALUE!</v>
      </c>
      <c r="CE212" t="e">
        <v>#VALUE!</v>
      </c>
      <c r="CF212" t="e">
        <v>#VALUE!</v>
      </c>
      <c r="CG212" t="e">
        <v>#VALUE!</v>
      </c>
      <c r="CH212" t="e">
        <v>#VALUE!</v>
      </c>
      <c r="CI212" t="e">
        <v>#VALUE!</v>
      </c>
      <c r="CJ212" t="e">
        <v>#VALUE!</v>
      </c>
    </row>
    <row r="213" spans="1:88">
      <c r="A213" t="s">
        <v>21</v>
      </c>
      <c r="B213" t="s">
        <v>280</v>
      </c>
      <c r="C213" t="s">
        <v>280</v>
      </c>
      <c r="D213">
        <v>1.568</v>
      </c>
      <c r="E213">
        <v>1.5650845199603</v>
      </c>
      <c r="F213">
        <v>1.55072322537602</v>
      </c>
      <c r="G213">
        <v>1.53580206297745</v>
      </c>
      <c r="H213">
        <v>1.52268243957336</v>
      </c>
      <c r="I213">
        <v>1.51133727580754</v>
      </c>
      <c r="J213">
        <v>1.50089685551557</v>
      </c>
      <c r="K213">
        <v>1.49072604092576</v>
      </c>
      <c r="L213">
        <v>1.47675462232438</v>
      </c>
      <c r="M213">
        <v>1.4596669118256</v>
      </c>
      <c r="N213">
        <v>1.44055453646726</v>
      </c>
      <c r="O213">
        <v>1.42244837955489</v>
      </c>
      <c r="P213">
        <v>1.40730136713245</v>
      </c>
      <c r="Q213">
        <v>1.39520866605851</v>
      </c>
      <c r="R213">
        <v>1.38451724039829</v>
      </c>
      <c r="S213">
        <v>1.37317184705554</v>
      </c>
      <c r="T213">
        <v>1.36006455020624</v>
      </c>
      <c r="U213">
        <v>1.34489194863949</v>
      </c>
      <c r="V213">
        <v>5</v>
      </c>
      <c r="AF213" s="99" t="s">
        <v>277</v>
      </c>
      <c r="AH213">
        <v>1</v>
      </c>
      <c r="AI213">
        <v>0.997668689508291</v>
      </c>
      <c r="AJ213">
        <v>0.986012137049744</v>
      </c>
      <c r="AK213">
        <v>0.97374127083826</v>
      </c>
      <c r="AL213">
        <v>0.962810294293591</v>
      </c>
      <c r="AM213">
        <v>0.953229806181516</v>
      </c>
      <c r="AN213">
        <v>0.944289937992211</v>
      </c>
      <c r="AO213">
        <v>0.935456339430984</v>
      </c>
      <c r="AP213">
        <v>0.9231460803107</v>
      </c>
      <c r="AQ213">
        <v>0.907886312390298</v>
      </c>
      <c r="AR213">
        <v>0.890595329986751</v>
      </c>
      <c r="AS213">
        <v>0.87401194374418</v>
      </c>
      <c r="AT213">
        <v>0.859963702660613</v>
      </c>
      <c r="AU213">
        <v>0.8485952077377</v>
      </c>
      <c r="AV213">
        <v>0.838394816226259</v>
      </c>
      <c r="AW213">
        <v>0.827402486262789</v>
      </c>
      <c r="AX213">
        <v>0.814508150557037</v>
      </c>
      <c r="AY213">
        <v>0.799364007043897</v>
      </c>
      <c r="AZ213">
        <v>0</v>
      </c>
      <c r="BA213">
        <v>0</v>
      </c>
      <c r="BB213">
        <v>0</v>
      </c>
      <c r="BC213">
        <v>0</v>
      </c>
      <c r="BD213">
        <v>0</v>
      </c>
      <c r="BE213">
        <v>0</v>
      </c>
      <c r="BF213">
        <v>0</v>
      </c>
      <c r="BG213">
        <v>0</v>
      </c>
      <c r="BI213" t="s">
        <v>287</v>
      </c>
      <c r="BK213">
        <v>0.8</v>
      </c>
      <c r="BL213">
        <v>0.797560975609756</v>
      </c>
      <c r="BM213">
        <v>0.785365853658536</v>
      </c>
      <c r="BN213">
        <v>0.773170731707317</v>
      </c>
      <c r="BO213">
        <v>0.760975609756097</v>
      </c>
      <c r="BP213">
        <v>0.748780487804878</v>
      </c>
      <c r="BQ213">
        <v>0.736585365853658</v>
      </c>
      <c r="BR213">
        <v>0.724390243902439</v>
      </c>
      <c r="BS213">
        <v>0.71219512195122</v>
      </c>
      <c r="BT213">
        <v>0.699999999999999</v>
      </c>
      <c r="BU213">
        <v>0.687499999999999</v>
      </c>
      <c r="BV213">
        <v>0.675</v>
      </c>
      <c r="BW213">
        <v>0.6625</v>
      </c>
      <c r="BX213">
        <v>0.649999999999999</v>
      </c>
      <c r="BY213">
        <v>0.637499999999999</v>
      </c>
      <c r="BZ213">
        <v>0.625</v>
      </c>
      <c r="CA213">
        <v>0.6125</v>
      </c>
      <c r="CB213">
        <v>0.6</v>
      </c>
      <c r="CC213" t="e">
        <v>#VALUE!</v>
      </c>
      <c r="CD213" t="e">
        <v>#VALUE!</v>
      </c>
      <c r="CE213" t="e">
        <v>#VALUE!</v>
      </c>
      <c r="CF213" t="e">
        <v>#VALUE!</v>
      </c>
      <c r="CG213" t="e">
        <v>#VALUE!</v>
      </c>
      <c r="CH213" t="e">
        <v>#VALUE!</v>
      </c>
      <c r="CI213" t="e">
        <v>#VALUE!</v>
      </c>
      <c r="CJ213" t="e">
        <v>#VALUE!</v>
      </c>
    </row>
    <row r="214" spans="1:88">
      <c r="A214" t="s">
        <v>21</v>
      </c>
      <c r="B214" t="s">
        <v>281</v>
      </c>
      <c r="C214" t="s">
        <v>281</v>
      </c>
      <c r="D214">
        <v>0.93</v>
      </c>
      <c r="E214">
        <v>0.928270793088699</v>
      </c>
      <c r="F214">
        <v>0.919752933418177</v>
      </c>
      <c r="G214">
        <v>0.910903009291471</v>
      </c>
      <c r="H214">
        <v>0.903121600002058</v>
      </c>
      <c r="I214">
        <v>0.896392644452174</v>
      </c>
      <c r="J214">
        <v>0.890200303335125</v>
      </c>
      <c r="K214">
        <v>0.884167868661323</v>
      </c>
      <c r="L214">
        <v>0.875881249210251</v>
      </c>
      <c r="M214">
        <v>0.865746318876151</v>
      </c>
      <c r="N214">
        <v>0.854410535022036</v>
      </c>
      <c r="O214">
        <v>0.843671551649266</v>
      </c>
      <c r="P214">
        <v>0.834687673107893</v>
      </c>
      <c r="Q214">
        <v>0.827515344027047</v>
      </c>
      <c r="R214">
        <v>0.821174128552556</v>
      </c>
      <c r="S214">
        <v>0.814445036837789</v>
      </c>
      <c r="T214">
        <v>0.806670938578958</v>
      </c>
      <c r="U214">
        <v>0.797671882802759</v>
      </c>
      <c r="V214">
        <v>5</v>
      </c>
      <c r="AF214" s="99" t="s">
        <v>277</v>
      </c>
      <c r="AH214">
        <v>1</v>
      </c>
      <c r="AI214">
        <v>0.997668689508291</v>
      </c>
      <c r="AJ214">
        <v>0.986012137049744</v>
      </c>
      <c r="AK214">
        <v>0.97374127083826</v>
      </c>
      <c r="AL214">
        <v>0.962810294293591</v>
      </c>
      <c r="AM214">
        <v>0.953229806181516</v>
      </c>
      <c r="AN214">
        <v>0.944289937992211</v>
      </c>
      <c r="AO214">
        <v>0.935456339430984</v>
      </c>
      <c r="AP214">
        <v>0.9231460803107</v>
      </c>
      <c r="AQ214">
        <v>0.907886312390298</v>
      </c>
      <c r="AR214">
        <v>0.890595329986751</v>
      </c>
      <c r="AS214">
        <v>0.87401194374418</v>
      </c>
      <c r="AT214">
        <v>0.859963702660613</v>
      </c>
      <c r="AU214">
        <v>0.8485952077377</v>
      </c>
      <c r="AV214">
        <v>0.838394816226259</v>
      </c>
      <c r="AW214">
        <v>0.827402486262789</v>
      </c>
      <c r="AX214">
        <v>0.814508150557037</v>
      </c>
      <c r="AY214">
        <v>0.799364007043897</v>
      </c>
      <c r="AZ214">
        <v>0</v>
      </c>
      <c r="BA214">
        <v>0</v>
      </c>
      <c r="BB214">
        <v>0</v>
      </c>
      <c r="BC214">
        <v>0</v>
      </c>
      <c r="BD214">
        <v>0</v>
      </c>
      <c r="BE214">
        <v>0</v>
      </c>
      <c r="BF214">
        <v>0</v>
      </c>
      <c r="BG214">
        <v>0</v>
      </c>
      <c r="BI214" t="s">
        <v>287</v>
      </c>
      <c r="BK214">
        <v>0.8</v>
      </c>
      <c r="BL214">
        <v>0.797560975609756</v>
      </c>
      <c r="BM214">
        <v>0.785365853658536</v>
      </c>
      <c r="BN214">
        <v>0.773170731707317</v>
      </c>
      <c r="BO214">
        <v>0.760975609756097</v>
      </c>
      <c r="BP214">
        <v>0.748780487804878</v>
      </c>
      <c r="BQ214">
        <v>0.736585365853658</v>
      </c>
      <c r="BR214">
        <v>0.724390243902439</v>
      </c>
      <c r="BS214">
        <v>0.71219512195122</v>
      </c>
      <c r="BT214">
        <v>0.699999999999999</v>
      </c>
      <c r="BU214">
        <v>0.687499999999999</v>
      </c>
      <c r="BV214">
        <v>0.675</v>
      </c>
      <c r="BW214">
        <v>0.6625</v>
      </c>
      <c r="BX214">
        <v>0.649999999999999</v>
      </c>
      <c r="BY214">
        <v>0.637499999999999</v>
      </c>
      <c r="BZ214">
        <v>0.625</v>
      </c>
      <c r="CA214">
        <v>0.6125</v>
      </c>
      <c r="CB214">
        <v>0.6</v>
      </c>
      <c r="CC214" t="e">
        <v>#VALUE!</v>
      </c>
      <c r="CD214" t="e">
        <v>#VALUE!</v>
      </c>
      <c r="CE214" t="e">
        <v>#VALUE!</v>
      </c>
      <c r="CF214" t="e">
        <v>#VALUE!</v>
      </c>
      <c r="CG214" t="e">
        <v>#VALUE!</v>
      </c>
      <c r="CH214" t="e">
        <v>#VALUE!</v>
      </c>
      <c r="CI214" t="e">
        <v>#VALUE!</v>
      </c>
      <c r="CJ214" t="e">
        <v>#VALUE!</v>
      </c>
    </row>
    <row r="215" spans="1:88">
      <c r="A215" t="s">
        <v>21</v>
      </c>
      <c r="B215" t="s">
        <v>282</v>
      </c>
      <c r="C215" t="s">
        <v>282</v>
      </c>
      <c r="D215">
        <v>3.535</v>
      </c>
      <c r="E215">
        <v>3.52842715437478</v>
      </c>
      <c r="F215">
        <v>3.49605012863791</v>
      </c>
      <c r="G215">
        <v>3.46241090090898</v>
      </c>
      <c r="H215">
        <v>3.43283317850244</v>
      </c>
      <c r="I215">
        <v>3.40725591197681</v>
      </c>
      <c r="J215">
        <v>3.38371835730072</v>
      </c>
      <c r="K215">
        <v>3.36078861905137</v>
      </c>
      <c r="L215">
        <v>3.3292905547938</v>
      </c>
      <c r="M215">
        <v>3.29076692174967</v>
      </c>
      <c r="N215">
        <v>3.24767875408914</v>
      </c>
      <c r="O215">
        <v>3.20685906997866</v>
      </c>
      <c r="P215">
        <v>3.17271067143699</v>
      </c>
      <c r="Q215">
        <v>3.14544810874797</v>
      </c>
      <c r="R215">
        <v>3.12134467143364</v>
      </c>
      <c r="S215">
        <v>3.09576688733504</v>
      </c>
      <c r="T215">
        <v>3.06621695470604</v>
      </c>
      <c r="U215">
        <v>3.03201086635242</v>
      </c>
      <c r="V215">
        <v>5</v>
      </c>
      <c r="AF215" s="99" t="s">
        <v>277</v>
      </c>
      <c r="AH215">
        <v>1</v>
      </c>
      <c r="AI215">
        <v>0.997668689508291</v>
      </c>
      <c r="AJ215">
        <v>0.986012137049744</v>
      </c>
      <c r="AK215">
        <v>0.97374127083826</v>
      </c>
      <c r="AL215">
        <v>0.962810294293591</v>
      </c>
      <c r="AM215">
        <v>0.953229806181516</v>
      </c>
      <c r="AN215">
        <v>0.944289937992211</v>
      </c>
      <c r="AO215">
        <v>0.935456339430984</v>
      </c>
      <c r="AP215">
        <v>0.9231460803107</v>
      </c>
      <c r="AQ215">
        <v>0.907886312390298</v>
      </c>
      <c r="AR215">
        <v>0.890595329986751</v>
      </c>
      <c r="AS215">
        <v>0.87401194374418</v>
      </c>
      <c r="AT215">
        <v>0.859963702660613</v>
      </c>
      <c r="AU215">
        <v>0.8485952077377</v>
      </c>
      <c r="AV215">
        <v>0.838394816226259</v>
      </c>
      <c r="AW215">
        <v>0.827402486262789</v>
      </c>
      <c r="AX215">
        <v>0.814508150557037</v>
      </c>
      <c r="AY215">
        <v>0.799364007043897</v>
      </c>
      <c r="AZ215">
        <v>0</v>
      </c>
      <c r="BA215">
        <v>0</v>
      </c>
      <c r="BB215">
        <v>0</v>
      </c>
      <c r="BC215">
        <v>0</v>
      </c>
      <c r="BD215">
        <v>0</v>
      </c>
      <c r="BE215">
        <v>0</v>
      </c>
      <c r="BF215">
        <v>0</v>
      </c>
      <c r="BG215">
        <v>0</v>
      </c>
      <c r="BI215" t="s">
        <v>287</v>
      </c>
      <c r="BK215">
        <v>0.8</v>
      </c>
      <c r="BL215">
        <v>0.797560975609756</v>
      </c>
      <c r="BM215">
        <v>0.785365853658536</v>
      </c>
      <c r="BN215">
        <v>0.773170731707317</v>
      </c>
      <c r="BO215">
        <v>0.760975609756097</v>
      </c>
      <c r="BP215">
        <v>0.748780487804878</v>
      </c>
      <c r="BQ215">
        <v>0.736585365853658</v>
      </c>
      <c r="BR215">
        <v>0.724390243902439</v>
      </c>
      <c r="BS215">
        <v>0.71219512195122</v>
      </c>
      <c r="BT215">
        <v>0.699999999999999</v>
      </c>
      <c r="BU215">
        <v>0.687499999999999</v>
      </c>
      <c r="BV215">
        <v>0.675</v>
      </c>
      <c r="BW215">
        <v>0.6625</v>
      </c>
      <c r="BX215">
        <v>0.649999999999999</v>
      </c>
      <c r="BY215">
        <v>0.637499999999999</v>
      </c>
      <c r="BZ215">
        <v>0.625</v>
      </c>
      <c r="CA215">
        <v>0.6125</v>
      </c>
      <c r="CB215">
        <v>0.6</v>
      </c>
      <c r="CC215" t="e">
        <v>#VALUE!</v>
      </c>
      <c r="CD215" t="e">
        <v>#VALUE!</v>
      </c>
      <c r="CE215" t="e">
        <v>#VALUE!</v>
      </c>
      <c r="CF215" t="e">
        <v>#VALUE!</v>
      </c>
      <c r="CG215" t="e">
        <v>#VALUE!</v>
      </c>
      <c r="CH215" t="e">
        <v>#VALUE!</v>
      </c>
      <c r="CI215" t="e">
        <v>#VALUE!</v>
      </c>
      <c r="CJ215" t="e">
        <v>#VALUE!</v>
      </c>
    </row>
    <row r="216" spans="1:88">
      <c r="A216" t="s">
        <v>21</v>
      </c>
      <c r="B216" t="s">
        <v>283</v>
      </c>
      <c r="C216" t="s">
        <v>283</v>
      </c>
      <c r="D216">
        <v>286.14</v>
      </c>
      <c r="E216">
        <v>284.42124679791</v>
      </c>
      <c r="F216">
        <v>322.223522358212</v>
      </c>
      <c r="G216">
        <v>338.618645699635</v>
      </c>
      <c r="H216">
        <v>358.040980828836</v>
      </c>
      <c r="I216">
        <v>377.114299539649</v>
      </c>
      <c r="J216">
        <v>395.930515511062</v>
      </c>
      <c r="K216">
        <v>413.945428692573</v>
      </c>
      <c r="L216">
        <v>432.09510895213</v>
      </c>
      <c r="M216">
        <v>450.159753040063</v>
      </c>
      <c r="N216">
        <v>468.074649904867</v>
      </c>
      <c r="O216">
        <v>484.649756814105</v>
      </c>
      <c r="P216">
        <v>499.300532511694</v>
      </c>
      <c r="Q216">
        <v>512.212847990834</v>
      </c>
      <c r="R216">
        <v>523.969909995475</v>
      </c>
      <c r="S216">
        <v>535.11748328382</v>
      </c>
      <c r="T216">
        <v>545.850080339668</v>
      </c>
      <c r="U216">
        <v>555.981639472807</v>
      </c>
      <c r="V216">
        <v>5</v>
      </c>
      <c r="AF216" s="99" t="s">
        <v>284</v>
      </c>
      <c r="AH216">
        <v>1</v>
      </c>
      <c r="AI216">
        <v>0.992468680855131</v>
      </c>
      <c r="AJ216">
        <v>1.16042668429691</v>
      </c>
      <c r="AK216">
        <v>1.23679263255767</v>
      </c>
      <c r="AL216">
        <v>1.33001427005924</v>
      </c>
      <c r="AM216">
        <v>1.42463696424145</v>
      </c>
      <c r="AN216">
        <v>1.5211398746009</v>
      </c>
      <c r="AO216">
        <v>1.61668526877006</v>
      </c>
      <c r="AP216">
        <v>1.7162148951792</v>
      </c>
      <c r="AQ216">
        <v>1.8187148528357</v>
      </c>
      <c r="AR216">
        <v>1.92399332154901</v>
      </c>
      <c r="AS216">
        <v>2.02492813960695</v>
      </c>
      <c r="AT216">
        <v>2.11732481680666</v>
      </c>
      <c r="AU216">
        <v>2.20156440406991</v>
      </c>
      <c r="AV216">
        <v>2.28083270444701</v>
      </c>
      <c r="AW216">
        <v>2.35847303988229</v>
      </c>
      <c r="AX216">
        <v>2.43570205691541</v>
      </c>
      <c r="AY216">
        <v>2.51105076623193</v>
      </c>
      <c r="AZ216">
        <v>0</v>
      </c>
      <c r="BA216">
        <v>0</v>
      </c>
      <c r="BB216">
        <v>0</v>
      </c>
      <c r="BC216">
        <v>0</v>
      </c>
      <c r="BD216">
        <v>0</v>
      </c>
      <c r="BE216">
        <v>0</v>
      </c>
      <c r="BF216">
        <v>0</v>
      </c>
      <c r="BG216">
        <v>0</v>
      </c>
      <c r="BI216" t="s">
        <v>287</v>
      </c>
      <c r="BK216">
        <v>0.8</v>
      </c>
      <c r="BL216">
        <v>0.797560975609756</v>
      </c>
      <c r="BM216">
        <v>0.785365853658536</v>
      </c>
      <c r="BN216">
        <v>0.773170731707317</v>
      </c>
      <c r="BO216">
        <v>0.760975609756097</v>
      </c>
      <c r="BP216">
        <v>0.748780487804878</v>
      </c>
      <c r="BQ216">
        <v>0.736585365853658</v>
      </c>
      <c r="BR216">
        <v>0.724390243902439</v>
      </c>
      <c r="BS216">
        <v>0.71219512195122</v>
      </c>
      <c r="BT216">
        <v>0.699999999999999</v>
      </c>
      <c r="BU216">
        <v>0.687499999999999</v>
      </c>
      <c r="BV216">
        <v>0.675</v>
      </c>
      <c r="BW216">
        <v>0.6625</v>
      </c>
      <c r="BX216">
        <v>0.649999999999999</v>
      </c>
      <c r="BY216">
        <v>0.637499999999999</v>
      </c>
      <c r="BZ216">
        <v>0.625</v>
      </c>
      <c r="CA216">
        <v>0.6125</v>
      </c>
      <c r="CB216">
        <v>0.6</v>
      </c>
      <c r="CC216" t="e">
        <v>#VALUE!</v>
      </c>
      <c r="CD216" t="e">
        <v>#VALUE!</v>
      </c>
      <c r="CE216" t="e">
        <v>#VALUE!</v>
      </c>
      <c r="CF216" t="e">
        <v>#VALUE!</v>
      </c>
      <c r="CG216" t="e">
        <v>#VALUE!</v>
      </c>
      <c r="CH216" t="e">
        <v>#VALUE!</v>
      </c>
      <c r="CI216" t="e">
        <v>#VALUE!</v>
      </c>
      <c r="CJ216" t="e">
        <v>#VALUE!</v>
      </c>
    </row>
    <row r="217" spans="1:88">
      <c r="A217" t="s">
        <v>21</v>
      </c>
      <c r="B217" t="s">
        <v>285</v>
      </c>
      <c r="C217" t="s">
        <v>285</v>
      </c>
      <c r="D217">
        <v>85</v>
      </c>
      <c r="E217">
        <v>84.332576169529</v>
      </c>
      <c r="F217">
        <v>94.6363748068302</v>
      </c>
      <c r="G217">
        <v>98.4810656733052</v>
      </c>
      <c r="H217">
        <v>103.225011257145</v>
      </c>
      <c r="I217">
        <v>107.90012105186</v>
      </c>
      <c r="J217">
        <v>112.487953196844</v>
      </c>
      <c r="K217">
        <v>116.796022943685</v>
      </c>
      <c r="L217">
        <v>120.754984273842</v>
      </c>
      <c r="M217">
        <v>124.322678085988</v>
      </c>
      <c r="N217">
        <v>127.548249456382</v>
      </c>
      <c r="O217">
        <v>130.37765093553</v>
      </c>
      <c r="P217">
        <v>132.867235168787</v>
      </c>
      <c r="Q217">
        <v>135.116160031097</v>
      </c>
      <c r="R217">
        <v>137.144875554629</v>
      </c>
      <c r="S217">
        <v>138.90057650581</v>
      </c>
      <c r="T217">
        <v>140.317180562531</v>
      </c>
      <c r="U217">
        <v>141.307842958853</v>
      </c>
      <c r="V217">
        <v>5</v>
      </c>
      <c r="AF217" s="99" t="s">
        <v>272</v>
      </c>
      <c r="AH217">
        <v>1</v>
      </c>
      <c r="AI217">
        <v>0.99015492820676</v>
      </c>
      <c r="AJ217">
        <v>1.14419479487314</v>
      </c>
      <c r="AK217">
        <v>1.2043160297901</v>
      </c>
      <c r="AL217">
        <v>1.28055143077042</v>
      </c>
      <c r="AM217">
        <v>1.3580064173029</v>
      </c>
      <c r="AN217">
        <v>1.43639707786436</v>
      </c>
      <c r="AO217">
        <v>1.51233848353564</v>
      </c>
      <c r="AP217">
        <v>1.58431705345552</v>
      </c>
      <c r="AQ217">
        <v>1.65118632103046</v>
      </c>
      <c r="AR217">
        <v>1.71349946709724</v>
      </c>
      <c r="AS217">
        <v>1.76981137924015</v>
      </c>
      <c r="AT217">
        <v>1.82082248919626</v>
      </c>
      <c r="AU217">
        <v>1.86823700281963</v>
      </c>
      <c r="AV217">
        <v>1.9122383160877</v>
      </c>
      <c r="AW217">
        <v>1.95140645698237</v>
      </c>
      <c r="AX217">
        <v>1.98389917768614</v>
      </c>
      <c r="AY217">
        <v>2.00724360238581</v>
      </c>
      <c r="AZ217">
        <v>0</v>
      </c>
      <c r="BA217">
        <v>0</v>
      </c>
      <c r="BB217">
        <v>0</v>
      </c>
      <c r="BC217">
        <v>0</v>
      </c>
      <c r="BD217">
        <v>0</v>
      </c>
      <c r="BE217">
        <v>0</v>
      </c>
      <c r="BF217">
        <v>0</v>
      </c>
      <c r="BG217">
        <v>0</v>
      </c>
      <c r="BI217" t="s">
        <v>287</v>
      </c>
      <c r="BK217">
        <v>0.8</v>
      </c>
      <c r="BL217">
        <v>0.797560975609756</v>
      </c>
      <c r="BM217">
        <v>0.785365853658536</v>
      </c>
      <c r="BN217">
        <v>0.773170731707317</v>
      </c>
      <c r="BO217">
        <v>0.760975609756097</v>
      </c>
      <c r="BP217">
        <v>0.748780487804878</v>
      </c>
      <c r="BQ217">
        <v>0.736585365853658</v>
      </c>
      <c r="BR217">
        <v>0.724390243902439</v>
      </c>
      <c r="BS217">
        <v>0.71219512195122</v>
      </c>
      <c r="BT217">
        <v>0.699999999999999</v>
      </c>
      <c r="BU217">
        <v>0.687499999999999</v>
      </c>
      <c r="BV217">
        <v>0.675</v>
      </c>
      <c r="BW217">
        <v>0.6625</v>
      </c>
      <c r="BX217">
        <v>0.649999999999999</v>
      </c>
      <c r="BY217">
        <v>0.637499999999999</v>
      </c>
      <c r="BZ217">
        <v>0.625</v>
      </c>
      <c r="CA217">
        <v>0.6125</v>
      </c>
      <c r="CB217">
        <v>0.6</v>
      </c>
      <c r="CC217" t="e">
        <v>#VALUE!</v>
      </c>
      <c r="CD217" t="e">
        <v>#VALUE!</v>
      </c>
      <c r="CE217" t="e">
        <v>#VALUE!</v>
      </c>
      <c r="CF217" t="e">
        <v>#VALUE!</v>
      </c>
      <c r="CG217" t="e">
        <v>#VALUE!</v>
      </c>
      <c r="CH217" t="e">
        <v>#VALUE!</v>
      </c>
      <c r="CI217" t="e">
        <v>#VALUE!</v>
      </c>
      <c r="CJ217" t="e">
        <v>#VALUE!</v>
      </c>
    </row>
    <row r="218" spans="1:88">
      <c r="A218" t="s">
        <v>21</v>
      </c>
      <c r="B218" t="s">
        <v>286</v>
      </c>
      <c r="C218" t="s">
        <v>286</v>
      </c>
      <c r="D218">
        <v>55.28</v>
      </c>
      <c r="E218">
        <v>54.8459389488419</v>
      </c>
      <c r="F218">
        <v>61.5470446979009</v>
      </c>
      <c r="G218">
        <v>64.0474507108271</v>
      </c>
      <c r="H218">
        <v>67.1326896740587</v>
      </c>
      <c r="I218">
        <v>70.1731610793741</v>
      </c>
      <c r="J218">
        <v>73.1568712084886</v>
      </c>
      <c r="K218">
        <v>75.9586370391402</v>
      </c>
      <c r="L218">
        <v>78.5333591842113</v>
      </c>
      <c r="M218">
        <v>80.8536193481576</v>
      </c>
      <c r="N218">
        <v>82.9513791758681</v>
      </c>
      <c r="O218">
        <v>84.7914887496012</v>
      </c>
      <c r="P218">
        <v>86.4105971780066</v>
      </c>
      <c r="Q218">
        <v>87.8731920766948</v>
      </c>
      <c r="R218">
        <v>89.1925731842337</v>
      </c>
      <c r="S218">
        <v>90.3343984616609</v>
      </c>
      <c r="T218">
        <v>91.2556910764319</v>
      </c>
      <c r="U218">
        <v>91.8999712795926</v>
      </c>
      <c r="V218">
        <v>5</v>
      </c>
      <c r="AF218" s="99" t="s">
        <v>272</v>
      </c>
      <c r="AH218">
        <v>1</v>
      </c>
      <c r="AI218">
        <v>0.99015492820676</v>
      </c>
      <c r="AJ218">
        <v>1.14419479487314</v>
      </c>
      <c r="AK218">
        <v>1.2043160297901</v>
      </c>
      <c r="AL218">
        <v>1.28055143077042</v>
      </c>
      <c r="AM218">
        <v>1.3580064173029</v>
      </c>
      <c r="AN218">
        <v>1.43639707786436</v>
      </c>
      <c r="AO218">
        <v>1.51233848353564</v>
      </c>
      <c r="AP218">
        <v>1.58431705345552</v>
      </c>
      <c r="AQ218">
        <v>1.65118632103046</v>
      </c>
      <c r="AR218">
        <v>1.71349946709724</v>
      </c>
      <c r="AS218">
        <v>1.76981137924015</v>
      </c>
      <c r="AT218">
        <v>1.82082248919626</v>
      </c>
      <c r="AU218">
        <v>1.86823700281963</v>
      </c>
      <c r="AV218">
        <v>1.9122383160877</v>
      </c>
      <c r="AW218">
        <v>1.95140645698237</v>
      </c>
      <c r="AX218">
        <v>1.98389917768614</v>
      </c>
      <c r="AY218">
        <v>2.00724360238581</v>
      </c>
      <c r="AZ218">
        <v>0</v>
      </c>
      <c r="BA218">
        <v>0</v>
      </c>
      <c r="BB218">
        <v>0</v>
      </c>
      <c r="BC218">
        <v>0</v>
      </c>
      <c r="BD218">
        <v>0</v>
      </c>
      <c r="BE218">
        <v>0</v>
      </c>
      <c r="BF218">
        <v>0</v>
      </c>
      <c r="BG218">
        <v>0</v>
      </c>
      <c r="BI218" t="s">
        <v>287</v>
      </c>
      <c r="BK218">
        <v>0.8</v>
      </c>
      <c r="BL218">
        <v>0.797560975609756</v>
      </c>
      <c r="BM218">
        <v>0.785365853658536</v>
      </c>
      <c r="BN218">
        <v>0.773170731707317</v>
      </c>
      <c r="BO218">
        <v>0.760975609756097</v>
      </c>
      <c r="BP218">
        <v>0.748780487804878</v>
      </c>
      <c r="BQ218">
        <v>0.736585365853658</v>
      </c>
      <c r="BR218">
        <v>0.724390243902439</v>
      </c>
      <c r="BS218">
        <v>0.71219512195122</v>
      </c>
      <c r="BT218">
        <v>0.699999999999999</v>
      </c>
      <c r="BU218">
        <v>0.687499999999999</v>
      </c>
      <c r="BV218">
        <v>0.675</v>
      </c>
      <c r="BW218">
        <v>0.6625</v>
      </c>
      <c r="BX218">
        <v>0.649999999999999</v>
      </c>
      <c r="BY218">
        <v>0.637499999999999</v>
      </c>
      <c r="BZ218">
        <v>0.625</v>
      </c>
      <c r="CA218">
        <v>0.6125</v>
      </c>
      <c r="CB218">
        <v>0.6</v>
      </c>
      <c r="CC218" t="e">
        <v>#VALUE!</v>
      </c>
      <c r="CD218" t="e">
        <v>#VALUE!</v>
      </c>
      <c r="CE218" t="e">
        <v>#VALUE!</v>
      </c>
      <c r="CF218" t="e">
        <v>#VALUE!</v>
      </c>
      <c r="CG218" t="e">
        <v>#VALUE!</v>
      </c>
      <c r="CH218" t="e">
        <v>#VALUE!</v>
      </c>
      <c r="CI218" t="e">
        <v>#VALUE!</v>
      </c>
      <c r="CJ218" t="e">
        <v>#VALUE!</v>
      </c>
    </row>
    <row r="219" spans="1:88">
      <c r="A219" t="s">
        <v>22</v>
      </c>
      <c r="B219" t="s">
        <v>271</v>
      </c>
      <c r="C219" t="s">
        <v>271</v>
      </c>
      <c r="D219">
        <v>147.5997682932</v>
      </c>
      <c r="E219">
        <v>147.201253049397</v>
      </c>
      <c r="F219">
        <v>155.625762737247</v>
      </c>
      <c r="G219">
        <v>160.441037768864</v>
      </c>
      <c r="H219">
        <v>165.653026404634</v>
      </c>
      <c r="I219">
        <v>169.996511089413</v>
      </c>
      <c r="J219">
        <v>174.355978717561</v>
      </c>
      <c r="K219">
        <v>178.859407481797</v>
      </c>
      <c r="L219">
        <v>183.04868109902</v>
      </c>
      <c r="M219">
        <v>186.663374272548</v>
      </c>
      <c r="N219">
        <v>189.698104446197</v>
      </c>
      <c r="O219">
        <v>192.075677292571</v>
      </c>
      <c r="P219">
        <v>193.92692400505</v>
      </c>
      <c r="Q219">
        <v>195.550297793693</v>
      </c>
      <c r="R219">
        <v>197.098675279992</v>
      </c>
      <c r="S219">
        <v>198.480302553818</v>
      </c>
      <c r="T219">
        <v>199.506361666328</v>
      </c>
      <c r="U219">
        <v>199.982275742354</v>
      </c>
      <c r="V219">
        <v>5</v>
      </c>
      <c r="AF219" s="99" t="s">
        <v>272</v>
      </c>
      <c r="AH219">
        <v>1</v>
      </c>
      <c r="AI219">
        <v>0.996614713987383</v>
      </c>
      <c r="AJ219">
        <v>1.06924009217147</v>
      </c>
      <c r="AK219">
        <v>1.11202981109995</v>
      </c>
      <c r="AL219">
        <v>1.15950139149913</v>
      </c>
      <c r="AM219">
        <v>1.20010416264654</v>
      </c>
      <c r="AN219">
        <v>1.24188617034257</v>
      </c>
      <c r="AO219">
        <v>1.28616699003087</v>
      </c>
      <c r="AP219">
        <v>1.32846552282671</v>
      </c>
      <c r="AQ219">
        <v>1.3659418552568</v>
      </c>
      <c r="AR219">
        <v>1.39824319093224</v>
      </c>
      <c r="AS219">
        <v>1.42420588651495</v>
      </c>
      <c r="AT219">
        <v>1.44492536504681</v>
      </c>
      <c r="AU219">
        <v>1.46353391269907</v>
      </c>
      <c r="AV219">
        <v>1.48171169790961</v>
      </c>
      <c r="AW219">
        <v>1.49833016206414</v>
      </c>
      <c r="AX219">
        <v>1.51097625582845</v>
      </c>
      <c r="AY219">
        <v>1.51698354019676</v>
      </c>
      <c r="AZ219">
        <v>0</v>
      </c>
      <c r="BA219">
        <v>0</v>
      </c>
      <c r="BB219">
        <v>0</v>
      </c>
      <c r="BC219">
        <v>0</v>
      </c>
      <c r="BD219">
        <v>0</v>
      </c>
      <c r="BE219">
        <v>0</v>
      </c>
      <c r="BF219">
        <v>0</v>
      </c>
      <c r="BG219">
        <v>0</v>
      </c>
      <c r="BI219" t="s">
        <v>287</v>
      </c>
      <c r="BK219">
        <v>0.8</v>
      </c>
      <c r="BL219">
        <v>0.797560975609756</v>
      </c>
      <c r="BM219">
        <v>0.785365853658536</v>
      </c>
      <c r="BN219">
        <v>0.773170731707317</v>
      </c>
      <c r="BO219">
        <v>0.760975609756097</v>
      </c>
      <c r="BP219">
        <v>0.748780487804878</v>
      </c>
      <c r="BQ219">
        <v>0.736585365853658</v>
      </c>
      <c r="BR219">
        <v>0.724390243902439</v>
      </c>
      <c r="BS219">
        <v>0.71219512195122</v>
      </c>
      <c r="BT219">
        <v>0.699999999999999</v>
      </c>
      <c r="BU219">
        <v>0.687499999999999</v>
      </c>
      <c r="BV219">
        <v>0.675</v>
      </c>
      <c r="BW219">
        <v>0.6625</v>
      </c>
      <c r="BX219">
        <v>0.649999999999999</v>
      </c>
      <c r="BY219">
        <v>0.637499999999999</v>
      </c>
      <c r="BZ219">
        <v>0.625</v>
      </c>
      <c r="CA219">
        <v>0.6125</v>
      </c>
      <c r="CB219">
        <v>0.6</v>
      </c>
      <c r="CC219" t="e">
        <v>#VALUE!</v>
      </c>
      <c r="CD219" t="e">
        <v>#VALUE!</v>
      </c>
      <c r="CE219" t="e">
        <v>#VALUE!</v>
      </c>
      <c r="CF219" t="e">
        <v>#VALUE!</v>
      </c>
      <c r="CG219" t="e">
        <v>#VALUE!</v>
      </c>
      <c r="CH219" t="e">
        <v>#VALUE!</v>
      </c>
      <c r="CI219" t="e">
        <v>#VALUE!</v>
      </c>
      <c r="CJ219" t="e">
        <v>#VALUE!</v>
      </c>
    </row>
    <row r="220" spans="1:88">
      <c r="A220" t="s">
        <v>22</v>
      </c>
      <c r="B220" t="s">
        <v>274</v>
      </c>
      <c r="C220" t="s">
        <v>274</v>
      </c>
      <c r="D220">
        <v>305.523649476</v>
      </c>
      <c r="E220">
        <v>304.698744172512</v>
      </c>
      <c r="F220">
        <v>322.137029981775</v>
      </c>
      <c r="G220">
        <v>332.104392518335</v>
      </c>
      <c r="H220">
        <v>342.892931060379</v>
      </c>
      <c r="I220">
        <v>351.883712737627</v>
      </c>
      <c r="J220">
        <v>360.907578255346</v>
      </c>
      <c r="K220">
        <v>370.229435647909</v>
      </c>
      <c r="L220">
        <v>378.901008638761</v>
      </c>
      <c r="M220">
        <v>386.383230751188</v>
      </c>
      <c r="N220">
        <v>392.664960380914</v>
      </c>
      <c r="O220">
        <v>397.586409386691</v>
      </c>
      <c r="P220">
        <v>401.418391362119</v>
      </c>
      <c r="Q220">
        <v>404.778688536737</v>
      </c>
      <c r="R220">
        <v>407.983747364749</v>
      </c>
      <c r="S220">
        <v>410.843642145046</v>
      </c>
      <c r="T220">
        <v>412.967529792413</v>
      </c>
      <c r="U220">
        <v>413.952646551239</v>
      </c>
      <c r="V220">
        <v>5</v>
      </c>
      <c r="AF220" s="99" t="s">
        <v>272</v>
      </c>
      <c r="AH220">
        <v>1</v>
      </c>
      <c r="AI220">
        <v>0.996614713987383</v>
      </c>
      <c r="AJ220">
        <v>1.06924009217147</v>
      </c>
      <c r="AK220">
        <v>1.11202981109995</v>
      </c>
      <c r="AL220">
        <v>1.15950139149913</v>
      </c>
      <c r="AM220">
        <v>1.20010416264654</v>
      </c>
      <c r="AN220">
        <v>1.24188617034257</v>
      </c>
      <c r="AO220">
        <v>1.28616699003087</v>
      </c>
      <c r="AP220">
        <v>1.32846552282671</v>
      </c>
      <c r="AQ220">
        <v>1.3659418552568</v>
      </c>
      <c r="AR220">
        <v>1.39824319093224</v>
      </c>
      <c r="AS220">
        <v>1.42420588651495</v>
      </c>
      <c r="AT220">
        <v>1.44492536504681</v>
      </c>
      <c r="AU220">
        <v>1.46353391269907</v>
      </c>
      <c r="AV220">
        <v>1.48171169790961</v>
      </c>
      <c r="AW220">
        <v>1.49833016206414</v>
      </c>
      <c r="AX220">
        <v>1.51097625582845</v>
      </c>
      <c r="AY220">
        <v>1.51698354019676</v>
      </c>
      <c r="AZ220">
        <v>0</v>
      </c>
      <c r="BA220">
        <v>0</v>
      </c>
      <c r="BB220">
        <v>0</v>
      </c>
      <c r="BC220">
        <v>0</v>
      </c>
      <c r="BD220">
        <v>0</v>
      </c>
      <c r="BE220">
        <v>0</v>
      </c>
      <c r="BF220">
        <v>0</v>
      </c>
      <c r="BG220">
        <v>0</v>
      </c>
      <c r="BI220" t="s">
        <v>287</v>
      </c>
      <c r="BK220">
        <v>0.8</v>
      </c>
      <c r="BL220">
        <v>0.797560975609756</v>
      </c>
      <c r="BM220">
        <v>0.785365853658536</v>
      </c>
      <c r="BN220">
        <v>0.773170731707317</v>
      </c>
      <c r="BO220">
        <v>0.760975609756097</v>
      </c>
      <c r="BP220">
        <v>0.748780487804878</v>
      </c>
      <c r="BQ220">
        <v>0.736585365853658</v>
      </c>
      <c r="BR220">
        <v>0.724390243902439</v>
      </c>
      <c r="BS220">
        <v>0.71219512195122</v>
      </c>
      <c r="BT220">
        <v>0.699999999999999</v>
      </c>
      <c r="BU220">
        <v>0.687499999999999</v>
      </c>
      <c r="BV220">
        <v>0.675</v>
      </c>
      <c r="BW220">
        <v>0.6625</v>
      </c>
      <c r="BX220">
        <v>0.649999999999999</v>
      </c>
      <c r="BY220">
        <v>0.637499999999999</v>
      </c>
      <c r="BZ220">
        <v>0.625</v>
      </c>
      <c r="CA220">
        <v>0.6125</v>
      </c>
      <c r="CB220">
        <v>0.6</v>
      </c>
      <c r="CC220" t="e">
        <v>#VALUE!</v>
      </c>
      <c r="CD220" t="e">
        <v>#VALUE!</v>
      </c>
      <c r="CE220" t="e">
        <v>#VALUE!</v>
      </c>
      <c r="CF220" t="e">
        <v>#VALUE!</v>
      </c>
      <c r="CG220" t="e">
        <v>#VALUE!</v>
      </c>
      <c r="CH220" t="e">
        <v>#VALUE!</v>
      </c>
      <c r="CI220" t="e">
        <v>#VALUE!</v>
      </c>
      <c r="CJ220" t="e">
        <v>#VALUE!</v>
      </c>
    </row>
    <row r="221" spans="1:88">
      <c r="A221" t="s">
        <v>22</v>
      </c>
      <c r="B221" t="s">
        <v>275</v>
      </c>
      <c r="C221" t="s">
        <v>275</v>
      </c>
      <c r="D221">
        <v>2.009579510376</v>
      </c>
      <c r="E221">
        <v>2.00415370193619</v>
      </c>
      <c r="F221">
        <v>2.11885389590964</v>
      </c>
      <c r="G221">
        <v>2.18441414815301</v>
      </c>
      <c r="H221">
        <v>2.25537567940657</v>
      </c>
      <c r="I221">
        <v>2.31451247838056</v>
      </c>
      <c r="J221">
        <v>2.37386688606683</v>
      </c>
      <c r="K221">
        <v>2.43518133307239</v>
      </c>
      <c r="L221">
        <v>2.49221853930842</v>
      </c>
      <c r="M221">
        <v>2.54143279907195</v>
      </c>
      <c r="N221">
        <v>2.58275082854453</v>
      </c>
      <c r="O221">
        <v>2.61512162242688</v>
      </c>
      <c r="P221">
        <v>2.64032645509746</v>
      </c>
      <c r="Q221">
        <v>2.66242878453242</v>
      </c>
      <c r="R221">
        <v>2.68351003490819</v>
      </c>
      <c r="S221">
        <v>2.70232097135181</v>
      </c>
      <c r="T221">
        <v>2.71629082640496</v>
      </c>
      <c r="U221">
        <v>2.7227704244893</v>
      </c>
      <c r="V221">
        <v>5</v>
      </c>
      <c r="AF221" s="99" t="s">
        <v>272</v>
      </c>
      <c r="AH221">
        <v>1</v>
      </c>
      <c r="AI221">
        <v>0.996614713987383</v>
      </c>
      <c r="AJ221">
        <v>1.06924009217147</v>
      </c>
      <c r="AK221">
        <v>1.11202981109995</v>
      </c>
      <c r="AL221">
        <v>1.15950139149913</v>
      </c>
      <c r="AM221">
        <v>1.20010416264654</v>
      </c>
      <c r="AN221">
        <v>1.24188617034257</v>
      </c>
      <c r="AO221">
        <v>1.28616699003087</v>
      </c>
      <c r="AP221">
        <v>1.32846552282671</v>
      </c>
      <c r="AQ221">
        <v>1.3659418552568</v>
      </c>
      <c r="AR221">
        <v>1.39824319093224</v>
      </c>
      <c r="AS221">
        <v>1.42420588651495</v>
      </c>
      <c r="AT221">
        <v>1.44492536504681</v>
      </c>
      <c r="AU221">
        <v>1.46353391269907</v>
      </c>
      <c r="AV221">
        <v>1.48171169790961</v>
      </c>
      <c r="AW221">
        <v>1.49833016206414</v>
      </c>
      <c r="AX221">
        <v>1.51097625582845</v>
      </c>
      <c r="AY221">
        <v>1.51698354019676</v>
      </c>
      <c r="AZ221">
        <v>0</v>
      </c>
      <c r="BA221">
        <v>0</v>
      </c>
      <c r="BB221">
        <v>0</v>
      </c>
      <c r="BC221">
        <v>0</v>
      </c>
      <c r="BD221">
        <v>0</v>
      </c>
      <c r="BE221">
        <v>0</v>
      </c>
      <c r="BF221">
        <v>0</v>
      </c>
      <c r="BG221">
        <v>0</v>
      </c>
      <c r="BI221" t="s">
        <v>287</v>
      </c>
      <c r="BK221">
        <v>0.8</v>
      </c>
      <c r="BL221">
        <v>0.797560975609756</v>
      </c>
      <c r="BM221">
        <v>0.785365853658536</v>
      </c>
      <c r="BN221">
        <v>0.773170731707317</v>
      </c>
      <c r="BO221">
        <v>0.760975609756097</v>
      </c>
      <c r="BP221">
        <v>0.748780487804878</v>
      </c>
      <c r="BQ221">
        <v>0.736585365853658</v>
      </c>
      <c r="BR221">
        <v>0.724390243902439</v>
      </c>
      <c r="BS221">
        <v>0.71219512195122</v>
      </c>
      <c r="BT221">
        <v>0.699999999999999</v>
      </c>
      <c r="BU221">
        <v>0.687499999999999</v>
      </c>
      <c r="BV221">
        <v>0.675</v>
      </c>
      <c r="BW221">
        <v>0.6625</v>
      </c>
      <c r="BX221">
        <v>0.649999999999999</v>
      </c>
      <c r="BY221">
        <v>0.637499999999999</v>
      </c>
      <c r="BZ221">
        <v>0.625</v>
      </c>
      <c r="CA221">
        <v>0.6125</v>
      </c>
      <c r="CB221">
        <v>0.6</v>
      </c>
      <c r="CC221" t="e">
        <v>#VALUE!</v>
      </c>
      <c r="CD221" t="e">
        <v>#VALUE!</v>
      </c>
      <c r="CE221" t="e">
        <v>#VALUE!</v>
      </c>
      <c r="CF221" t="e">
        <v>#VALUE!</v>
      </c>
      <c r="CG221" t="e">
        <v>#VALUE!</v>
      </c>
      <c r="CH221" t="e">
        <v>#VALUE!</v>
      </c>
      <c r="CI221" t="e">
        <v>#VALUE!</v>
      </c>
      <c r="CJ221" t="e">
        <v>#VALUE!</v>
      </c>
    </row>
    <row r="222" spans="1:88">
      <c r="A222" t="s">
        <v>22</v>
      </c>
      <c r="B222" t="s">
        <v>276</v>
      </c>
      <c r="C222" t="s">
        <v>276</v>
      </c>
      <c r="D222">
        <v>67.010814948024</v>
      </c>
      <c r="E222">
        <v>66.7506994732046</v>
      </c>
      <c r="F222">
        <v>65.4687406163132</v>
      </c>
      <c r="G222">
        <v>64.1771789557207</v>
      </c>
      <c r="H222">
        <v>62.8279897332199</v>
      </c>
      <c r="I222">
        <v>61.4557974881527</v>
      </c>
      <c r="J222">
        <v>60.0886304828313</v>
      </c>
      <c r="K222">
        <v>58.7814507762721</v>
      </c>
      <c r="L222">
        <v>57.5452079355222</v>
      </c>
      <c r="M222">
        <v>56.323890020204</v>
      </c>
      <c r="N222">
        <v>55.045098973416</v>
      </c>
      <c r="O222">
        <v>53.7023588175981</v>
      </c>
      <c r="P222">
        <v>52.3554454794255</v>
      </c>
      <c r="Q222">
        <v>51.1045672448322</v>
      </c>
      <c r="R222">
        <v>49.9792635485541</v>
      </c>
      <c r="S222">
        <v>48.9424929479579</v>
      </c>
      <c r="T222">
        <v>47.9443837684048</v>
      </c>
      <c r="U222">
        <v>46.9474788673513</v>
      </c>
      <c r="V222">
        <v>5</v>
      </c>
      <c r="AF222" s="99" t="s">
        <v>277</v>
      </c>
      <c r="AH222">
        <v>1</v>
      </c>
      <c r="AI222">
        <v>0.995133044285661</v>
      </c>
      <c r="AJ222">
        <v>0.970798265713964</v>
      </c>
      <c r="AK222">
        <v>0.946027767353842</v>
      </c>
      <c r="AL222">
        <v>0.919892593887119</v>
      </c>
      <c r="AM222">
        <v>0.893061128007311</v>
      </c>
      <c r="AN222">
        <v>0.866088900752858</v>
      </c>
      <c r="AO222">
        <v>0.84007934876746</v>
      </c>
      <c r="AP222">
        <v>0.815271745778737</v>
      </c>
      <c r="AQ222">
        <v>0.790553143168125</v>
      </c>
      <c r="AR222">
        <v>0.7644456416216</v>
      </c>
      <c r="AS222">
        <v>0.736819759381374</v>
      </c>
      <c r="AT222">
        <v>0.708925060804943</v>
      </c>
      <c r="AU222">
        <v>0.682867116647441</v>
      </c>
      <c r="AV222">
        <v>0.659280478678467</v>
      </c>
      <c r="AW222">
        <v>0.637398679890398</v>
      </c>
      <c r="AX222">
        <v>0.616176156079915</v>
      </c>
      <c r="AY222">
        <v>0.594822628595666</v>
      </c>
      <c r="AZ222">
        <v>0</v>
      </c>
      <c r="BA222">
        <v>0</v>
      </c>
      <c r="BB222">
        <v>0</v>
      </c>
      <c r="BC222">
        <v>0</v>
      </c>
      <c r="BD222">
        <v>0</v>
      </c>
      <c r="BE222">
        <v>0</v>
      </c>
      <c r="BF222">
        <v>0</v>
      </c>
      <c r="BG222">
        <v>0</v>
      </c>
      <c r="BI222" t="s">
        <v>287</v>
      </c>
      <c r="BK222">
        <v>0.8</v>
      </c>
      <c r="BL222">
        <v>0.797560975609756</v>
      </c>
      <c r="BM222">
        <v>0.785365853658536</v>
      </c>
      <c r="BN222">
        <v>0.773170731707317</v>
      </c>
      <c r="BO222">
        <v>0.760975609756097</v>
      </c>
      <c r="BP222">
        <v>0.748780487804878</v>
      </c>
      <c r="BQ222">
        <v>0.736585365853658</v>
      </c>
      <c r="BR222">
        <v>0.724390243902439</v>
      </c>
      <c r="BS222">
        <v>0.71219512195122</v>
      </c>
      <c r="BT222">
        <v>0.699999999999999</v>
      </c>
      <c r="BU222">
        <v>0.687499999999999</v>
      </c>
      <c r="BV222">
        <v>0.675</v>
      </c>
      <c r="BW222">
        <v>0.6625</v>
      </c>
      <c r="BX222">
        <v>0.649999999999999</v>
      </c>
      <c r="BY222">
        <v>0.637499999999999</v>
      </c>
      <c r="BZ222">
        <v>0.625</v>
      </c>
      <c r="CA222">
        <v>0.6125</v>
      </c>
      <c r="CB222">
        <v>0.6</v>
      </c>
      <c r="CC222" t="e">
        <v>#VALUE!</v>
      </c>
      <c r="CD222" t="e">
        <v>#VALUE!</v>
      </c>
      <c r="CE222" t="e">
        <v>#VALUE!</v>
      </c>
      <c r="CF222" t="e">
        <v>#VALUE!</v>
      </c>
      <c r="CG222" t="e">
        <v>#VALUE!</v>
      </c>
      <c r="CH222" t="e">
        <v>#VALUE!</v>
      </c>
      <c r="CI222" t="e">
        <v>#VALUE!</v>
      </c>
      <c r="CJ222" t="e">
        <v>#VALUE!</v>
      </c>
    </row>
    <row r="223" spans="1:88">
      <c r="A223" t="s">
        <v>22</v>
      </c>
      <c r="B223" t="s">
        <v>278</v>
      </c>
      <c r="C223" t="s">
        <v>278</v>
      </c>
      <c r="D223">
        <v>131.0018151528</v>
      </c>
      <c r="E223">
        <v>130.648113917981</v>
      </c>
      <c r="F223">
        <v>138.125266989715</v>
      </c>
      <c r="G223">
        <v>142.399052625671</v>
      </c>
      <c r="H223">
        <v>147.024940455557</v>
      </c>
      <c r="I223">
        <v>150.879989717316</v>
      </c>
      <c r="J223">
        <v>154.749224601566</v>
      </c>
      <c r="K223">
        <v>158.74623184181</v>
      </c>
      <c r="L223">
        <v>162.464411445843</v>
      </c>
      <c r="M223">
        <v>165.672623575364</v>
      </c>
      <c r="N223">
        <v>168.366090955728</v>
      </c>
      <c r="O223">
        <v>170.476299949514</v>
      </c>
      <c r="P223">
        <v>172.119369464017</v>
      </c>
      <c r="Q223">
        <v>173.560190919518</v>
      </c>
      <c r="R223">
        <v>174.934449589382</v>
      </c>
      <c r="S223">
        <v>176.160709513966</v>
      </c>
      <c r="T223">
        <v>177.071385782277</v>
      </c>
      <c r="U223">
        <v>177.493782162279</v>
      </c>
      <c r="V223">
        <v>5</v>
      </c>
      <c r="AF223" s="99" t="s">
        <v>272</v>
      </c>
      <c r="AH223">
        <v>1</v>
      </c>
      <c r="AI223">
        <v>0.996614713987383</v>
      </c>
      <c r="AJ223">
        <v>1.06924009217147</v>
      </c>
      <c r="AK223">
        <v>1.11202981109995</v>
      </c>
      <c r="AL223">
        <v>1.15950139149913</v>
      </c>
      <c r="AM223">
        <v>1.20010416264654</v>
      </c>
      <c r="AN223">
        <v>1.24188617034257</v>
      </c>
      <c r="AO223">
        <v>1.28616699003087</v>
      </c>
      <c r="AP223">
        <v>1.32846552282671</v>
      </c>
      <c r="AQ223">
        <v>1.3659418552568</v>
      </c>
      <c r="AR223">
        <v>1.39824319093224</v>
      </c>
      <c r="AS223">
        <v>1.42420588651495</v>
      </c>
      <c r="AT223">
        <v>1.44492536504681</v>
      </c>
      <c r="AU223">
        <v>1.46353391269907</v>
      </c>
      <c r="AV223">
        <v>1.48171169790961</v>
      </c>
      <c r="AW223">
        <v>1.49833016206414</v>
      </c>
      <c r="AX223">
        <v>1.51097625582845</v>
      </c>
      <c r="AY223">
        <v>1.51698354019676</v>
      </c>
      <c r="AZ223">
        <v>0</v>
      </c>
      <c r="BA223">
        <v>0</v>
      </c>
      <c r="BB223">
        <v>0</v>
      </c>
      <c r="BC223">
        <v>0</v>
      </c>
      <c r="BD223">
        <v>0</v>
      </c>
      <c r="BE223">
        <v>0</v>
      </c>
      <c r="BF223">
        <v>0</v>
      </c>
      <c r="BG223">
        <v>0</v>
      </c>
      <c r="BI223" t="s">
        <v>287</v>
      </c>
      <c r="BK223">
        <v>0.8</v>
      </c>
      <c r="BL223">
        <v>0.797560975609756</v>
      </c>
      <c r="BM223">
        <v>0.785365853658536</v>
      </c>
      <c r="BN223">
        <v>0.773170731707317</v>
      </c>
      <c r="BO223">
        <v>0.760975609756097</v>
      </c>
      <c r="BP223">
        <v>0.748780487804878</v>
      </c>
      <c r="BQ223">
        <v>0.736585365853658</v>
      </c>
      <c r="BR223">
        <v>0.724390243902439</v>
      </c>
      <c r="BS223">
        <v>0.71219512195122</v>
      </c>
      <c r="BT223">
        <v>0.699999999999999</v>
      </c>
      <c r="BU223">
        <v>0.687499999999999</v>
      </c>
      <c r="BV223">
        <v>0.675</v>
      </c>
      <c r="BW223">
        <v>0.6625</v>
      </c>
      <c r="BX223">
        <v>0.649999999999999</v>
      </c>
      <c r="BY223">
        <v>0.637499999999999</v>
      </c>
      <c r="BZ223">
        <v>0.625</v>
      </c>
      <c r="CA223">
        <v>0.6125</v>
      </c>
      <c r="CB223">
        <v>0.6</v>
      </c>
      <c r="CC223" t="e">
        <v>#VALUE!</v>
      </c>
      <c r="CD223" t="e">
        <v>#VALUE!</v>
      </c>
      <c r="CE223" t="e">
        <v>#VALUE!</v>
      </c>
      <c r="CF223" t="e">
        <v>#VALUE!</v>
      </c>
      <c r="CG223" t="e">
        <v>#VALUE!</v>
      </c>
      <c r="CH223" t="e">
        <v>#VALUE!</v>
      </c>
      <c r="CI223" t="e">
        <v>#VALUE!</v>
      </c>
      <c r="CJ223" t="e">
        <v>#VALUE!</v>
      </c>
    </row>
    <row r="224" spans="1:88">
      <c r="A224" t="s">
        <v>22</v>
      </c>
      <c r="B224" t="s">
        <v>279</v>
      </c>
      <c r="C224" t="s">
        <v>279</v>
      </c>
      <c r="D224">
        <v>188.1684912096</v>
      </c>
      <c r="E224">
        <v>187.66044154924</v>
      </c>
      <c r="F224">
        <v>198.400480612137</v>
      </c>
      <c r="G224">
        <v>204.539264215502</v>
      </c>
      <c r="H224">
        <v>211.183800647607</v>
      </c>
      <c r="I224">
        <v>216.721119365501</v>
      </c>
      <c r="J224">
        <v>222.278814039088</v>
      </c>
      <c r="K224">
        <v>228.020038470774</v>
      </c>
      <c r="L224">
        <v>233.360760241089</v>
      </c>
      <c r="M224">
        <v>237.968974525663</v>
      </c>
      <c r="N224">
        <v>241.837819338951</v>
      </c>
      <c r="O224">
        <v>244.868883008066</v>
      </c>
      <c r="P224">
        <v>247.228956501215</v>
      </c>
      <c r="Q224">
        <v>249.298524766874</v>
      </c>
      <c r="R224">
        <v>251.272483525678</v>
      </c>
      <c r="S224">
        <v>253.033859729287</v>
      </c>
      <c r="T224">
        <v>254.341937630259</v>
      </c>
      <c r="U224">
        <v>254.948659677772</v>
      </c>
      <c r="V224">
        <v>5</v>
      </c>
      <c r="AF224" s="99" t="s">
        <v>272</v>
      </c>
      <c r="AH224">
        <v>1</v>
      </c>
      <c r="AI224">
        <v>0.996614713987383</v>
      </c>
      <c r="AJ224">
        <v>1.06924009217147</v>
      </c>
      <c r="AK224">
        <v>1.11202981109995</v>
      </c>
      <c r="AL224">
        <v>1.15950139149913</v>
      </c>
      <c r="AM224">
        <v>1.20010416264654</v>
      </c>
      <c r="AN224">
        <v>1.24188617034257</v>
      </c>
      <c r="AO224">
        <v>1.28616699003087</v>
      </c>
      <c r="AP224">
        <v>1.32846552282671</v>
      </c>
      <c r="AQ224">
        <v>1.3659418552568</v>
      </c>
      <c r="AR224">
        <v>1.39824319093224</v>
      </c>
      <c r="AS224">
        <v>1.42420588651495</v>
      </c>
      <c r="AT224">
        <v>1.44492536504681</v>
      </c>
      <c r="AU224">
        <v>1.46353391269907</v>
      </c>
      <c r="AV224">
        <v>1.48171169790961</v>
      </c>
      <c r="AW224">
        <v>1.49833016206414</v>
      </c>
      <c r="AX224">
        <v>1.51097625582845</v>
      </c>
      <c r="AY224">
        <v>1.51698354019676</v>
      </c>
      <c r="AZ224">
        <v>0</v>
      </c>
      <c r="BA224">
        <v>0</v>
      </c>
      <c r="BB224">
        <v>0</v>
      </c>
      <c r="BC224">
        <v>0</v>
      </c>
      <c r="BD224">
        <v>0</v>
      </c>
      <c r="BE224">
        <v>0</v>
      </c>
      <c r="BF224">
        <v>0</v>
      </c>
      <c r="BG224">
        <v>0</v>
      </c>
      <c r="BI224" t="s">
        <v>287</v>
      </c>
      <c r="BK224">
        <v>0.8</v>
      </c>
      <c r="BL224">
        <v>0.797560975609756</v>
      </c>
      <c r="BM224">
        <v>0.785365853658536</v>
      </c>
      <c r="BN224">
        <v>0.773170731707317</v>
      </c>
      <c r="BO224">
        <v>0.760975609756097</v>
      </c>
      <c r="BP224">
        <v>0.748780487804878</v>
      </c>
      <c r="BQ224">
        <v>0.736585365853658</v>
      </c>
      <c r="BR224">
        <v>0.724390243902439</v>
      </c>
      <c r="BS224">
        <v>0.71219512195122</v>
      </c>
      <c r="BT224">
        <v>0.699999999999999</v>
      </c>
      <c r="BU224">
        <v>0.687499999999999</v>
      </c>
      <c r="BV224">
        <v>0.675</v>
      </c>
      <c r="BW224">
        <v>0.6625</v>
      </c>
      <c r="BX224">
        <v>0.649999999999999</v>
      </c>
      <c r="BY224">
        <v>0.637499999999999</v>
      </c>
      <c r="BZ224">
        <v>0.625</v>
      </c>
      <c r="CA224">
        <v>0.6125</v>
      </c>
      <c r="CB224">
        <v>0.6</v>
      </c>
      <c r="CC224" t="e">
        <v>#VALUE!</v>
      </c>
      <c r="CD224" t="e">
        <v>#VALUE!</v>
      </c>
      <c r="CE224" t="e">
        <v>#VALUE!</v>
      </c>
      <c r="CF224" t="e">
        <v>#VALUE!</v>
      </c>
      <c r="CG224" t="e">
        <v>#VALUE!</v>
      </c>
      <c r="CH224" t="e">
        <v>#VALUE!</v>
      </c>
      <c r="CI224" t="e">
        <v>#VALUE!</v>
      </c>
      <c r="CJ224" t="e">
        <v>#VALUE!</v>
      </c>
    </row>
    <row r="225" spans="1:88">
      <c r="A225" t="s">
        <v>22</v>
      </c>
      <c r="B225" t="s">
        <v>280</v>
      </c>
      <c r="C225" t="s">
        <v>280</v>
      </c>
      <c r="D225">
        <v>14.12</v>
      </c>
      <c r="E225">
        <v>14.0651904814574</v>
      </c>
      <c r="F225">
        <v>13.7950660385097</v>
      </c>
      <c r="G225">
        <v>13.5229181671294</v>
      </c>
      <c r="H225">
        <v>13.2386274621664</v>
      </c>
      <c r="I225">
        <v>12.9494897384218</v>
      </c>
      <c r="J225">
        <v>12.6614108942813</v>
      </c>
      <c r="K225">
        <v>12.3859721091996</v>
      </c>
      <c r="L225">
        <v>12.1254805911524</v>
      </c>
      <c r="M225">
        <v>11.868133937815</v>
      </c>
      <c r="N225">
        <v>11.598676991281</v>
      </c>
      <c r="O225">
        <v>11.3157451837085</v>
      </c>
      <c r="P225">
        <v>11.031934035467</v>
      </c>
      <c r="Q225">
        <v>10.7683586605644</v>
      </c>
      <c r="R225">
        <v>10.5312433799373</v>
      </c>
      <c r="S225">
        <v>10.3127831076399</v>
      </c>
      <c r="T225">
        <v>10.102469270594</v>
      </c>
      <c r="U225">
        <v>9.89240918978777</v>
      </c>
      <c r="V225">
        <v>5</v>
      </c>
      <c r="AF225" s="99" t="s">
        <v>277</v>
      </c>
      <c r="AH225">
        <v>1</v>
      </c>
      <c r="AI225">
        <v>0.995133044285661</v>
      </c>
      <c r="AJ225">
        <v>0.970798265713964</v>
      </c>
      <c r="AK225">
        <v>0.946027767353842</v>
      </c>
      <c r="AL225">
        <v>0.919892593887119</v>
      </c>
      <c r="AM225">
        <v>0.893061128007311</v>
      </c>
      <c r="AN225">
        <v>0.866088900752858</v>
      </c>
      <c r="AO225">
        <v>0.84007934876746</v>
      </c>
      <c r="AP225">
        <v>0.815271745778737</v>
      </c>
      <c r="AQ225">
        <v>0.790553143168125</v>
      </c>
      <c r="AR225">
        <v>0.7644456416216</v>
      </c>
      <c r="AS225">
        <v>0.736819759381374</v>
      </c>
      <c r="AT225">
        <v>0.708925060804943</v>
      </c>
      <c r="AU225">
        <v>0.682867116647441</v>
      </c>
      <c r="AV225">
        <v>0.659280478678467</v>
      </c>
      <c r="AW225">
        <v>0.637398679890398</v>
      </c>
      <c r="AX225">
        <v>0.616176156079915</v>
      </c>
      <c r="AY225">
        <v>0.594822628595666</v>
      </c>
      <c r="AZ225">
        <v>0</v>
      </c>
      <c r="BA225">
        <v>0</v>
      </c>
      <c r="BB225">
        <v>0</v>
      </c>
      <c r="BC225">
        <v>0</v>
      </c>
      <c r="BD225">
        <v>0</v>
      </c>
      <c r="BE225">
        <v>0</v>
      </c>
      <c r="BF225">
        <v>0</v>
      </c>
      <c r="BG225">
        <v>0</v>
      </c>
      <c r="BI225" t="s">
        <v>287</v>
      </c>
      <c r="BK225">
        <v>0.8</v>
      </c>
      <c r="BL225">
        <v>0.797560975609756</v>
      </c>
      <c r="BM225">
        <v>0.785365853658536</v>
      </c>
      <c r="BN225">
        <v>0.773170731707317</v>
      </c>
      <c r="BO225">
        <v>0.760975609756097</v>
      </c>
      <c r="BP225">
        <v>0.748780487804878</v>
      </c>
      <c r="BQ225">
        <v>0.736585365853658</v>
      </c>
      <c r="BR225">
        <v>0.724390243902439</v>
      </c>
      <c r="BS225">
        <v>0.71219512195122</v>
      </c>
      <c r="BT225">
        <v>0.699999999999999</v>
      </c>
      <c r="BU225">
        <v>0.687499999999999</v>
      </c>
      <c r="BV225">
        <v>0.675</v>
      </c>
      <c r="BW225">
        <v>0.6625</v>
      </c>
      <c r="BX225">
        <v>0.649999999999999</v>
      </c>
      <c r="BY225">
        <v>0.637499999999999</v>
      </c>
      <c r="BZ225">
        <v>0.625</v>
      </c>
      <c r="CA225">
        <v>0.6125</v>
      </c>
      <c r="CB225">
        <v>0.6</v>
      </c>
      <c r="CC225" t="e">
        <v>#VALUE!</v>
      </c>
      <c r="CD225" t="e">
        <v>#VALUE!</v>
      </c>
      <c r="CE225" t="e">
        <v>#VALUE!</v>
      </c>
      <c r="CF225" t="e">
        <v>#VALUE!</v>
      </c>
      <c r="CG225" t="e">
        <v>#VALUE!</v>
      </c>
      <c r="CH225" t="e">
        <v>#VALUE!</v>
      </c>
      <c r="CI225" t="e">
        <v>#VALUE!</v>
      </c>
      <c r="CJ225" t="e">
        <v>#VALUE!</v>
      </c>
    </row>
    <row r="226" spans="1:88">
      <c r="A226" t="s">
        <v>22</v>
      </c>
      <c r="B226" t="s">
        <v>281</v>
      </c>
      <c r="C226" t="s">
        <v>281</v>
      </c>
      <c r="D226">
        <v>4.455</v>
      </c>
      <c r="E226">
        <v>4.43770705346265</v>
      </c>
      <c r="F226">
        <v>4.35248011342497</v>
      </c>
      <c r="G226">
        <v>4.26661476165448</v>
      </c>
      <c r="H226">
        <v>4.17691822549232</v>
      </c>
      <c r="I226">
        <v>4.08569240684624</v>
      </c>
      <c r="J226">
        <v>3.9948006752141</v>
      </c>
      <c r="K226">
        <v>3.90789700754138</v>
      </c>
      <c r="L226">
        <v>3.82570935082041</v>
      </c>
      <c r="M226">
        <v>3.74451393009671</v>
      </c>
      <c r="N226">
        <v>3.65949759179581</v>
      </c>
      <c r="O226">
        <v>3.57022980123381</v>
      </c>
      <c r="P226">
        <v>3.48068456997207</v>
      </c>
      <c r="Q226">
        <v>3.39752392583671</v>
      </c>
      <c r="R226">
        <v>3.32271170379751</v>
      </c>
      <c r="S226">
        <v>3.25378532185098</v>
      </c>
      <c r="T226">
        <v>3.18742922099833</v>
      </c>
      <c r="U226">
        <v>3.12115318275528</v>
      </c>
      <c r="V226">
        <v>5</v>
      </c>
      <c r="AF226" s="99" t="s">
        <v>277</v>
      </c>
      <c r="AH226">
        <v>1</v>
      </c>
      <c r="AI226">
        <v>0.995133044285661</v>
      </c>
      <c r="AJ226">
        <v>0.970798265713964</v>
      </c>
      <c r="AK226">
        <v>0.946027767353842</v>
      </c>
      <c r="AL226">
        <v>0.919892593887119</v>
      </c>
      <c r="AM226">
        <v>0.893061128007311</v>
      </c>
      <c r="AN226">
        <v>0.866088900752858</v>
      </c>
      <c r="AO226">
        <v>0.84007934876746</v>
      </c>
      <c r="AP226">
        <v>0.815271745778737</v>
      </c>
      <c r="AQ226">
        <v>0.790553143168125</v>
      </c>
      <c r="AR226">
        <v>0.7644456416216</v>
      </c>
      <c r="AS226">
        <v>0.736819759381374</v>
      </c>
      <c r="AT226">
        <v>0.708925060804943</v>
      </c>
      <c r="AU226">
        <v>0.682867116647441</v>
      </c>
      <c r="AV226">
        <v>0.659280478678467</v>
      </c>
      <c r="AW226">
        <v>0.637398679890398</v>
      </c>
      <c r="AX226">
        <v>0.616176156079915</v>
      </c>
      <c r="AY226">
        <v>0.594822628595666</v>
      </c>
      <c r="AZ226">
        <v>0</v>
      </c>
      <c r="BA226">
        <v>0</v>
      </c>
      <c r="BB226">
        <v>0</v>
      </c>
      <c r="BC226">
        <v>0</v>
      </c>
      <c r="BD226">
        <v>0</v>
      </c>
      <c r="BE226">
        <v>0</v>
      </c>
      <c r="BF226">
        <v>0</v>
      </c>
      <c r="BG226">
        <v>0</v>
      </c>
      <c r="BI226" t="s">
        <v>287</v>
      </c>
      <c r="BK226">
        <v>0.8</v>
      </c>
      <c r="BL226">
        <v>0.797560975609756</v>
      </c>
      <c r="BM226">
        <v>0.785365853658536</v>
      </c>
      <c r="BN226">
        <v>0.773170731707317</v>
      </c>
      <c r="BO226">
        <v>0.760975609756097</v>
      </c>
      <c r="BP226">
        <v>0.748780487804878</v>
      </c>
      <c r="BQ226">
        <v>0.736585365853658</v>
      </c>
      <c r="BR226">
        <v>0.724390243902439</v>
      </c>
      <c r="BS226">
        <v>0.71219512195122</v>
      </c>
      <c r="BT226">
        <v>0.699999999999999</v>
      </c>
      <c r="BU226">
        <v>0.687499999999999</v>
      </c>
      <c r="BV226">
        <v>0.675</v>
      </c>
      <c r="BW226">
        <v>0.6625</v>
      </c>
      <c r="BX226">
        <v>0.649999999999999</v>
      </c>
      <c r="BY226">
        <v>0.637499999999999</v>
      </c>
      <c r="BZ226">
        <v>0.625</v>
      </c>
      <c r="CA226">
        <v>0.6125</v>
      </c>
      <c r="CB226">
        <v>0.6</v>
      </c>
      <c r="CC226" t="e">
        <v>#VALUE!</v>
      </c>
      <c r="CD226" t="e">
        <v>#VALUE!</v>
      </c>
      <c r="CE226" t="e">
        <v>#VALUE!</v>
      </c>
      <c r="CF226" t="e">
        <v>#VALUE!</v>
      </c>
      <c r="CG226" t="e">
        <v>#VALUE!</v>
      </c>
      <c r="CH226" t="e">
        <v>#VALUE!</v>
      </c>
      <c r="CI226" t="e">
        <v>#VALUE!</v>
      </c>
      <c r="CJ226" t="e">
        <v>#VALUE!</v>
      </c>
    </row>
    <row r="227" spans="1:88">
      <c r="A227" t="s">
        <v>22</v>
      </c>
      <c r="B227" t="s">
        <v>282</v>
      </c>
      <c r="C227" t="s">
        <v>282</v>
      </c>
      <c r="D227">
        <v>3.115</v>
      </c>
      <c r="E227">
        <v>3.10290852335267</v>
      </c>
      <c r="F227">
        <v>3.04331662251825</v>
      </c>
      <c r="G227">
        <v>2.98327833502889</v>
      </c>
      <c r="H227">
        <v>2.92056122837454</v>
      </c>
      <c r="I227">
        <v>2.85677482543794</v>
      </c>
      <c r="J227">
        <v>2.79322202094095</v>
      </c>
      <c r="K227">
        <v>2.73245772805643</v>
      </c>
      <c r="L227">
        <v>2.67499093777903</v>
      </c>
      <c r="M227">
        <v>2.61821793316527</v>
      </c>
      <c r="N227">
        <v>2.55877328809067</v>
      </c>
      <c r="O227">
        <v>2.49635596651927</v>
      </c>
      <c r="P227">
        <v>2.43374465442491</v>
      </c>
      <c r="Q227">
        <v>2.37559753736955</v>
      </c>
      <c r="R227">
        <v>2.32328775697626</v>
      </c>
      <c r="S227">
        <v>2.27509344053104</v>
      </c>
      <c r="T227">
        <v>2.22869630155102</v>
      </c>
      <c r="U227">
        <v>2.1823551434978</v>
      </c>
      <c r="V227">
        <v>5</v>
      </c>
      <c r="AF227" s="99" t="s">
        <v>277</v>
      </c>
      <c r="AH227">
        <v>1</v>
      </c>
      <c r="AI227">
        <v>0.995133044285661</v>
      </c>
      <c r="AJ227">
        <v>0.970798265713964</v>
      </c>
      <c r="AK227">
        <v>0.946027767353842</v>
      </c>
      <c r="AL227">
        <v>0.919892593887119</v>
      </c>
      <c r="AM227">
        <v>0.893061128007311</v>
      </c>
      <c r="AN227">
        <v>0.866088900752858</v>
      </c>
      <c r="AO227">
        <v>0.84007934876746</v>
      </c>
      <c r="AP227">
        <v>0.815271745778737</v>
      </c>
      <c r="AQ227">
        <v>0.790553143168125</v>
      </c>
      <c r="AR227">
        <v>0.7644456416216</v>
      </c>
      <c r="AS227">
        <v>0.736819759381374</v>
      </c>
      <c r="AT227">
        <v>0.708925060804943</v>
      </c>
      <c r="AU227">
        <v>0.682867116647441</v>
      </c>
      <c r="AV227">
        <v>0.659280478678467</v>
      </c>
      <c r="AW227">
        <v>0.637398679890398</v>
      </c>
      <c r="AX227">
        <v>0.616176156079915</v>
      </c>
      <c r="AY227">
        <v>0.594822628595666</v>
      </c>
      <c r="AZ227">
        <v>0</v>
      </c>
      <c r="BA227">
        <v>0</v>
      </c>
      <c r="BB227">
        <v>0</v>
      </c>
      <c r="BC227">
        <v>0</v>
      </c>
      <c r="BD227">
        <v>0</v>
      </c>
      <c r="BE227">
        <v>0</v>
      </c>
      <c r="BF227">
        <v>0</v>
      </c>
      <c r="BG227">
        <v>0</v>
      </c>
      <c r="BI227" t="s">
        <v>287</v>
      </c>
      <c r="BK227">
        <v>0.8</v>
      </c>
      <c r="BL227">
        <v>0.797560975609756</v>
      </c>
      <c r="BM227">
        <v>0.785365853658536</v>
      </c>
      <c r="BN227">
        <v>0.773170731707317</v>
      </c>
      <c r="BO227">
        <v>0.760975609756097</v>
      </c>
      <c r="BP227">
        <v>0.748780487804878</v>
      </c>
      <c r="BQ227">
        <v>0.736585365853658</v>
      </c>
      <c r="BR227">
        <v>0.724390243902439</v>
      </c>
      <c r="BS227">
        <v>0.71219512195122</v>
      </c>
      <c r="BT227">
        <v>0.699999999999999</v>
      </c>
      <c r="BU227">
        <v>0.687499999999999</v>
      </c>
      <c r="BV227">
        <v>0.675</v>
      </c>
      <c r="BW227">
        <v>0.6625</v>
      </c>
      <c r="BX227">
        <v>0.649999999999999</v>
      </c>
      <c r="BY227">
        <v>0.637499999999999</v>
      </c>
      <c r="BZ227">
        <v>0.625</v>
      </c>
      <c r="CA227">
        <v>0.6125</v>
      </c>
      <c r="CB227">
        <v>0.6</v>
      </c>
      <c r="CC227" t="e">
        <v>#VALUE!</v>
      </c>
      <c r="CD227" t="e">
        <v>#VALUE!</v>
      </c>
      <c r="CE227" t="e">
        <v>#VALUE!</v>
      </c>
      <c r="CF227" t="e">
        <v>#VALUE!</v>
      </c>
      <c r="CG227" t="e">
        <v>#VALUE!</v>
      </c>
      <c r="CH227" t="e">
        <v>#VALUE!</v>
      </c>
      <c r="CI227" t="e">
        <v>#VALUE!</v>
      </c>
      <c r="CJ227" t="e">
        <v>#VALUE!</v>
      </c>
    </row>
    <row r="228" spans="1:88">
      <c r="A228" t="s">
        <v>22</v>
      </c>
      <c r="B228" t="s">
        <v>283</v>
      </c>
      <c r="C228" t="s">
        <v>283</v>
      </c>
      <c r="D228">
        <v>687.192</v>
      </c>
      <c r="E228">
        <v>688.008041496291</v>
      </c>
      <c r="F228">
        <v>741.915140100379</v>
      </c>
      <c r="G228">
        <v>780.491757693345</v>
      </c>
      <c r="H228">
        <v>823.441043931532</v>
      </c>
      <c r="I228">
        <v>864.205324003525</v>
      </c>
      <c r="J228">
        <v>906.881721231787</v>
      </c>
      <c r="K228">
        <v>951.370018315786</v>
      </c>
      <c r="L228">
        <v>994.948460502842</v>
      </c>
      <c r="M228">
        <v>1036.98687065624</v>
      </c>
      <c r="N228">
        <v>1078.76981652578</v>
      </c>
      <c r="O228">
        <v>1120.09902746409</v>
      </c>
      <c r="P228">
        <v>1160.5181605889</v>
      </c>
      <c r="Q228">
        <v>1199.38883839739</v>
      </c>
      <c r="R228">
        <v>1236.58037923435</v>
      </c>
      <c r="S228">
        <v>1272.07842908439</v>
      </c>
      <c r="T228">
        <v>1305.71668230536</v>
      </c>
      <c r="U228">
        <v>1337.06757119091</v>
      </c>
      <c r="V228">
        <v>5</v>
      </c>
      <c r="AF228" s="99" t="s">
        <v>284</v>
      </c>
      <c r="AH228">
        <v>1</v>
      </c>
      <c r="AI228">
        <v>1.00148891619088</v>
      </c>
      <c r="AJ228">
        <v>1.10140296901448</v>
      </c>
      <c r="AK228">
        <v>1.17547269697002</v>
      </c>
      <c r="AL228">
        <v>1.2604747545575</v>
      </c>
      <c r="AM228">
        <v>1.34380965088508</v>
      </c>
      <c r="AN228">
        <v>1.43390149586613</v>
      </c>
      <c r="AO228">
        <v>1.53100655541396</v>
      </c>
      <c r="AP228">
        <v>1.62947572966333</v>
      </c>
      <c r="AQ228">
        <v>1.72783052861294</v>
      </c>
      <c r="AR228">
        <v>1.82909433294194</v>
      </c>
      <c r="AS228">
        <v>1.93290946446754</v>
      </c>
      <c r="AT228">
        <v>2.03819196828248</v>
      </c>
      <c r="AU228">
        <v>2.14321919597526</v>
      </c>
      <c r="AV228">
        <v>2.24746787722233</v>
      </c>
      <c r="AW228">
        <v>2.35069542710973</v>
      </c>
      <c r="AX228">
        <v>2.45218228735304</v>
      </c>
      <c r="AY228">
        <v>2.55031242469414</v>
      </c>
      <c r="AZ228">
        <v>0</v>
      </c>
      <c r="BA228">
        <v>0</v>
      </c>
      <c r="BB228">
        <v>0</v>
      </c>
      <c r="BC228">
        <v>0</v>
      </c>
      <c r="BD228">
        <v>0</v>
      </c>
      <c r="BE228">
        <v>0</v>
      </c>
      <c r="BF228">
        <v>0</v>
      </c>
      <c r="BG228">
        <v>0</v>
      </c>
      <c r="BI228" t="s">
        <v>287</v>
      </c>
      <c r="BK228">
        <v>0.8</v>
      </c>
      <c r="BL228">
        <v>0.797560975609756</v>
      </c>
      <c r="BM228">
        <v>0.785365853658536</v>
      </c>
      <c r="BN228">
        <v>0.773170731707317</v>
      </c>
      <c r="BO228">
        <v>0.760975609756097</v>
      </c>
      <c r="BP228">
        <v>0.748780487804878</v>
      </c>
      <c r="BQ228">
        <v>0.736585365853658</v>
      </c>
      <c r="BR228">
        <v>0.724390243902439</v>
      </c>
      <c r="BS228">
        <v>0.71219512195122</v>
      </c>
      <c r="BT228">
        <v>0.699999999999999</v>
      </c>
      <c r="BU228">
        <v>0.687499999999999</v>
      </c>
      <c r="BV228">
        <v>0.675</v>
      </c>
      <c r="BW228">
        <v>0.6625</v>
      </c>
      <c r="BX228">
        <v>0.649999999999999</v>
      </c>
      <c r="BY228">
        <v>0.637499999999999</v>
      </c>
      <c r="BZ228">
        <v>0.625</v>
      </c>
      <c r="CA228">
        <v>0.6125</v>
      </c>
      <c r="CB228">
        <v>0.6</v>
      </c>
      <c r="CC228" t="e">
        <v>#VALUE!</v>
      </c>
      <c r="CD228" t="e">
        <v>#VALUE!</v>
      </c>
      <c r="CE228" t="e">
        <v>#VALUE!</v>
      </c>
      <c r="CF228" t="e">
        <v>#VALUE!</v>
      </c>
      <c r="CG228" t="e">
        <v>#VALUE!</v>
      </c>
      <c r="CH228" t="e">
        <v>#VALUE!</v>
      </c>
      <c r="CI228" t="e">
        <v>#VALUE!</v>
      </c>
      <c r="CJ228" t="e">
        <v>#VALUE!</v>
      </c>
    </row>
    <row r="229" spans="1:88">
      <c r="A229" t="s">
        <v>22</v>
      </c>
      <c r="B229" t="s">
        <v>285</v>
      </c>
      <c r="C229" t="s">
        <v>285</v>
      </c>
      <c r="D229">
        <v>96.8</v>
      </c>
      <c r="E229">
        <v>96.5386427089537</v>
      </c>
      <c r="F229">
        <v>102.063668575959</v>
      </c>
      <c r="G229">
        <v>105.221658784552</v>
      </c>
      <c r="H229">
        <v>108.639824719206</v>
      </c>
      <c r="I229">
        <v>111.488401802683</v>
      </c>
      <c r="J229">
        <v>114.347460941356</v>
      </c>
      <c r="K229">
        <v>117.300933764647</v>
      </c>
      <c r="L229">
        <v>120.048374975677</v>
      </c>
      <c r="M229">
        <v>122.41899048032</v>
      </c>
      <c r="N229">
        <v>124.409250249737</v>
      </c>
      <c r="O229">
        <v>125.9685281144</v>
      </c>
      <c r="P229">
        <v>127.182626780273</v>
      </c>
      <c r="Q229">
        <v>128.247280096181</v>
      </c>
      <c r="R229">
        <v>129.262748768029</v>
      </c>
      <c r="S229">
        <v>130.168858050265</v>
      </c>
      <c r="T229">
        <v>130.841775922966</v>
      </c>
      <c r="U229">
        <v>131.153893503448</v>
      </c>
      <c r="V229">
        <v>5</v>
      </c>
      <c r="AF229" s="99" t="s">
        <v>272</v>
      </c>
      <c r="AH229">
        <v>1</v>
      </c>
      <c r="AI229">
        <v>0.996614713987383</v>
      </c>
      <c r="AJ229">
        <v>1.06924009217147</v>
      </c>
      <c r="AK229">
        <v>1.11202981109995</v>
      </c>
      <c r="AL229">
        <v>1.15950139149913</v>
      </c>
      <c r="AM229">
        <v>1.20010416264654</v>
      </c>
      <c r="AN229">
        <v>1.24188617034257</v>
      </c>
      <c r="AO229">
        <v>1.28616699003087</v>
      </c>
      <c r="AP229">
        <v>1.32846552282671</v>
      </c>
      <c r="AQ229">
        <v>1.3659418552568</v>
      </c>
      <c r="AR229">
        <v>1.39824319093224</v>
      </c>
      <c r="AS229">
        <v>1.42420588651495</v>
      </c>
      <c r="AT229">
        <v>1.44492536504681</v>
      </c>
      <c r="AU229">
        <v>1.46353391269907</v>
      </c>
      <c r="AV229">
        <v>1.48171169790961</v>
      </c>
      <c r="AW229">
        <v>1.49833016206414</v>
      </c>
      <c r="AX229">
        <v>1.51097625582845</v>
      </c>
      <c r="AY229">
        <v>1.51698354019676</v>
      </c>
      <c r="AZ229">
        <v>0</v>
      </c>
      <c r="BA229">
        <v>0</v>
      </c>
      <c r="BB229">
        <v>0</v>
      </c>
      <c r="BC229">
        <v>0</v>
      </c>
      <c r="BD229">
        <v>0</v>
      </c>
      <c r="BE229">
        <v>0</v>
      </c>
      <c r="BF229">
        <v>0</v>
      </c>
      <c r="BG229">
        <v>0</v>
      </c>
      <c r="BI229" t="s">
        <v>287</v>
      </c>
      <c r="BK229">
        <v>0.8</v>
      </c>
      <c r="BL229">
        <v>0.797560975609756</v>
      </c>
      <c r="BM229">
        <v>0.785365853658536</v>
      </c>
      <c r="BN229">
        <v>0.773170731707317</v>
      </c>
      <c r="BO229">
        <v>0.760975609756097</v>
      </c>
      <c r="BP229">
        <v>0.748780487804878</v>
      </c>
      <c r="BQ229">
        <v>0.736585365853658</v>
      </c>
      <c r="BR229">
        <v>0.724390243902439</v>
      </c>
      <c r="BS229">
        <v>0.71219512195122</v>
      </c>
      <c r="BT229">
        <v>0.699999999999999</v>
      </c>
      <c r="BU229">
        <v>0.687499999999999</v>
      </c>
      <c r="BV229">
        <v>0.675</v>
      </c>
      <c r="BW229">
        <v>0.6625</v>
      </c>
      <c r="BX229">
        <v>0.649999999999999</v>
      </c>
      <c r="BY229">
        <v>0.637499999999999</v>
      </c>
      <c r="BZ229">
        <v>0.625</v>
      </c>
      <c r="CA229">
        <v>0.6125</v>
      </c>
      <c r="CB229">
        <v>0.6</v>
      </c>
      <c r="CC229" t="e">
        <v>#VALUE!</v>
      </c>
      <c r="CD229" t="e">
        <v>#VALUE!</v>
      </c>
      <c r="CE229" t="e">
        <v>#VALUE!</v>
      </c>
      <c r="CF229" t="e">
        <v>#VALUE!</v>
      </c>
      <c r="CG229" t="e">
        <v>#VALUE!</v>
      </c>
      <c r="CH229" t="e">
        <v>#VALUE!</v>
      </c>
      <c r="CI229" t="e">
        <v>#VALUE!</v>
      </c>
      <c r="CJ229" t="e">
        <v>#VALUE!</v>
      </c>
    </row>
    <row r="230" spans="1:88">
      <c r="A230" t="s">
        <v>22</v>
      </c>
      <c r="B230" t="s">
        <v>286</v>
      </c>
      <c r="C230" t="s">
        <v>286</v>
      </c>
      <c r="D230">
        <v>114.16</v>
      </c>
      <c r="E230">
        <v>113.851771194774</v>
      </c>
      <c r="F230">
        <v>120.367648808176</v>
      </c>
      <c r="G230">
        <v>124.091989326906</v>
      </c>
      <c r="H230">
        <v>128.123165185377</v>
      </c>
      <c r="I230">
        <v>131.482602787131</v>
      </c>
      <c r="J230">
        <v>134.854402283732</v>
      </c>
      <c r="K230">
        <v>138.337547505911</v>
      </c>
      <c r="L230">
        <v>141.577711644868</v>
      </c>
      <c r="M230">
        <v>144.373470591253</v>
      </c>
      <c r="N230">
        <v>146.720661244937</v>
      </c>
      <c r="O230">
        <v>148.559578197727</v>
      </c>
      <c r="P230">
        <v>149.991411913595</v>
      </c>
      <c r="Q230">
        <v>151.246998923348</v>
      </c>
      <c r="R230">
        <v>152.444580571883</v>
      </c>
      <c r="S230">
        <v>153.513190444404</v>
      </c>
      <c r="T230">
        <v>154.306788629812</v>
      </c>
      <c r="U230">
        <v>154.674881016049</v>
      </c>
      <c r="V230">
        <v>5</v>
      </c>
      <c r="AF230" s="99" t="s">
        <v>272</v>
      </c>
      <c r="AH230">
        <v>1</v>
      </c>
      <c r="AI230">
        <v>0.996614713987383</v>
      </c>
      <c r="AJ230">
        <v>1.06924009217147</v>
      </c>
      <c r="AK230">
        <v>1.11202981109995</v>
      </c>
      <c r="AL230">
        <v>1.15950139149913</v>
      </c>
      <c r="AM230">
        <v>1.20010416264654</v>
      </c>
      <c r="AN230">
        <v>1.24188617034257</v>
      </c>
      <c r="AO230">
        <v>1.28616699003087</v>
      </c>
      <c r="AP230">
        <v>1.32846552282671</v>
      </c>
      <c r="AQ230">
        <v>1.3659418552568</v>
      </c>
      <c r="AR230">
        <v>1.39824319093224</v>
      </c>
      <c r="AS230">
        <v>1.42420588651495</v>
      </c>
      <c r="AT230">
        <v>1.44492536504681</v>
      </c>
      <c r="AU230">
        <v>1.46353391269907</v>
      </c>
      <c r="AV230">
        <v>1.48171169790961</v>
      </c>
      <c r="AW230">
        <v>1.49833016206414</v>
      </c>
      <c r="AX230">
        <v>1.51097625582845</v>
      </c>
      <c r="AY230">
        <v>1.51698354019676</v>
      </c>
      <c r="AZ230">
        <v>0</v>
      </c>
      <c r="BA230">
        <v>0</v>
      </c>
      <c r="BB230">
        <v>0</v>
      </c>
      <c r="BC230">
        <v>0</v>
      </c>
      <c r="BD230">
        <v>0</v>
      </c>
      <c r="BE230">
        <v>0</v>
      </c>
      <c r="BF230">
        <v>0</v>
      </c>
      <c r="BG230">
        <v>0</v>
      </c>
      <c r="BI230" t="s">
        <v>287</v>
      </c>
      <c r="BK230">
        <v>0.8</v>
      </c>
      <c r="BL230">
        <v>0.797560975609756</v>
      </c>
      <c r="BM230">
        <v>0.785365853658536</v>
      </c>
      <c r="BN230">
        <v>0.773170731707317</v>
      </c>
      <c r="BO230">
        <v>0.760975609756097</v>
      </c>
      <c r="BP230">
        <v>0.748780487804878</v>
      </c>
      <c r="BQ230">
        <v>0.736585365853658</v>
      </c>
      <c r="BR230">
        <v>0.724390243902439</v>
      </c>
      <c r="BS230">
        <v>0.71219512195122</v>
      </c>
      <c r="BT230">
        <v>0.699999999999999</v>
      </c>
      <c r="BU230">
        <v>0.687499999999999</v>
      </c>
      <c r="BV230">
        <v>0.675</v>
      </c>
      <c r="BW230">
        <v>0.6625</v>
      </c>
      <c r="BX230">
        <v>0.649999999999999</v>
      </c>
      <c r="BY230">
        <v>0.637499999999999</v>
      </c>
      <c r="BZ230">
        <v>0.625</v>
      </c>
      <c r="CA230">
        <v>0.6125</v>
      </c>
      <c r="CB230">
        <v>0.6</v>
      </c>
      <c r="CC230" t="e">
        <v>#VALUE!</v>
      </c>
      <c r="CD230" t="e">
        <v>#VALUE!</v>
      </c>
      <c r="CE230" t="e">
        <v>#VALUE!</v>
      </c>
      <c r="CF230" t="e">
        <v>#VALUE!</v>
      </c>
      <c r="CG230" t="e">
        <v>#VALUE!</v>
      </c>
      <c r="CH230" t="e">
        <v>#VALUE!</v>
      </c>
      <c r="CI230" t="e">
        <v>#VALUE!</v>
      </c>
      <c r="CJ230" t="e">
        <v>#VALUE!</v>
      </c>
    </row>
    <row r="231" spans="1:88">
      <c r="A231" t="s">
        <v>23</v>
      </c>
      <c r="B231" t="s">
        <v>271</v>
      </c>
      <c r="C231" t="s">
        <v>271</v>
      </c>
      <c r="D231">
        <v>90.0659894256</v>
      </c>
      <c r="E231">
        <v>90.136915586846</v>
      </c>
      <c r="F231">
        <v>109.21955993293</v>
      </c>
      <c r="G231">
        <v>125.906950812149</v>
      </c>
      <c r="H231">
        <v>145.228796820524</v>
      </c>
      <c r="I231">
        <v>166.931297627316</v>
      </c>
      <c r="J231">
        <v>190.412771447299</v>
      </c>
      <c r="K231">
        <v>215.119605614604</v>
      </c>
      <c r="L231">
        <v>241.0115379126</v>
      </c>
      <c r="M231">
        <v>268.1232370228</v>
      </c>
      <c r="N231">
        <v>296.683445557815</v>
      </c>
      <c r="O231">
        <v>326.039446293237</v>
      </c>
      <c r="P231">
        <v>355.689212696468</v>
      </c>
      <c r="Q231">
        <v>385.019872262151</v>
      </c>
      <c r="R231">
        <v>413.870459789086</v>
      </c>
      <c r="S231">
        <v>442.250254950034</v>
      </c>
      <c r="T231">
        <v>470.142985872213</v>
      </c>
      <c r="U231">
        <v>497.572882082476</v>
      </c>
      <c r="V231">
        <v>5</v>
      </c>
      <c r="AF231" s="99" t="s">
        <v>272</v>
      </c>
      <c r="AH231">
        <v>1</v>
      </c>
      <c r="AI231">
        <v>1.00078941646338</v>
      </c>
      <c r="AJ231">
        <v>1.21581050640933</v>
      </c>
      <c r="AK231">
        <v>1.40669245927961</v>
      </c>
      <c r="AL231">
        <v>1.63133174234812</v>
      </c>
      <c r="AM231">
        <v>1.8882728451538</v>
      </c>
      <c r="AN231">
        <v>2.17187201987731</v>
      </c>
      <c r="AO231">
        <v>2.4767316393066</v>
      </c>
      <c r="AP231">
        <v>2.80352684491355</v>
      </c>
      <c r="AQ231">
        <v>3.15394057256684</v>
      </c>
      <c r="AR231">
        <v>3.53248082243297</v>
      </c>
      <c r="AS231">
        <v>3.93194269688489</v>
      </c>
      <c r="AT231">
        <v>4.34651397012136</v>
      </c>
      <c r="AU231">
        <v>4.7681845383142</v>
      </c>
      <c r="AV231">
        <v>5.19480310825725</v>
      </c>
      <c r="AW231">
        <v>5.62658057118297</v>
      </c>
      <c r="AX231">
        <v>6.06334183892459</v>
      </c>
      <c r="AY231">
        <v>6.50553932545227</v>
      </c>
      <c r="AZ231">
        <v>0</v>
      </c>
      <c r="BA231">
        <v>0</v>
      </c>
      <c r="BB231">
        <v>0</v>
      </c>
      <c r="BC231">
        <v>0</v>
      </c>
      <c r="BD231">
        <v>0</v>
      </c>
      <c r="BE231">
        <v>0</v>
      </c>
      <c r="BF231">
        <v>0</v>
      </c>
      <c r="BG231">
        <v>0</v>
      </c>
      <c r="BI231" t="s">
        <v>273</v>
      </c>
      <c r="BK231">
        <v>1</v>
      </c>
      <c r="BL231">
        <v>0.997560975609757</v>
      </c>
      <c r="BM231">
        <v>0.985365853658537</v>
      </c>
      <c r="BN231">
        <v>0.973170731707317</v>
      </c>
      <c r="BO231">
        <v>0.960975609756098</v>
      </c>
      <c r="BP231">
        <v>0.948780487804878</v>
      </c>
      <c r="BQ231">
        <v>0.936585365853658</v>
      </c>
      <c r="BR231">
        <v>0.924390243902439</v>
      </c>
      <c r="BS231">
        <v>0.91219512195122</v>
      </c>
      <c r="BT231">
        <v>0.9</v>
      </c>
      <c r="BU231">
        <v>0.8875</v>
      </c>
      <c r="BV231">
        <v>0.875000000000001</v>
      </c>
      <c r="BW231">
        <v>0.862500000000001</v>
      </c>
      <c r="BX231">
        <v>0.850000000000001</v>
      </c>
      <c r="BY231">
        <v>0.8375</v>
      </c>
      <c r="BZ231">
        <v>0.825000000000001</v>
      </c>
      <c r="CA231">
        <v>0.812500000000001</v>
      </c>
      <c r="CB231">
        <v>0.800000000000001</v>
      </c>
      <c r="CC231" t="e">
        <v>#VALUE!</v>
      </c>
      <c r="CD231" t="e">
        <v>#VALUE!</v>
      </c>
      <c r="CE231" t="e">
        <v>#VALUE!</v>
      </c>
      <c r="CF231" t="e">
        <v>#VALUE!</v>
      </c>
      <c r="CG231" t="e">
        <v>#VALUE!</v>
      </c>
      <c r="CH231" t="e">
        <v>#VALUE!</v>
      </c>
      <c r="CI231" t="e">
        <v>#VALUE!</v>
      </c>
      <c r="CJ231" t="e">
        <v>#VALUE!</v>
      </c>
    </row>
    <row r="232" spans="1:88">
      <c r="A232" t="s">
        <v>23</v>
      </c>
      <c r="B232" t="s">
        <v>274</v>
      </c>
      <c r="C232" t="s">
        <v>274</v>
      </c>
      <c r="D232">
        <v>322.4176638048</v>
      </c>
      <c r="E232">
        <v>322.671564831785</v>
      </c>
      <c r="F232">
        <v>390.983495323203</v>
      </c>
      <c r="G232">
        <v>450.720912483536</v>
      </c>
      <c r="H232">
        <v>519.889135584693</v>
      </c>
      <c r="I232">
        <v>597.579611795226</v>
      </c>
      <c r="J232">
        <v>681.638444435782</v>
      </c>
      <c r="K232">
        <v>770.083814358857</v>
      </c>
      <c r="L232">
        <v>862.771591133994</v>
      </c>
      <c r="M232">
        <v>959.825881489737</v>
      </c>
      <c r="N232">
        <v>1062.06553679541</v>
      </c>
      <c r="O232">
        <v>1167.1539640267</v>
      </c>
      <c r="P232">
        <v>1273.29401175231</v>
      </c>
      <c r="Q232">
        <v>1378.29172282319</v>
      </c>
      <c r="R232">
        <v>1481.57087502208</v>
      </c>
      <c r="S232">
        <v>1583.16468766331</v>
      </c>
      <c r="T232">
        <v>1683.0149107988</v>
      </c>
      <c r="U232">
        <v>1781.20828113675</v>
      </c>
      <c r="V232">
        <v>5</v>
      </c>
      <c r="AF232" s="99" t="s">
        <v>272</v>
      </c>
      <c r="AH232">
        <v>1</v>
      </c>
      <c r="AI232">
        <v>1.00078941646338</v>
      </c>
      <c r="AJ232">
        <v>1.21581050640933</v>
      </c>
      <c r="AK232">
        <v>1.40669245927961</v>
      </c>
      <c r="AL232">
        <v>1.63133174234812</v>
      </c>
      <c r="AM232">
        <v>1.8882728451538</v>
      </c>
      <c r="AN232">
        <v>2.17187201987731</v>
      </c>
      <c r="AO232">
        <v>2.4767316393066</v>
      </c>
      <c r="AP232">
        <v>2.80352684491355</v>
      </c>
      <c r="AQ232">
        <v>3.15394057256684</v>
      </c>
      <c r="AR232">
        <v>3.53248082243297</v>
      </c>
      <c r="AS232">
        <v>3.93194269688489</v>
      </c>
      <c r="AT232">
        <v>4.34651397012136</v>
      </c>
      <c r="AU232">
        <v>4.7681845383142</v>
      </c>
      <c r="AV232">
        <v>5.19480310825725</v>
      </c>
      <c r="AW232">
        <v>5.62658057118297</v>
      </c>
      <c r="AX232">
        <v>6.06334183892459</v>
      </c>
      <c r="AY232">
        <v>6.50553932545227</v>
      </c>
      <c r="AZ232">
        <v>0</v>
      </c>
      <c r="BA232">
        <v>0</v>
      </c>
      <c r="BB232">
        <v>0</v>
      </c>
      <c r="BC232">
        <v>0</v>
      </c>
      <c r="BD232">
        <v>0</v>
      </c>
      <c r="BE232">
        <v>0</v>
      </c>
      <c r="BF232">
        <v>0</v>
      </c>
      <c r="BG232">
        <v>0</v>
      </c>
      <c r="BI232" t="s">
        <v>273</v>
      </c>
      <c r="BK232">
        <v>1</v>
      </c>
      <c r="BL232">
        <v>0.997560975609757</v>
      </c>
      <c r="BM232">
        <v>0.985365853658537</v>
      </c>
      <c r="BN232">
        <v>0.973170731707317</v>
      </c>
      <c r="BO232">
        <v>0.960975609756098</v>
      </c>
      <c r="BP232">
        <v>0.948780487804878</v>
      </c>
      <c r="BQ232">
        <v>0.936585365853658</v>
      </c>
      <c r="BR232">
        <v>0.924390243902439</v>
      </c>
      <c r="BS232">
        <v>0.91219512195122</v>
      </c>
      <c r="BT232">
        <v>0.9</v>
      </c>
      <c r="BU232">
        <v>0.8875</v>
      </c>
      <c r="BV232">
        <v>0.875000000000001</v>
      </c>
      <c r="BW232">
        <v>0.862500000000001</v>
      </c>
      <c r="BX232">
        <v>0.850000000000001</v>
      </c>
      <c r="BY232">
        <v>0.8375</v>
      </c>
      <c r="BZ232">
        <v>0.825000000000001</v>
      </c>
      <c r="CA232">
        <v>0.812500000000001</v>
      </c>
      <c r="CB232">
        <v>0.800000000000001</v>
      </c>
      <c r="CC232" t="e">
        <v>#VALUE!</v>
      </c>
      <c r="CD232" t="e">
        <v>#VALUE!</v>
      </c>
      <c r="CE232" t="e">
        <v>#VALUE!</v>
      </c>
      <c r="CF232" t="e">
        <v>#VALUE!</v>
      </c>
      <c r="CG232" t="e">
        <v>#VALUE!</v>
      </c>
      <c r="CH232" t="e">
        <v>#VALUE!</v>
      </c>
      <c r="CI232" t="e">
        <v>#VALUE!</v>
      </c>
      <c r="CJ232" t="e">
        <v>#VALUE!</v>
      </c>
    </row>
    <row r="233" spans="1:88">
      <c r="A233" t="s">
        <v>23</v>
      </c>
      <c r="B233" t="s">
        <v>275</v>
      </c>
      <c r="C233" t="s">
        <v>275</v>
      </c>
      <c r="D233">
        <v>1.84501055376</v>
      </c>
      <c r="E233">
        <v>1.84646348307184</v>
      </c>
      <c r="F233">
        <v>2.23737330859769</v>
      </c>
      <c r="G233">
        <v>2.57921613387759</v>
      </c>
      <c r="H233">
        <v>2.9750260287217</v>
      </c>
      <c r="I233">
        <v>3.41960386866863</v>
      </c>
      <c r="J233">
        <v>3.90062414382473</v>
      </c>
      <c r="K233">
        <v>4.40674604488185</v>
      </c>
      <c r="L233">
        <v>4.93714479641617</v>
      </c>
      <c r="M233">
        <v>5.49253058974058</v>
      </c>
      <c r="N233">
        <v>6.07758923952334</v>
      </c>
      <c r="O233">
        <v>6.67894976993512</v>
      </c>
      <c r="P233">
        <v>7.28632811862542</v>
      </c>
      <c r="Q233">
        <v>7.88716953271025</v>
      </c>
      <c r="R233">
        <v>8.47817662438655</v>
      </c>
      <c r="S233">
        <v>9.05953948865342</v>
      </c>
      <c r="T233">
        <v>9.6309247946142</v>
      </c>
      <c r="U233">
        <v>10.1928288864832</v>
      </c>
      <c r="V233">
        <v>5</v>
      </c>
      <c r="AF233" s="99" t="s">
        <v>272</v>
      </c>
      <c r="AH233">
        <v>1</v>
      </c>
      <c r="AI233">
        <v>1.00078941646338</v>
      </c>
      <c r="AJ233">
        <v>1.21581050640933</v>
      </c>
      <c r="AK233">
        <v>1.40669245927961</v>
      </c>
      <c r="AL233">
        <v>1.63133174234812</v>
      </c>
      <c r="AM233">
        <v>1.8882728451538</v>
      </c>
      <c r="AN233">
        <v>2.17187201987731</v>
      </c>
      <c r="AO233">
        <v>2.4767316393066</v>
      </c>
      <c r="AP233">
        <v>2.80352684491355</v>
      </c>
      <c r="AQ233">
        <v>3.15394057256684</v>
      </c>
      <c r="AR233">
        <v>3.53248082243297</v>
      </c>
      <c r="AS233">
        <v>3.93194269688489</v>
      </c>
      <c r="AT233">
        <v>4.34651397012136</v>
      </c>
      <c r="AU233">
        <v>4.7681845383142</v>
      </c>
      <c r="AV233">
        <v>5.19480310825725</v>
      </c>
      <c r="AW233">
        <v>5.62658057118297</v>
      </c>
      <c r="AX233">
        <v>6.06334183892459</v>
      </c>
      <c r="AY233">
        <v>6.50553932545227</v>
      </c>
      <c r="AZ233">
        <v>0</v>
      </c>
      <c r="BA233">
        <v>0</v>
      </c>
      <c r="BB233">
        <v>0</v>
      </c>
      <c r="BC233">
        <v>0</v>
      </c>
      <c r="BD233">
        <v>0</v>
      </c>
      <c r="BE233">
        <v>0</v>
      </c>
      <c r="BF233">
        <v>0</v>
      </c>
      <c r="BG233">
        <v>0</v>
      </c>
      <c r="BI233" t="s">
        <v>273</v>
      </c>
      <c r="BK233">
        <v>1</v>
      </c>
      <c r="BL233">
        <v>0.997560975609757</v>
      </c>
      <c r="BM233">
        <v>0.985365853658537</v>
      </c>
      <c r="BN233">
        <v>0.973170731707317</v>
      </c>
      <c r="BO233">
        <v>0.960975609756098</v>
      </c>
      <c r="BP233">
        <v>0.948780487804878</v>
      </c>
      <c r="BQ233">
        <v>0.936585365853658</v>
      </c>
      <c r="BR233">
        <v>0.924390243902439</v>
      </c>
      <c r="BS233">
        <v>0.91219512195122</v>
      </c>
      <c r="BT233">
        <v>0.9</v>
      </c>
      <c r="BU233">
        <v>0.8875</v>
      </c>
      <c r="BV233">
        <v>0.875000000000001</v>
      </c>
      <c r="BW233">
        <v>0.862500000000001</v>
      </c>
      <c r="BX233">
        <v>0.850000000000001</v>
      </c>
      <c r="BY233">
        <v>0.8375</v>
      </c>
      <c r="BZ233">
        <v>0.825000000000001</v>
      </c>
      <c r="CA233">
        <v>0.812500000000001</v>
      </c>
      <c r="CB233">
        <v>0.800000000000001</v>
      </c>
      <c r="CC233" t="e">
        <v>#VALUE!</v>
      </c>
      <c r="CD233" t="e">
        <v>#VALUE!</v>
      </c>
      <c r="CE233" t="e">
        <v>#VALUE!</v>
      </c>
      <c r="CF233" t="e">
        <v>#VALUE!</v>
      </c>
      <c r="CG233" t="e">
        <v>#VALUE!</v>
      </c>
      <c r="CH233" t="e">
        <v>#VALUE!</v>
      </c>
      <c r="CI233" t="e">
        <v>#VALUE!</v>
      </c>
      <c r="CJ233" t="e">
        <v>#VALUE!</v>
      </c>
    </row>
    <row r="234" spans="1:88">
      <c r="A234" t="s">
        <v>23</v>
      </c>
      <c r="B234" t="s">
        <v>276</v>
      </c>
      <c r="C234" t="s">
        <v>276</v>
      </c>
      <c r="D234">
        <v>5.33483228304</v>
      </c>
      <c r="E234">
        <v>5.37764191828844</v>
      </c>
      <c r="F234">
        <v>5.58905462728592</v>
      </c>
      <c r="G234">
        <v>5.79795953405396</v>
      </c>
      <c r="H234">
        <v>5.9759908455789</v>
      </c>
      <c r="I234">
        <v>6.11874641816906</v>
      </c>
      <c r="J234">
        <v>6.22646630996286</v>
      </c>
      <c r="K234">
        <v>6.30184396491898</v>
      </c>
      <c r="L234">
        <v>6.3480453001829</v>
      </c>
      <c r="M234">
        <v>6.36789844338339</v>
      </c>
      <c r="N234">
        <v>6.36609536049239</v>
      </c>
      <c r="O234">
        <v>6.3449637793912</v>
      </c>
      <c r="P234">
        <v>6.30623244437539</v>
      </c>
      <c r="Q234">
        <v>6.25071766164711</v>
      </c>
      <c r="R234">
        <v>6.18208208745475</v>
      </c>
      <c r="S234">
        <v>6.10382948019893</v>
      </c>
      <c r="T234">
        <v>6.01909194527346</v>
      </c>
      <c r="U234">
        <v>5.931543434921</v>
      </c>
      <c r="V234">
        <v>5</v>
      </c>
      <c r="AF234" s="99" t="s">
        <v>277</v>
      </c>
      <c r="AH234">
        <v>1</v>
      </c>
      <c r="AI234">
        <v>1.0080441712141</v>
      </c>
      <c r="AJ234">
        <v>1.04826224486976</v>
      </c>
      <c r="AK234">
        <v>1.08852385986843</v>
      </c>
      <c r="AL234">
        <v>1.12330523906063</v>
      </c>
      <c r="AM234">
        <v>1.15158756914341</v>
      </c>
      <c r="AN234">
        <v>1.17323383829214</v>
      </c>
      <c r="AO234">
        <v>1.18859875487242</v>
      </c>
      <c r="AP234">
        <v>1.19815163673558</v>
      </c>
      <c r="AQ234">
        <v>1.20231513639837</v>
      </c>
      <c r="AR234">
        <v>1.20193154441986</v>
      </c>
      <c r="AS234">
        <v>1.19737190464594</v>
      </c>
      <c r="AT234">
        <v>1.18889761547766</v>
      </c>
      <c r="AU234">
        <v>1.17658460638582</v>
      </c>
      <c r="AV234">
        <v>1.16115844981834</v>
      </c>
      <c r="AW234">
        <v>1.14334280329392</v>
      </c>
      <c r="AX234">
        <v>1.12380721355103</v>
      </c>
      <c r="AY234">
        <v>1.10337480273967</v>
      </c>
      <c r="AZ234">
        <v>0</v>
      </c>
      <c r="BA234">
        <v>0</v>
      </c>
      <c r="BB234">
        <v>0</v>
      </c>
      <c r="BC234">
        <v>0</v>
      </c>
      <c r="BD234">
        <v>0</v>
      </c>
      <c r="BE234">
        <v>0</v>
      </c>
      <c r="BF234">
        <v>0</v>
      </c>
      <c r="BG234">
        <v>0</v>
      </c>
      <c r="BI234" t="s">
        <v>273</v>
      </c>
      <c r="BK234">
        <v>1</v>
      </c>
      <c r="BL234">
        <v>0.997560975609757</v>
      </c>
      <c r="BM234">
        <v>0.985365853658537</v>
      </c>
      <c r="BN234">
        <v>0.973170731707317</v>
      </c>
      <c r="BO234">
        <v>0.960975609756098</v>
      </c>
      <c r="BP234">
        <v>0.948780487804878</v>
      </c>
      <c r="BQ234">
        <v>0.936585365853658</v>
      </c>
      <c r="BR234">
        <v>0.924390243902439</v>
      </c>
      <c r="BS234">
        <v>0.91219512195122</v>
      </c>
      <c r="BT234">
        <v>0.9</v>
      </c>
      <c r="BU234">
        <v>0.8875</v>
      </c>
      <c r="BV234">
        <v>0.875000000000001</v>
      </c>
      <c r="BW234">
        <v>0.862500000000001</v>
      </c>
      <c r="BX234">
        <v>0.850000000000001</v>
      </c>
      <c r="BY234">
        <v>0.8375</v>
      </c>
      <c r="BZ234">
        <v>0.825000000000001</v>
      </c>
      <c r="CA234">
        <v>0.812500000000001</v>
      </c>
      <c r="CB234">
        <v>0.800000000000001</v>
      </c>
      <c r="CC234" t="e">
        <v>#VALUE!</v>
      </c>
      <c r="CD234" t="e">
        <v>#VALUE!</v>
      </c>
      <c r="CE234" t="e">
        <v>#VALUE!</v>
      </c>
      <c r="CF234" t="e">
        <v>#VALUE!</v>
      </c>
      <c r="CG234" t="e">
        <v>#VALUE!</v>
      </c>
      <c r="CH234" t="e">
        <v>#VALUE!</v>
      </c>
      <c r="CI234" t="e">
        <v>#VALUE!</v>
      </c>
      <c r="CJ234" t="e">
        <v>#VALUE!</v>
      </c>
    </row>
    <row r="235" spans="1:88">
      <c r="A235" t="s">
        <v>23</v>
      </c>
      <c r="B235" t="s">
        <v>278</v>
      </c>
      <c r="C235" t="s">
        <v>278</v>
      </c>
      <c r="D235">
        <v>51.9456443472</v>
      </c>
      <c r="E235">
        <v>51.9865510775928</v>
      </c>
      <c r="F235">
        <v>62.9924842020453</v>
      </c>
      <c r="G235">
        <v>72.6169526303933</v>
      </c>
      <c r="H235">
        <v>83.7608455391757</v>
      </c>
      <c r="I235">
        <v>96.2777833482661</v>
      </c>
      <c r="J235">
        <v>109.820745520558</v>
      </c>
      <c r="K235">
        <v>124.070435428869</v>
      </c>
      <c r="L235">
        <v>139.003631801786</v>
      </c>
      <c r="M235">
        <v>154.640329834067</v>
      </c>
      <c r="N235">
        <v>171.112457043276</v>
      </c>
      <c r="O235">
        <v>188.043558154624</v>
      </c>
      <c r="P235">
        <v>205.144088891945</v>
      </c>
      <c r="Q235">
        <v>222.060574459745</v>
      </c>
      <c r="R235">
        <v>238.700178026416</v>
      </c>
      <c r="S235">
        <v>255.068251651974</v>
      </c>
      <c r="T235">
        <v>271.155410518447</v>
      </c>
      <c r="U235">
        <v>286.975629028298</v>
      </c>
      <c r="V235">
        <v>5</v>
      </c>
      <c r="AF235" s="99" t="s">
        <v>272</v>
      </c>
      <c r="AH235">
        <v>1</v>
      </c>
      <c r="AI235">
        <v>1.00078941646338</v>
      </c>
      <c r="AJ235">
        <v>1.21581050640933</v>
      </c>
      <c r="AK235">
        <v>1.40669245927961</v>
      </c>
      <c r="AL235">
        <v>1.63133174234812</v>
      </c>
      <c r="AM235">
        <v>1.8882728451538</v>
      </c>
      <c r="AN235">
        <v>2.17187201987731</v>
      </c>
      <c r="AO235">
        <v>2.4767316393066</v>
      </c>
      <c r="AP235">
        <v>2.80352684491355</v>
      </c>
      <c r="AQ235">
        <v>3.15394057256684</v>
      </c>
      <c r="AR235">
        <v>3.53248082243297</v>
      </c>
      <c r="AS235">
        <v>3.93194269688489</v>
      </c>
      <c r="AT235">
        <v>4.34651397012136</v>
      </c>
      <c r="AU235">
        <v>4.7681845383142</v>
      </c>
      <c r="AV235">
        <v>5.19480310825725</v>
      </c>
      <c r="AW235">
        <v>5.62658057118297</v>
      </c>
      <c r="AX235">
        <v>6.06334183892459</v>
      </c>
      <c r="AY235">
        <v>6.50553932545227</v>
      </c>
      <c r="AZ235">
        <v>0</v>
      </c>
      <c r="BA235">
        <v>0</v>
      </c>
      <c r="BB235">
        <v>0</v>
      </c>
      <c r="BC235">
        <v>0</v>
      </c>
      <c r="BD235">
        <v>0</v>
      </c>
      <c r="BE235">
        <v>0</v>
      </c>
      <c r="BF235">
        <v>0</v>
      </c>
      <c r="BG235">
        <v>0</v>
      </c>
      <c r="BI235" t="s">
        <v>273</v>
      </c>
      <c r="BK235">
        <v>1</v>
      </c>
      <c r="BL235">
        <v>0.997560975609757</v>
      </c>
      <c r="BM235">
        <v>0.985365853658537</v>
      </c>
      <c r="BN235">
        <v>0.973170731707317</v>
      </c>
      <c r="BO235">
        <v>0.960975609756098</v>
      </c>
      <c r="BP235">
        <v>0.948780487804878</v>
      </c>
      <c r="BQ235">
        <v>0.936585365853658</v>
      </c>
      <c r="BR235">
        <v>0.924390243902439</v>
      </c>
      <c r="BS235">
        <v>0.91219512195122</v>
      </c>
      <c r="BT235">
        <v>0.9</v>
      </c>
      <c r="BU235">
        <v>0.8875</v>
      </c>
      <c r="BV235">
        <v>0.875000000000001</v>
      </c>
      <c r="BW235">
        <v>0.862500000000001</v>
      </c>
      <c r="BX235">
        <v>0.850000000000001</v>
      </c>
      <c r="BY235">
        <v>0.8375</v>
      </c>
      <c r="BZ235">
        <v>0.825000000000001</v>
      </c>
      <c r="CA235">
        <v>0.812500000000001</v>
      </c>
      <c r="CB235">
        <v>0.800000000000001</v>
      </c>
      <c r="CC235" t="e">
        <v>#VALUE!</v>
      </c>
      <c r="CD235" t="e">
        <v>#VALUE!</v>
      </c>
      <c r="CE235" t="e">
        <v>#VALUE!</v>
      </c>
      <c r="CF235" t="e">
        <v>#VALUE!</v>
      </c>
      <c r="CG235" t="e">
        <v>#VALUE!</v>
      </c>
      <c r="CH235" t="e">
        <v>#VALUE!</v>
      </c>
      <c r="CI235" t="e">
        <v>#VALUE!</v>
      </c>
      <c r="CJ235" t="e">
        <v>#VALUE!</v>
      </c>
    </row>
    <row r="236" spans="1:88">
      <c r="A236" t="s">
        <v>23</v>
      </c>
      <c r="B236" t="s">
        <v>279</v>
      </c>
      <c r="C236" t="s">
        <v>279</v>
      </c>
      <c r="D236">
        <v>361.0962056196</v>
      </c>
      <c r="E236">
        <v>361.380565652376</v>
      </c>
      <c r="F236">
        <v>437.887474758743</v>
      </c>
      <c r="G236">
        <v>504.791236840373</v>
      </c>
      <c r="H236">
        <v>582.257162920649</v>
      </c>
      <c r="I236">
        <v>669.267706453982</v>
      </c>
      <c r="J236">
        <v>763.410580504749</v>
      </c>
      <c r="K236">
        <v>862.466218793785</v>
      </c>
      <c r="L236">
        <v>966.273200414623</v>
      </c>
      <c r="M236">
        <v>1074.97052044663</v>
      </c>
      <c r="N236">
        <v>1189.47526301894</v>
      </c>
      <c r="O236">
        <v>1307.1705278501</v>
      </c>
      <c r="P236">
        <v>1426.04356987179</v>
      </c>
      <c r="Q236">
        <v>1543.63723586085</v>
      </c>
      <c r="R236">
        <v>1659.3061776258</v>
      </c>
      <c r="S236">
        <v>1773.0875996058</v>
      </c>
      <c r="T236">
        <v>1884.9162639507</v>
      </c>
      <c r="U236">
        <v>1994.88931265903</v>
      </c>
      <c r="V236">
        <v>5</v>
      </c>
      <c r="AF236" s="99" t="s">
        <v>272</v>
      </c>
      <c r="AH236">
        <v>1</v>
      </c>
      <c r="AI236">
        <v>1.00078941646338</v>
      </c>
      <c r="AJ236">
        <v>1.21581050640933</v>
      </c>
      <c r="AK236">
        <v>1.40669245927961</v>
      </c>
      <c r="AL236">
        <v>1.63133174234812</v>
      </c>
      <c r="AM236">
        <v>1.8882728451538</v>
      </c>
      <c r="AN236">
        <v>2.17187201987731</v>
      </c>
      <c r="AO236">
        <v>2.4767316393066</v>
      </c>
      <c r="AP236">
        <v>2.80352684491355</v>
      </c>
      <c r="AQ236">
        <v>3.15394057256684</v>
      </c>
      <c r="AR236">
        <v>3.53248082243297</v>
      </c>
      <c r="AS236">
        <v>3.93194269688489</v>
      </c>
      <c r="AT236">
        <v>4.34651397012136</v>
      </c>
      <c r="AU236">
        <v>4.7681845383142</v>
      </c>
      <c r="AV236">
        <v>5.19480310825725</v>
      </c>
      <c r="AW236">
        <v>5.62658057118297</v>
      </c>
      <c r="AX236">
        <v>6.06334183892459</v>
      </c>
      <c r="AY236">
        <v>6.50553932545227</v>
      </c>
      <c r="AZ236">
        <v>0</v>
      </c>
      <c r="BA236">
        <v>0</v>
      </c>
      <c r="BB236">
        <v>0</v>
      </c>
      <c r="BC236">
        <v>0</v>
      </c>
      <c r="BD236">
        <v>0</v>
      </c>
      <c r="BE236">
        <v>0</v>
      </c>
      <c r="BF236">
        <v>0</v>
      </c>
      <c r="BG236">
        <v>0</v>
      </c>
      <c r="BI236" t="s">
        <v>273</v>
      </c>
      <c r="BK236">
        <v>1</v>
      </c>
      <c r="BL236">
        <v>0.997560975609757</v>
      </c>
      <c r="BM236">
        <v>0.985365853658537</v>
      </c>
      <c r="BN236">
        <v>0.973170731707317</v>
      </c>
      <c r="BO236">
        <v>0.960975609756098</v>
      </c>
      <c r="BP236">
        <v>0.948780487804878</v>
      </c>
      <c r="BQ236">
        <v>0.936585365853658</v>
      </c>
      <c r="BR236">
        <v>0.924390243902439</v>
      </c>
      <c r="BS236">
        <v>0.91219512195122</v>
      </c>
      <c r="BT236">
        <v>0.9</v>
      </c>
      <c r="BU236">
        <v>0.8875</v>
      </c>
      <c r="BV236">
        <v>0.875000000000001</v>
      </c>
      <c r="BW236">
        <v>0.862500000000001</v>
      </c>
      <c r="BX236">
        <v>0.850000000000001</v>
      </c>
      <c r="BY236">
        <v>0.8375</v>
      </c>
      <c r="BZ236">
        <v>0.825000000000001</v>
      </c>
      <c r="CA236">
        <v>0.812500000000001</v>
      </c>
      <c r="CB236">
        <v>0.800000000000001</v>
      </c>
      <c r="CC236" t="e">
        <v>#VALUE!</v>
      </c>
      <c r="CD236" t="e">
        <v>#VALUE!</v>
      </c>
      <c r="CE236" t="e">
        <v>#VALUE!</v>
      </c>
      <c r="CF236" t="e">
        <v>#VALUE!</v>
      </c>
      <c r="CG236" t="e">
        <v>#VALUE!</v>
      </c>
      <c r="CH236" t="e">
        <v>#VALUE!</v>
      </c>
      <c r="CI236" t="e">
        <v>#VALUE!</v>
      </c>
      <c r="CJ236" t="e">
        <v>#VALUE!</v>
      </c>
    </row>
    <row r="237" spans="1:88">
      <c r="A237" t="s">
        <v>23</v>
      </c>
      <c r="B237" t="s">
        <v>280</v>
      </c>
      <c r="C237" t="s">
        <v>280</v>
      </c>
      <c r="D237">
        <v>22.827</v>
      </c>
      <c r="E237">
        <v>23.0101764321669</v>
      </c>
      <c r="F237">
        <v>23.9147817978553</v>
      </c>
      <c r="G237">
        <v>24.8086566291136</v>
      </c>
      <c r="H237">
        <v>25.5704276713073</v>
      </c>
      <c r="I237">
        <v>26.1812587682614</v>
      </c>
      <c r="J237">
        <v>26.6421770951213</v>
      </c>
      <c r="K237">
        <v>26.9647075212705</v>
      </c>
      <c r="L237">
        <v>27.1623965626716</v>
      </c>
      <c r="M237">
        <v>27.2473453812649</v>
      </c>
      <c r="N237">
        <v>27.2396302421622</v>
      </c>
      <c r="O237">
        <v>27.149211166884</v>
      </c>
      <c r="P237">
        <v>26.9834852100969</v>
      </c>
      <c r="Q237">
        <v>26.745945231686</v>
      </c>
      <c r="R237">
        <v>26.452263224649</v>
      </c>
      <c r="S237">
        <v>26.1174312803521</v>
      </c>
      <c r="T237">
        <v>25.7548512390089</v>
      </c>
      <c r="U237">
        <v>25.3802434275939</v>
      </c>
      <c r="V237">
        <v>5</v>
      </c>
      <c r="AF237" s="99" t="s">
        <v>277</v>
      </c>
      <c r="AH237">
        <v>1</v>
      </c>
      <c r="AI237">
        <v>1.0080441712141</v>
      </c>
      <c r="AJ237">
        <v>1.04826224486976</v>
      </c>
      <c r="AK237">
        <v>1.08852385986843</v>
      </c>
      <c r="AL237">
        <v>1.12330523906063</v>
      </c>
      <c r="AM237">
        <v>1.15158756914341</v>
      </c>
      <c r="AN237">
        <v>1.17323383829214</v>
      </c>
      <c r="AO237">
        <v>1.18859875487242</v>
      </c>
      <c r="AP237">
        <v>1.19815163673558</v>
      </c>
      <c r="AQ237">
        <v>1.20231513639837</v>
      </c>
      <c r="AR237">
        <v>1.20193154441986</v>
      </c>
      <c r="AS237">
        <v>1.19737190464594</v>
      </c>
      <c r="AT237">
        <v>1.18889761547766</v>
      </c>
      <c r="AU237">
        <v>1.17658460638582</v>
      </c>
      <c r="AV237">
        <v>1.16115844981834</v>
      </c>
      <c r="AW237">
        <v>1.14334280329392</v>
      </c>
      <c r="AX237">
        <v>1.12380721355103</v>
      </c>
      <c r="AY237">
        <v>1.10337480273967</v>
      </c>
      <c r="AZ237">
        <v>0</v>
      </c>
      <c r="BA237">
        <v>0</v>
      </c>
      <c r="BB237">
        <v>0</v>
      </c>
      <c r="BC237">
        <v>0</v>
      </c>
      <c r="BD237">
        <v>0</v>
      </c>
      <c r="BE237">
        <v>0</v>
      </c>
      <c r="BF237">
        <v>0</v>
      </c>
      <c r="BG237">
        <v>0</v>
      </c>
      <c r="BI237" t="s">
        <v>273</v>
      </c>
      <c r="BK237">
        <v>1</v>
      </c>
      <c r="BL237">
        <v>0.997560975609757</v>
      </c>
      <c r="BM237">
        <v>0.985365853658537</v>
      </c>
      <c r="BN237">
        <v>0.973170731707317</v>
      </c>
      <c r="BO237">
        <v>0.960975609756098</v>
      </c>
      <c r="BP237">
        <v>0.948780487804878</v>
      </c>
      <c r="BQ237">
        <v>0.936585365853658</v>
      </c>
      <c r="BR237">
        <v>0.924390243902439</v>
      </c>
      <c r="BS237">
        <v>0.91219512195122</v>
      </c>
      <c r="BT237">
        <v>0.9</v>
      </c>
      <c r="BU237">
        <v>0.8875</v>
      </c>
      <c r="BV237">
        <v>0.875000000000001</v>
      </c>
      <c r="BW237">
        <v>0.862500000000001</v>
      </c>
      <c r="BX237">
        <v>0.850000000000001</v>
      </c>
      <c r="BY237">
        <v>0.8375</v>
      </c>
      <c r="BZ237">
        <v>0.825000000000001</v>
      </c>
      <c r="CA237">
        <v>0.812500000000001</v>
      </c>
      <c r="CB237">
        <v>0.800000000000001</v>
      </c>
      <c r="CC237" t="e">
        <v>#VALUE!</v>
      </c>
      <c r="CD237" t="e">
        <v>#VALUE!</v>
      </c>
      <c r="CE237" t="e">
        <v>#VALUE!</v>
      </c>
      <c r="CF237" t="e">
        <v>#VALUE!</v>
      </c>
      <c r="CG237" t="e">
        <v>#VALUE!</v>
      </c>
      <c r="CH237" t="e">
        <v>#VALUE!</v>
      </c>
      <c r="CI237" t="e">
        <v>#VALUE!</v>
      </c>
      <c r="CJ237" t="e">
        <v>#VALUE!</v>
      </c>
    </row>
    <row r="238" spans="1:88">
      <c r="A238" t="s">
        <v>23</v>
      </c>
      <c r="B238" t="s">
        <v>281</v>
      </c>
      <c r="C238" t="s">
        <v>281</v>
      </c>
      <c r="D238">
        <v>5.145</v>
      </c>
      <c r="E238">
        <v>5.18628631635777</v>
      </c>
      <c r="F238">
        <v>5.39017621018817</v>
      </c>
      <c r="G238">
        <v>5.59164753830068</v>
      </c>
      <c r="H238">
        <v>5.76334386335814</v>
      </c>
      <c r="I238">
        <v>5.9010196855787</v>
      </c>
      <c r="J238">
        <v>6.00490652097951</v>
      </c>
      <c r="K238">
        <v>6.07760197121553</v>
      </c>
      <c r="L238">
        <v>6.12215929885421</v>
      </c>
      <c r="M238">
        <v>6.14130599669723</v>
      </c>
      <c r="N238">
        <v>6.13956707390041</v>
      </c>
      <c r="O238">
        <v>6.11918742951848</v>
      </c>
      <c r="P238">
        <v>6.08183429298411</v>
      </c>
      <c r="Q238">
        <v>6.0282949234251</v>
      </c>
      <c r="R238">
        <v>5.96210164677002</v>
      </c>
      <c r="S238">
        <v>5.88663354524954</v>
      </c>
      <c r="T238">
        <v>5.80491127282168</v>
      </c>
      <c r="U238">
        <v>5.72047804945768</v>
      </c>
      <c r="V238">
        <v>5</v>
      </c>
      <c r="AF238" s="99" t="s">
        <v>277</v>
      </c>
      <c r="AH238">
        <v>1</v>
      </c>
      <c r="AI238">
        <v>1.0080441712141</v>
      </c>
      <c r="AJ238">
        <v>1.04826224486976</v>
      </c>
      <c r="AK238">
        <v>1.08852385986843</v>
      </c>
      <c r="AL238">
        <v>1.12330523906063</v>
      </c>
      <c r="AM238">
        <v>1.15158756914341</v>
      </c>
      <c r="AN238">
        <v>1.17323383829214</v>
      </c>
      <c r="AO238">
        <v>1.18859875487242</v>
      </c>
      <c r="AP238">
        <v>1.19815163673558</v>
      </c>
      <c r="AQ238">
        <v>1.20231513639837</v>
      </c>
      <c r="AR238">
        <v>1.20193154441986</v>
      </c>
      <c r="AS238">
        <v>1.19737190464594</v>
      </c>
      <c r="AT238">
        <v>1.18889761547766</v>
      </c>
      <c r="AU238">
        <v>1.17658460638582</v>
      </c>
      <c r="AV238">
        <v>1.16115844981834</v>
      </c>
      <c r="AW238">
        <v>1.14334280329392</v>
      </c>
      <c r="AX238">
        <v>1.12380721355103</v>
      </c>
      <c r="AY238">
        <v>1.10337480273967</v>
      </c>
      <c r="AZ238">
        <v>0</v>
      </c>
      <c r="BA238">
        <v>0</v>
      </c>
      <c r="BB238">
        <v>0</v>
      </c>
      <c r="BC238">
        <v>0</v>
      </c>
      <c r="BD238">
        <v>0</v>
      </c>
      <c r="BE238">
        <v>0</v>
      </c>
      <c r="BF238">
        <v>0</v>
      </c>
      <c r="BG238">
        <v>0</v>
      </c>
      <c r="BI238" t="s">
        <v>273</v>
      </c>
      <c r="BK238">
        <v>1</v>
      </c>
      <c r="BL238">
        <v>0.997560975609757</v>
      </c>
      <c r="BM238">
        <v>0.985365853658537</v>
      </c>
      <c r="BN238">
        <v>0.973170731707317</v>
      </c>
      <c r="BO238">
        <v>0.960975609756098</v>
      </c>
      <c r="BP238">
        <v>0.948780487804878</v>
      </c>
      <c r="BQ238">
        <v>0.936585365853658</v>
      </c>
      <c r="BR238">
        <v>0.924390243902439</v>
      </c>
      <c r="BS238">
        <v>0.91219512195122</v>
      </c>
      <c r="BT238">
        <v>0.9</v>
      </c>
      <c r="BU238">
        <v>0.8875</v>
      </c>
      <c r="BV238">
        <v>0.875000000000001</v>
      </c>
      <c r="BW238">
        <v>0.862500000000001</v>
      </c>
      <c r="BX238">
        <v>0.850000000000001</v>
      </c>
      <c r="BY238">
        <v>0.8375</v>
      </c>
      <c r="BZ238">
        <v>0.825000000000001</v>
      </c>
      <c r="CA238">
        <v>0.812500000000001</v>
      </c>
      <c r="CB238">
        <v>0.800000000000001</v>
      </c>
      <c r="CC238" t="e">
        <v>#VALUE!</v>
      </c>
      <c r="CD238" t="e">
        <v>#VALUE!</v>
      </c>
      <c r="CE238" t="e">
        <v>#VALUE!</v>
      </c>
      <c r="CF238" t="e">
        <v>#VALUE!</v>
      </c>
      <c r="CG238" t="e">
        <v>#VALUE!</v>
      </c>
      <c r="CH238" t="e">
        <v>#VALUE!</v>
      </c>
      <c r="CI238" t="e">
        <v>#VALUE!</v>
      </c>
      <c r="CJ238" t="e">
        <v>#VALUE!</v>
      </c>
    </row>
    <row r="239" spans="1:88">
      <c r="A239" t="s">
        <v>23</v>
      </c>
      <c r="B239" t="s">
        <v>282</v>
      </c>
      <c r="C239" t="s">
        <v>282</v>
      </c>
      <c r="D239">
        <v>16.765</v>
      </c>
      <c r="E239">
        <v>16.8995316022814</v>
      </c>
      <c r="F239">
        <v>17.5639075148308</v>
      </c>
      <c r="G239">
        <v>18.2204025227621</v>
      </c>
      <c r="H239">
        <v>18.7798755819629</v>
      </c>
      <c r="I239">
        <v>19.2284927169537</v>
      </c>
      <c r="J239">
        <v>19.5670083234638</v>
      </c>
      <c r="K239">
        <v>19.8038866953213</v>
      </c>
      <c r="L239">
        <v>19.9490768989875</v>
      </c>
      <c r="M239">
        <v>20.0114664790338</v>
      </c>
      <c r="N239">
        <v>20.0058001931857</v>
      </c>
      <c r="O239">
        <v>19.9393930526486</v>
      </c>
      <c r="P239">
        <v>19.8176777301999</v>
      </c>
      <c r="Q239">
        <v>19.6432195123852</v>
      </c>
      <c r="R239">
        <v>19.4275284952574</v>
      </c>
      <c r="S239">
        <v>19.1816154297587</v>
      </c>
      <c r="T239">
        <v>18.9153231270856</v>
      </c>
      <c r="U239">
        <v>18.6401971815662</v>
      </c>
      <c r="V239">
        <v>5</v>
      </c>
      <c r="AF239" s="99" t="s">
        <v>277</v>
      </c>
      <c r="AH239">
        <v>1</v>
      </c>
      <c r="AI239">
        <v>1.0080441712141</v>
      </c>
      <c r="AJ239">
        <v>1.04826224486976</v>
      </c>
      <c r="AK239">
        <v>1.08852385986843</v>
      </c>
      <c r="AL239">
        <v>1.12330523906063</v>
      </c>
      <c r="AM239">
        <v>1.15158756914341</v>
      </c>
      <c r="AN239">
        <v>1.17323383829214</v>
      </c>
      <c r="AO239">
        <v>1.18859875487242</v>
      </c>
      <c r="AP239">
        <v>1.19815163673558</v>
      </c>
      <c r="AQ239">
        <v>1.20231513639837</v>
      </c>
      <c r="AR239">
        <v>1.20193154441986</v>
      </c>
      <c r="AS239">
        <v>1.19737190464594</v>
      </c>
      <c r="AT239">
        <v>1.18889761547766</v>
      </c>
      <c r="AU239">
        <v>1.17658460638582</v>
      </c>
      <c r="AV239">
        <v>1.16115844981834</v>
      </c>
      <c r="AW239">
        <v>1.14334280329392</v>
      </c>
      <c r="AX239">
        <v>1.12380721355103</v>
      </c>
      <c r="AY239">
        <v>1.10337480273967</v>
      </c>
      <c r="AZ239">
        <v>0</v>
      </c>
      <c r="BA239">
        <v>0</v>
      </c>
      <c r="BB239">
        <v>0</v>
      </c>
      <c r="BC239">
        <v>0</v>
      </c>
      <c r="BD239">
        <v>0</v>
      </c>
      <c r="BE239">
        <v>0</v>
      </c>
      <c r="BF239">
        <v>0</v>
      </c>
      <c r="BG239">
        <v>0</v>
      </c>
      <c r="BI239" t="s">
        <v>273</v>
      </c>
      <c r="BK239">
        <v>1</v>
      </c>
      <c r="BL239">
        <v>0.997560975609757</v>
      </c>
      <c r="BM239">
        <v>0.985365853658537</v>
      </c>
      <c r="BN239">
        <v>0.973170731707317</v>
      </c>
      <c r="BO239">
        <v>0.960975609756098</v>
      </c>
      <c r="BP239">
        <v>0.948780487804878</v>
      </c>
      <c r="BQ239">
        <v>0.936585365853658</v>
      </c>
      <c r="BR239">
        <v>0.924390243902439</v>
      </c>
      <c r="BS239">
        <v>0.91219512195122</v>
      </c>
      <c r="BT239">
        <v>0.9</v>
      </c>
      <c r="BU239">
        <v>0.8875</v>
      </c>
      <c r="BV239">
        <v>0.875000000000001</v>
      </c>
      <c r="BW239">
        <v>0.862500000000001</v>
      </c>
      <c r="BX239">
        <v>0.850000000000001</v>
      </c>
      <c r="BY239">
        <v>0.8375</v>
      </c>
      <c r="BZ239">
        <v>0.825000000000001</v>
      </c>
      <c r="CA239">
        <v>0.812500000000001</v>
      </c>
      <c r="CB239">
        <v>0.800000000000001</v>
      </c>
      <c r="CC239" t="e">
        <v>#VALUE!</v>
      </c>
      <c r="CD239" t="e">
        <v>#VALUE!</v>
      </c>
      <c r="CE239" t="e">
        <v>#VALUE!</v>
      </c>
      <c r="CF239" t="e">
        <v>#VALUE!</v>
      </c>
      <c r="CG239" t="e">
        <v>#VALUE!</v>
      </c>
      <c r="CH239" t="e">
        <v>#VALUE!</v>
      </c>
      <c r="CI239" t="e">
        <v>#VALUE!</v>
      </c>
      <c r="CJ239" t="e">
        <v>#VALUE!</v>
      </c>
    </row>
    <row r="240" spans="1:88">
      <c r="A240" t="s">
        <v>23</v>
      </c>
      <c r="B240" t="s">
        <v>283</v>
      </c>
      <c r="C240" t="s">
        <v>283</v>
      </c>
      <c r="D240">
        <v>803.328</v>
      </c>
      <c r="E240">
        <v>797.560660349608</v>
      </c>
      <c r="F240">
        <v>929.780185258728</v>
      </c>
      <c r="G240">
        <v>1033.11721180092</v>
      </c>
      <c r="H240">
        <v>1156.0111815092</v>
      </c>
      <c r="I240">
        <v>1297.58213678564</v>
      </c>
      <c r="J240">
        <v>1454.31724085563</v>
      </c>
      <c r="K240">
        <v>1623.2030962136</v>
      </c>
      <c r="L240">
        <v>1805.20969663489</v>
      </c>
      <c r="M240">
        <v>2001.95071552467</v>
      </c>
      <c r="N240">
        <v>2215.83151876672</v>
      </c>
      <c r="O240">
        <v>2443.30001861929</v>
      </c>
      <c r="P240">
        <v>2682.09637551408</v>
      </c>
      <c r="Q240">
        <v>2929.43858405422</v>
      </c>
      <c r="R240">
        <v>3184.45946218753</v>
      </c>
      <c r="S240">
        <v>3447.16266069794</v>
      </c>
      <c r="T240">
        <v>3717.04240420908</v>
      </c>
      <c r="U240">
        <v>3992.99054474614</v>
      </c>
      <c r="V240">
        <v>5</v>
      </c>
      <c r="AF240" s="99" t="s">
        <v>284</v>
      </c>
      <c r="AH240">
        <v>1</v>
      </c>
      <c r="AI240">
        <v>0.992803138039093</v>
      </c>
      <c r="AJ240">
        <v>1.15983429944134</v>
      </c>
      <c r="AK240">
        <v>1.29229363833112</v>
      </c>
      <c r="AL240">
        <v>1.45226042363368</v>
      </c>
      <c r="AM240">
        <v>1.63971277195912</v>
      </c>
      <c r="AN240">
        <v>1.85118426437382</v>
      </c>
      <c r="AO240">
        <v>2.08374073181024</v>
      </c>
      <c r="AP240">
        <v>2.3398764888824</v>
      </c>
      <c r="AQ240">
        <v>2.62322287816713</v>
      </c>
      <c r="AR240">
        <v>2.93900333911114</v>
      </c>
      <c r="AS240">
        <v>3.28381072048585</v>
      </c>
      <c r="AT240">
        <v>3.65591949511571</v>
      </c>
      <c r="AU240">
        <v>4.05256410158288</v>
      </c>
      <c r="AV240">
        <v>4.47381070952889</v>
      </c>
      <c r="AW240">
        <v>4.92116673579703</v>
      </c>
      <c r="AX240">
        <v>5.39535764302982</v>
      </c>
      <c r="AY240">
        <v>5.89603760145609</v>
      </c>
      <c r="AZ240">
        <v>0</v>
      </c>
      <c r="BA240">
        <v>0</v>
      </c>
      <c r="BB240">
        <v>0</v>
      </c>
      <c r="BC240">
        <v>0</v>
      </c>
      <c r="BD240">
        <v>0</v>
      </c>
      <c r="BE240">
        <v>0</v>
      </c>
      <c r="BF240">
        <v>0</v>
      </c>
      <c r="BG240">
        <v>0</v>
      </c>
      <c r="BI240" t="s">
        <v>273</v>
      </c>
      <c r="BK240">
        <v>1</v>
      </c>
      <c r="BL240">
        <v>0.997560975609757</v>
      </c>
      <c r="BM240">
        <v>0.985365853658537</v>
      </c>
      <c r="BN240">
        <v>0.973170731707317</v>
      </c>
      <c r="BO240">
        <v>0.960975609756098</v>
      </c>
      <c r="BP240">
        <v>0.948780487804878</v>
      </c>
      <c r="BQ240">
        <v>0.936585365853658</v>
      </c>
      <c r="BR240">
        <v>0.924390243902439</v>
      </c>
      <c r="BS240">
        <v>0.91219512195122</v>
      </c>
      <c r="BT240">
        <v>0.9</v>
      </c>
      <c r="BU240">
        <v>0.8875</v>
      </c>
      <c r="BV240">
        <v>0.875000000000001</v>
      </c>
      <c r="BW240">
        <v>0.862500000000001</v>
      </c>
      <c r="BX240">
        <v>0.850000000000001</v>
      </c>
      <c r="BY240">
        <v>0.8375</v>
      </c>
      <c r="BZ240">
        <v>0.825000000000001</v>
      </c>
      <c r="CA240">
        <v>0.812500000000001</v>
      </c>
      <c r="CB240">
        <v>0.800000000000001</v>
      </c>
      <c r="CC240" t="e">
        <v>#VALUE!</v>
      </c>
      <c r="CD240" t="e">
        <v>#VALUE!</v>
      </c>
      <c r="CE240" t="e">
        <v>#VALUE!</v>
      </c>
      <c r="CF240" t="e">
        <v>#VALUE!</v>
      </c>
      <c r="CG240" t="e">
        <v>#VALUE!</v>
      </c>
      <c r="CH240" t="e">
        <v>#VALUE!</v>
      </c>
      <c r="CI240" t="e">
        <v>#VALUE!</v>
      </c>
      <c r="CJ240" t="e">
        <v>#VALUE!</v>
      </c>
    </row>
    <row r="241" spans="1:88">
      <c r="A241" t="s">
        <v>23</v>
      </c>
      <c r="B241" t="s">
        <v>285</v>
      </c>
      <c r="C241" t="s">
        <v>285</v>
      </c>
      <c r="D241">
        <v>167.7</v>
      </c>
      <c r="E241">
        <v>167.832062250321</v>
      </c>
      <c r="F241">
        <v>203.36333745473</v>
      </c>
      <c r="G241">
        <v>234.434727091288</v>
      </c>
      <c r="H241">
        <v>270.411388162459</v>
      </c>
      <c r="I241">
        <v>310.820752546398</v>
      </c>
      <c r="J241">
        <v>354.542507947354</v>
      </c>
      <c r="K241">
        <v>400.545845236838</v>
      </c>
      <c r="L241">
        <v>448.755797451494</v>
      </c>
      <c r="M241">
        <v>499.236916570675</v>
      </c>
      <c r="N241">
        <v>552.41511404419</v>
      </c>
      <c r="O241">
        <v>607.075051216112</v>
      </c>
      <c r="P241">
        <v>662.28197069296</v>
      </c>
      <c r="Q241">
        <v>716.894723414988</v>
      </c>
      <c r="R241">
        <v>770.61359731093</v>
      </c>
      <c r="S241">
        <v>823.455870835527</v>
      </c>
      <c r="T241">
        <v>875.391246280586</v>
      </c>
      <c r="U241">
        <v>926.464838252404</v>
      </c>
      <c r="V241">
        <v>5</v>
      </c>
      <c r="AF241" s="99" t="s">
        <v>272</v>
      </c>
      <c r="AH241">
        <v>1</v>
      </c>
      <c r="AI241">
        <v>1.00078941646338</v>
      </c>
      <c r="AJ241">
        <v>1.21581050640933</v>
      </c>
      <c r="AK241">
        <v>1.40669245927961</v>
      </c>
      <c r="AL241">
        <v>1.63133174234812</v>
      </c>
      <c r="AM241">
        <v>1.8882728451538</v>
      </c>
      <c r="AN241">
        <v>2.17187201987731</v>
      </c>
      <c r="AO241">
        <v>2.4767316393066</v>
      </c>
      <c r="AP241">
        <v>2.80352684491355</v>
      </c>
      <c r="AQ241">
        <v>3.15394057256684</v>
      </c>
      <c r="AR241">
        <v>3.53248082243297</v>
      </c>
      <c r="AS241">
        <v>3.93194269688489</v>
      </c>
      <c r="AT241">
        <v>4.34651397012136</v>
      </c>
      <c r="AU241">
        <v>4.7681845383142</v>
      </c>
      <c r="AV241">
        <v>5.19480310825725</v>
      </c>
      <c r="AW241">
        <v>5.62658057118297</v>
      </c>
      <c r="AX241">
        <v>6.06334183892459</v>
      </c>
      <c r="AY241">
        <v>6.50553932545227</v>
      </c>
      <c r="AZ241">
        <v>0</v>
      </c>
      <c r="BA241">
        <v>0</v>
      </c>
      <c r="BB241">
        <v>0</v>
      </c>
      <c r="BC241">
        <v>0</v>
      </c>
      <c r="BD241">
        <v>0</v>
      </c>
      <c r="BE241">
        <v>0</v>
      </c>
      <c r="BF241">
        <v>0</v>
      </c>
      <c r="BG241">
        <v>0</v>
      </c>
      <c r="BI241" t="s">
        <v>273</v>
      </c>
      <c r="BK241">
        <v>1</v>
      </c>
      <c r="BL241">
        <v>0.997560975609757</v>
      </c>
      <c r="BM241">
        <v>0.985365853658537</v>
      </c>
      <c r="BN241">
        <v>0.973170731707317</v>
      </c>
      <c r="BO241">
        <v>0.960975609756098</v>
      </c>
      <c r="BP241">
        <v>0.948780487804878</v>
      </c>
      <c r="BQ241">
        <v>0.936585365853658</v>
      </c>
      <c r="BR241">
        <v>0.924390243902439</v>
      </c>
      <c r="BS241">
        <v>0.91219512195122</v>
      </c>
      <c r="BT241">
        <v>0.9</v>
      </c>
      <c r="BU241">
        <v>0.8875</v>
      </c>
      <c r="BV241">
        <v>0.875000000000001</v>
      </c>
      <c r="BW241">
        <v>0.862500000000001</v>
      </c>
      <c r="BX241">
        <v>0.850000000000001</v>
      </c>
      <c r="BY241">
        <v>0.8375</v>
      </c>
      <c r="BZ241">
        <v>0.825000000000001</v>
      </c>
      <c r="CA241">
        <v>0.812500000000001</v>
      </c>
      <c r="CB241">
        <v>0.800000000000001</v>
      </c>
      <c r="CC241" t="e">
        <v>#VALUE!</v>
      </c>
      <c r="CD241" t="e">
        <v>#VALUE!</v>
      </c>
      <c r="CE241" t="e">
        <v>#VALUE!</v>
      </c>
      <c r="CF241" t="e">
        <v>#VALUE!</v>
      </c>
      <c r="CG241" t="e">
        <v>#VALUE!</v>
      </c>
      <c r="CH241" t="e">
        <v>#VALUE!</v>
      </c>
      <c r="CI241" t="e">
        <v>#VALUE!</v>
      </c>
      <c r="CJ241" t="e">
        <v>#VALUE!</v>
      </c>
    </row>
    <row r="242" spans="1:88">
      <c r="A242" t="s">
        <v>23</v>
      </c>
      <c r="B242" t="s">
        <v>286</v>
      </c>
      <c r="C242" t="s">
        <v>286</v>
      </c>
      <c r="D242">
        <v>102.28</v>
      </c>
      <c r="E242">
        <v>102.360544585348</v>
      </c>
      <c r="F242">
        <v>124.031020601489</v>
      </c>
      <c r="G242">
        <v>142.981418526517</v>
      </c>
      <c r="H242">
        <v>164.923534771952</v>
      </c>
      <c r="I242">
        <v>189.569150688405</v>
      </c>
      <c r="J242">
        <v>216.234989343204</v>
      </c>
      <c r="K242">
        <v>244.292361662634</v>
      </c>
      <c r="L242">
        <v>273.695545398562</v>
      </c>
      <c r="M242">
        <v>304.483910714661</v>
      </c>
      <c r="N242">
        <v>336.917220420034</v>
      </c>
      <c r="O242">
        <v>370.254241135265</v>
      </c>
      <c r="P242">
        <v>403.924865608086</v>
      </c>
      <c r="Q242">
        <v>437.233108592039</v>
      </c>
      <c r="R242">
        <v>469.996176105915</v>
      </c>
      <c r="S242">
        <v>502.224606255562</v>
      </c>
      <c r="T242">
        <v>533.899920510307</v>
      </c>
      <c r="U242">
        <v>565.049634206655</v>
      </c>
      <c r="V242">
        <v>5</v>
      </c>
      <c r="AF242" s="99" t="s">
        <v>272</v>
      </c>
      <c r="AH242">
        <v>1</v>
      </c>
      <c r="AI242">
        <v>1.00078941646338</v>
      </c>
      <c r="AJ242">
        <v>1.21581050640933</v>
      </c>
      <c r="AK242">
        <v>1.40669245927961</v>
      </c>
      <c r="AL242">
        <v>1.63133174234812</v>
      </c>
      <c r="AM242">
        <v>1.8882728451538</v>
      </c>
      <c r="AN242">
        <v>2.17187201987731</v>
      </c>
      <c r="AO242">
        <v>2.4767316393066</v>
      </c>
      <c r="AP242">
        <v>2.80352684491355</v>
      </c>
      <c r="AQ242">
        <v>3.15394057256684</v>
      </c>
      <c r="AR242">
        <v>3.53248082243297</v>
      </c>
      <c r="AS242">
        <v>3.93194269688489</v>
      </c>
      <c r="AT242">
        <v>4.34651397012136</v>
      </c>
      <c r="AU242">
        <v>4.7681845383142</v>
      </c>
      <c r="AV242">
        <v>5.19480310825725</v>
      </c>
      <c r="AW242">
        <v>5.62658057118297</v>
      </c>
      <c r="AX242">
        <v>6.06334183892459</v>
      </c>
      <c r="AY242">
        <v>6.50553932545227</v>
      </c>
      <c r="AZ242">
        <v>0</v>
      </c>
      <c r="BA242">
        <v>0</v>
      </c>
      <c r="BB242">
        <v>0</v>
      </c>
      <c r="BC242">
        <v>0</v>
      </c>
      <c r="BD242">
        <v>0</v>
      </c>
      <c r="BE242">
        <v>0</v>
      </c>
      <c r="BF242">
        <v>0</v>
      </c>
      <c r="BG242">
        <v>0</v>
      </c>
      <c r="BI242" t="s">
        <v>273</v>
      </c>
      <c r="BK242">
        <v>1</v>
      </c>
      <c r="BL242">
        <v>0.997560975609757</v>
      </c>
      <c r="BM242">
        <v>0.985365853658537</v>
      </c>
      <c r="BN242">
        <v>0.973170731707317</v>
      </c>
      <c r="BO242">
        <v>0.960975609756098</v>
      </c>
      <c r="BP242">
        <v>0.948780487804878</v>
      </c>
      <c r="BQ242">
        <v>0.936585365853658</v>
      </c>
      <c r="BR242">
        <v>0.924390243902439</v>
      </c>
      <c r="BS242">
        <v>0.91219512195122</v>
      </c>
      <c r="BT242">
        <v>0.9</v>
      </c>
      <c r="BU242">
        <v>0.8875</v>
      </c>
      <c r="BV242">
        <v>0.875000000000001</v>
      </c>
      <c r="BW242">
        <v>0.862500000000001</v>
      </c>
      <c r="BX242">
        <v>0.850000000000001</v>
      </c>
      <c r="BY242">
        <v>0.8375</v>
      </c>
      <c r="BZ242">
        <v>0.825000000000001</v>
      </c>
      <c r="CA242">
        <v>0.812500000000001</v>
      </c>
      <c r="CB242">
        <v>0.800000000000001</v>
      </c>
      <c r="CC242" t="e">
        <v>#VALUE!</v>
      </c>
      <c r="CD242" t="e">
        <v>#VALUE!</v>
      </c>
      <c r="CE242" t="e">
        <v>#VALUE!</v>
      </c>
      <c r="CF242" t="e">
        <v>#VALUE!</v>
      </c>
      <c r="CG242" t="e">
        <v>#VALUE!</v>
      </c>
      <c r="CH242" t="e">
        <v>#VALUE!</v>
      </c>
      <c r="CI242" t="e">
        <v>#VALUE!</v>
      </c>
      <c r="CJ242" t="e">
        <v>#VALUE!</v>
      </c>
    </row>
    <row r="243" spans="1:88">
      <c r="A243" t="s">
        <v>24</v>
      </c>
      <c r="B243" t="s">
        <v>271</v>
      </c>
      <c r="C243" t="s">
        <v>271</v>
      </c>
      <c r="D243">
        <v>60.2006741712</v>
      </c>
      <c r="E243">
        <v>60.7568958307909</v>
      </c>
      <c r="F243">
        <v>71.7203109153735</v>
      </c>
      <c r="G243">
        <v>83.2250383030205</v>
      </c>
      <c r="H243">
        <v>96.383070315099</v>
      </c>
      <c r="I243">
        <v>111.068210362829</v>
      </c>
      <c r="J243">
        <v>126.392187808057</v>
      </c>
      <c r="K243">
        <v>142.095204009708</v>
      </c>
      <c r="L243">
        <v>158.50695798157</v>
      </c>
      <c r="M243">
        <v>175.940792087722</v>
      </c>
      <c r="N243">
        <v>194.108659994767</v>
      </c>
      <c r="O243">
        <v>212.074097601968</v>
      </c>
      <c r="P243">
        <v>229.644971917478</v>
      </c>
      <c r="Q243">
        <v>246.829382964512</v>
      </c>
      <c r="R243">
        <v>263.796667729747</v>
      </c>
      <c r="S243">
        <v>280.823061478859</v>
      </c>
      <c r="T243">
        <v>298.027465766036</v>
      </c>
      <c r="U243">
        <v>315.282285845885</v>
      </c>
      <c r="V243">
        <v>5</v>
      </c>
      <c r="AF243" s="99" t="s">
        <v>272</v>
      </c>
      <c r="AH243">
        <v>1</v>
      </c>
      <c r="AI243">
        <v>1.00926204934455</v>
      </c>
      <c r="AJ243">
        <v>1.19408534707007</v>
      </c>
      <c r="AK243">
        <v>1.39091045519109</v>
      </c>
      <c r="AL243">
        <v>1.61974613571711</v>
      </c>
      <c r="AM243">
        <v>1.87985703090013</v>
      </c>
      <c r="AN243">
        <v>2.15678013005784</v>
      </c>
      <c r="AO243">
        <v>2.44665686965823</v>
      </c>
      <c r="AP243">
        <v>2.75644223598284</v>
      </c>
      <c r="AQ243">
        <v>3.09330341494414</v>
      </c>
      <c r="AR243">
        <v>3.45321148111724</v>
      </c>
      <c r="AS243">
        <v>3.81847644094604</v>
      </c>
      <c r="AT243">
        <v>4.1852827156616</v>
      </c>
      <c r="AU243">
        <v>4.55373697859188</v>
      </c>
      <c r="AV243">
        <v>4.92750196742035</v>
      </c>
      <c r="AW243">
        <v>5.31300360313253</v>
      </c>
      <c r="AX243">
        <v>5.71361528634754</v>
      </c>
      <c r="AY243">
        <v>6.12711494282215</v>
      </c>
      <c r="AZ243">
        <v>0</v>
      </c>
      <c r="BA243">
        <v>0</v>
      </c>
      <c r="BB243">
        <v>0</v>
      </c>
      <c r="BC243">
        <v>0</v>
      </c>
      <c r="BD243">
        <v>0</v>
      </c>
      <c r="BE243">
        <v>0</v>
      </c>
      <c r="BF243">
        <v>0</v>
      </c>
      <c r="BG243">
        <v>0</v>
      </c>
      <c r="BI243" t="s">
        <v>273</v>
      </c>
      <c r="BK243">
        <v>1</v>
      </c>
      <c r="BL243">
        <v>0.997560975609757</v>
      </c>
      <c r="BM243">
        <v>0.985365853658537</v>
      </c>
      <c r="BN243">
        <v>0.973170731707317</v>
      </c>
      <c r="BO243">
        <v>0.960975609756098</v>
      </c>
      <c r="BP243">
        <v>0.948780487804878</v>
      </c>
      <c r="BQ243">
        <v>0.936585365853658</v>
      </c>
      <c r="BR243">
        <v>0.924390243902439</v>
      </c>
      <c r="BS243">
        <v>0.91219512195122</v>
      </c>
      <c r="BT243">
        <v>0.9</v>
      </c>
      <c r="BU243">
        <v>0.8875</v>
      </c>
      <c r="BV243">
        <v>0.875000000000001</v>
      </c>
      <c r="BW243">
        <v>0.862500000000001</v>
      </c>
      <c r="BX243">
        <v>0.850000000000001</v>
      </c>
      <c r="BY243">
        <v>0.8375</v>
      </c>
      <c r="BZ243">
        <v>0.825000000000001</v>
      </c>
      <c r="CA243">
        <v>0.812500000000001</v>
      </c>
      <c r="CB243">
        <v>0.800000000000001</v>
      </c>
      <c r="CC243" t="e">
        <v>#VALUE!</v>
      </c>
      <c r="CD243" t="e">
        <v>#VALUE!</v>
      </c>
      <c r="CE243" t="e">
        <v>#VALUE!</v>
      </c>
      <c r="CF243" t="e">
        <v>#VALUE!</v>
      </c>
      <c r="CG243" t="e">
        <v>#VALUE!</v>
      </c>
      <c r="CH243" t="e">
        <v>#VALUE!</v>
      </c>
      <c r="CI243" t="e">
        <v>#VALUE!</v>
      </c>
      <c r="CJ243" t="e">
        <v>#VALUE!</v>
      </c>
    </row>
    <row r="244" spans="1:88">
      <c r="A244" t="s">
        <v>24</v>
      </c>
      <c r="B244" t="s">
        <v>274</v>
      </c>
      <c r="C244" t="s">
        <v>274</v>
      </c>
      <c r="D244">
        <v>762.824241792</v>
      </c>
      <c r="E244">
        <v>769.872325083212</v>
      </c>
      <c r="F244">
        <v>908.793672966532</v>
      </c>
      <c r="G244">
        <v>1054.57418235996</v>
      </c>
      <c r="H244">
        <v>1221.30430509155</v>
      </c>
      <c r="I244">
        <v>1407.38495911649</v>
      </c>
      <c r="J244">
        <v>1601.56054995209</v>
      </c>
      <c r="K244">
        <v>1800.53907623581</v>
      </c>
      <c r="L244">
        <v>2008.49827191623</v>
      </c>
      <c r="M244">
        <v>2229.40860999207</v>
      </c>
      <c r="N244">
        <v>2459.62015250331</v>
      </c>
      <c r="O244">
        <v>2687.26662839164</v>
      </c>
      <c r="P244">
        <v>2909.91345190119</v>
      </c>
      <c r="Q244">
        <v>3127.66326131889</v>
      </c>
      <c r="R244">
        <v>3342.66178607796</v>
      </c>
      <c r="S244">
        <v>3558.40930188123</v>
      </c>
      <c r="T244">
        <v>3776.41245278493</v>
      </c>
      <c r="U244">
        <v>3995.05444020249</v>
      </c>
      <c r="V244">
        <v>5</v>
      </c>
      <c r="AF244" s="99" t="s">
        <v>272</v>
      </c>
      <c r="AH244">
        <v>1</v>
      </c>
      <c r="AI244">
        <v>1.00926204934455</v>
      </c>
      <c r="AJ244">
        <v>1.19408534707007</v>
      </c>
      <c r="AK244">
        <v>1.39091045519109</v>
      </c>
      <c r="AL244">
        <v>1.61974613571711</v>
      </c>
      <c r="AM244">
        <v>1.87985703090013</v>
      </c>
      <c r="AN244">
        <v>2.15678013005784</v>
      </c>
      <c r="AO244">
        <v>2.44665686965823</v>
      </c>
      <c r="AP244">
        <v>2.75644223598284</v>
      </c>
      <c r="AQ244">
        <v>3.09330341494414</v>
      </c>
      <c r="AR244">
        <v>3.45321148111724</v>
      </c>
      <c r="AS244">
        <v>3.81847644094604</v>
      </c>
      <c r="AT244">
        <v>4.1852827156616</v>
      </c>
      <c r="AU244">
        <v>4.55373697859188</v>
      </c>
      <c r="AV244">
        <v>4.92750196742035</v>
      </c>
      <c r="AW244">
        <v>5.31300360313253</v>
      </c>
      <c r="AX244">
        <v>5.71361528634754</v>
      </c>
      <c r="AY244">
        <v>6.12711494282215</v>
      </c>
      <c r="AZ244">
        <v>0</v>
      </c>
      <c r="BA244">
        <v>0</v>
      </c>
      <c r="BB244">
        <v>0</v>
      </c>
      <c r="BC244">
        <v>0</v>
      </c>
      <c r="BD244">
        <v>0</v>
      </c>
      <c r="BE244">
        <v>0</v>
      </c>
      <c r="BF244">
        <v>0</v>
      </c>
      <c r="BG244">
        <v>0</v>
      </c>
      <c r="BI244" t="s">
        <v>273</v>
      </c>
      <c r="BK244">
        <v>1</v>
      </c>
      <c r="BL244">
        <v>0.997560975609757</v>
      </c>
      <c r="BM244">
        <v>0.985365853658537</v>
      </c>
      <c r="BN244">
        <v>0.973170731707317</v>
      </c>
      <c r="BO244">
        <v>0.960975609756098</v>
      </c>
      <c r="BP244">
        <v>0.948780487804878</v>
      </c>
      <c r="BQ244">
        <v>0.936585365853658</v>
      </c>
      <c r="BR244">
        <v>0.924390243902439</v>
      </c>
      <c r="BS244">
        <v>0.91219512195122</v>
      </c>
      <c r="BT244">
        <v>0.9</v>
      </c>
      <c r="BU244">
        <v>0.8875</v>
      </c>
      <c r="BV244">
        <v>0.875000000000001</v>
      </c>
      <c r="BW244">
        <v>0.862500000000001</v>
      </c>
      <c r="BX244">
        <v>0.850000000000001</v>
      </c>
      <c r="BY244">
        <v>0.8375</v>
      </c>
      <c r="BZ244">
        <v>0.825000000000001</v>
      </c>
      <c r="CA244">
        <v>0.812500000000001</v>
      </c>
      <c r="CB244">
        <v>0.800000000000001</v>
      </c>
      <c r="CC244" t="e">
        <v>#VALUE!</v>
      </c>
      <c r="CD244" t="e">
        <v>#VALUE!</v>
      </c>
      <c r="CE244" t="e">
        <v>#VALUE!</v>
      </c>
      <c r="CF244" t="e">
        <v>#VALUE!</v>
      </c>
      <c r="CG244" t="e">
        <v>#VALUE!</v>
      </c>
      <c r="CH244" t="e">
        <v>#VALUE!</v>
      </c>
      <c r="CI244" t="e">
        <v>#VALUE!</v>
      </c>
      <c r="CJ244" t="e">
        <v>#VALUE!</v>
      </c>
    </row>
    <row r="245" spans="1:88">
      <c r="A245" t="s">
        <v>24</v>
      </c>
      <c r="B245" t="s">
        <v>275</v>
      </c>
      <c r="C245" t="s">
        <v>275</v>
      </c>
      <c r="D245">
        <v>2.40085514592</v>
      </c>
      <c r="E245">
        <v>2.42303774855836</v>
      </c>
      <c r="F245">
        <v>2.86026825942977</v>
      </c>
      <c r="G245">
        <v>3.3190867748585</v>
      </c>
      <c r="H245">
        <v>3.84384051393692</v>
      </c>
      <c r="I245">
        <v>4.4294966471537</v>
      </c>
      <c r="J245">
        <v>5.040630170355</v>
      </c>
      <c r="K245">
        <v>5.66688008820451</v>
      </c>
      <c r="L245">
        <v>6.32139508358252</v>
      </c>
      <c r="M245">
        <v>7.01667152197988</v>
      </c>
      <c r="N245">
        <v>7.74122186556871</v>
      </c>
      <c r="O245">
        <v>8.45769911307086</v>
      </c>
      <c r="P245">
        <v>9.15844083398147</v>
      </c>
      <c r="Q245">
        <v>9.84377006425798</v>
      </c>
      <c r="R245">
        <v>10.5204401099299</v>
      </c>
      <c r="S245">
        <v>11.1994674731911</v>
      </c>
      <c r="T245">
        <v>11.8855940512405</v>
      </c>
      <c r="U245">
        <v>12.5737312548675</v>
      </c>
      <c r="V245">
        <v>5</v>
      </c>
      <c r="AF245" s="99" t="s">
        <v>272</v>
      </c>
      <c r="AH245">
        <v>1</v>
      </c>
      <c r="AI245">
        <v>1.00926204934455</v>
      </c>
      <c r="AJ245">
        <v>1.19408534707007</v>
      </c>
      <c r="AK245">
        <v>1.39091045519109</v>
      </c>
      <c r="AL245">
        <v>1.61974613571711</v>
      </c>
      <c r="AM245">
        <v>1.87985703090013</v>
      </c>
      <c r="AN245">
        <v>2.15678013005784</v>
      </c>
      <c r="AO245">
        <v>2.44665686965823</v>
      </c>
      <c r="AP245">
        <v>2.75644223598284</v>
      </c>
      <c r="AQ245">
        <v>3.09330341494414</v>
      </c>
      <c r="AR245">
        <v>3.45321148111724</v>
      </c>
      <c r="AS245">
        <v>3.81847644094604</v>
      </c>
      <c r="AT245">
        <v>4.1852827156616</v>
      </c>
      <c r="AU245">
        <v>4.55373697859188</v>
      </c>
      <c r="AV245">
        <v>4.92750196742035</v>
      </c>
      <c r="AW245">
        <v>5.31300360313253</v>
      </c>
      <c r="AX245">
        <v>5.71361528634754</v>
      </c>
      <c r="AY245">
        <v>6.12711494282215</v>
      </c>
      <c r="AZ245">
        <v>0</v>
      </c>
      <c r="BA245">
        <v>0</v>
      </c>
      <c r="BB245">
        <v>0</v>
      </c>
      <c r="BC245">
        <v>0</v>
      </c>
      <c r="BD245">
        <v>0</v>
      </c>
      <c r="BE245">
        <v>0</v>
      </c>
      <c r="BF245">
        <v>0</v>
      </c>
      <c r="BG245">
        <v>0</v>
      </c>
      <c r="BI245" t="s">
        <v>273</v>
      </c>
      <c r="BK245">
        <v>1</v>
      </c>
      <c r="BL245">
        <v>0.997560975609757</v>
      </c>
      <c r="BM245">
        <v>0.985365853658537</v>
      </c>
      <c r="BN245">
        <v>0.973170731707317</v>
      </c>
      <c r="BO245">
        <v>0.960975609756098</v>
      </c>
      <c r="BP245">
        <v>0.948780487804878</v>
      </c>
      <c r="BQ245">
        <v>0.936585365853658</v>
      </c>
      <c r="BR245">
        <v>0.924390243902439</v>
      </c>
      <c r="BS245">
        <v>0.91219512195122</v>
      </c>
      <c r="BT245">
        <v>0.9</v>
      </c>
      <c r="BU245">
        <v>0.8875</v>
      </c>
      <c r="BV245">
        <v>0.875000000000001</v>
      </c>
      <c r="BW245">
        <v>0.862500000000001</v>
      </c>
      <c r="BX245">
        <v>0.850000000000001</v>
      </c>
      <c r="BY245">
        <v>0.8375</v>
      </c>
      <c r="BZ245">
        <v>0.825000000000001</v>
      </c>
      <c r="CA245">
        <v>0.812500000000001</v>
      </c>
      <c r="CB245">
        <v>0.800000000000001</v>
      </c>
      <c r="CC245" t="e">
        <v>#VALUE!</v>
      </c>
      <c r="CD245" t="e">
        <v>#VALUE!</v>
      </c>
      <c r="CE245" t="e">
        <v>#VALUE!</v>
      </c>
      <c r="CF245" t="e">
        <v>#VALUE!</v>
      </c>
      <c r="CG245" t="e">
        <v>#VALUE!</v>
      </c>
      <c r="CH245" t="e">
        <v>#VALUE!</v>
      </c>
      <c r="CI245" t="e">
        <v>#VALUE!</v>
      </c>
      <c r="CJ245" t="e">
        <v>#VALUE!</v>
      </c>
    </row>
    <row r="246" spans="1:88">
      <c r="A246" t="s">
        <v>24</v>
      </c>
      <c r="B246" t="s">
        <v>276</v>
      </c>
      <c r="C246" t="s">
        <v>276</v>
      </c>
      <c r="D246">
        <v>1.02893791968</v>
      </c>
      <c r="E246">
        <v>1.04527510225683</v>
      </c>
      <c r="F246">
        <v>1.12595932657675</v>
      </c>
      <c r="G246">
        <v>1.20529386131294</v>
      </c>
      <c r="H246">
        <v>1.28003974811183</v>
      </c>
      <c r="I246">
        <v>1.34969977903957</v>
      </c>
      <c r="J246">
        <v>1.41309631452912</v>
      </c>
      <c r="K246">
        <v>1.46831105505433</v>
      </c>
      <c r="L246">
        <v>1.5148716451769</v>
      </c>
      <c r="M246">
        <v>1.55209842824374</v>
      </c>
      <c r="N246">
        <v>1.57968851097238</v>
      </c>
      <c r="O246">
        <v>1.59844472854442</v>
      </c>
      <c r="P246">
        <v>1.60975576538302</v>
      </c>
      <c r="Q246">
        <v>1.61513340729641</v>
      </c>
      <c r="R246">
        <v>1.61620123332132</v>
      </c>
      <c r="S246">
        <v>1.61427984369371</v>
      </c>
      <c r="T246">
        <v>1.60972943526649</v>
      </c>
      <c r="U246">
        <v>1.60221331092418</v>
      </c>
      <c r="V246">
        <v>5</v>
      </c>
      <c r="AF246" s="99" t="s">
        <v>277</v>
      </c>
      <c r="AH246">
        <v>1</v>
      </c>
      <c r="AI246">
        <v>1.01591653536649</v>
      </c>
      <c r="AJ246">
        <v>1.09549921219896</v>
      </c>
      <c r="AK246">
        <v>1.17481554148819</v>
      </c>
      <c r="AL246">
        <v>1.25062993622811</v>
      </c>
      <c r="AM246">
        <v>1.32236364458965</v>
      </c>
      <c r="AN246">
        <v>1.38868171499029</v>
      </c>
      <c r="AO246">
        <v>1.44738070594757</v>
      </c>
      <c r="AP246">
        <v>1.49769547006135</v>
      </c>
      <c r="AQ246">
        <v>1.53858957231577</v>
      </c>
      <c r="AR246">
        <v>1.5694064167895</v>
      </c>
      <c r="AS246">
        <v>1.59070257052599</v>
      </c>
      <c r="AT246">
        <v>1.60375329654095</v>
      </c>
      <c r="AU246">
        <v>1.61005634327467</v>
      </c>
      <c r="AV246">
        <v>1.61132735149569</v>
      </c>
      <c r="AW246">
        <v>1.60900541766864</v>
      </c>
      <c r="AX246">
        <v>1.60342321382187</v>
      </c>
      <c r="AY246">
        <v>1.59406486453626</v>
      </c>
      <c r="AZ246">
        <v>0</v>
      </c>
      <c r="BA246">
        <v>0</v>
      </c>
      <c r="BB246">
        <v>0</v>
      </c>
      <c r="BC246">
        <v>0</v>
      </c>
      <c r="BD246">
        <v>0</v>
      </c>
      <c r="BE246">
        <v>0</v>
      </c>
      <c r="BF246">
        <v>0</v>
      </c>
      <c r="BG246">
        <v>0</v>
      </c>
      <c r="BI246" t="s">
        <v>273</v>
      </c>
      <c r="BK246">
        <v>1</v>
      </c>
      <c r="BL246">
        <v>0.997560975609757</v>
      </c>
      <c r="BM246">
        <v>0.985365853658537</v>
      </c>
      <c r="BN246">
        <v>0.973170731707317</v>
      </c>
      <c r="BO246">
        <v>0.960975609756098</v>
      </c>
      <c r="BP246">
        <v>0.948780487804878</v>
      </c>
      <c r="BQ246">
        <v>0.936585365853658</v>
      </c>
      <c r="BR246">
        <v>0.924390243902439</v>
      </c>
      <c r="BS246">
        <v>0.91219512195122</v>
      </c>
      <c r="BT246">
        <v>0.9</v>
      </c>
      <c r="BU246">
        <v>0.8875</v>
      </c>
      <c r="BV246">
        <v>0.875000000000001</v>
      </c>
      <c r="BW246">
        <v>0.862500000000001</v>
      </c>
      <c r="BX246">
        <v>0.850000000000001</v>
      </c>
      <c r="BY246">
        <v>0.8375</v>
      </c>
      <c r="BZ246">
        <v>0.825000000000001</v>
      </c>
      <c r="CA246">
        <v>0.812500000000001</v>
      </c>
      <c r="CB246">
        <v>0.800000000000001</v>
      </c>
      <c r="CC246" t="e">
        <v>#VALUE!</v>
      </c>
      <c r="CD246" t="e">
        <v>#VALUE!</v>
      </c>
      <c r="CE246" t="e">
        <v>#VALUE!</v>
      </c>
      <c r="CF246" t="e">
        <v>#VALUE!</v>
      </c>
      <c r="CG246" t="e">
        <v>#VALUE!</v>
      </c>
      <c r="CH246" t="e">
        <v>#VALUE!</v>
      </c>
      <c r="CI246" t="e">
        <v>#VALUE!</v>
      </c>
      <c r="CJ246" t="e">
        <v>#VALUE!</v>
      </c>
    </row>
    <row r="247" spans="1:88">
      <c r="A247" t="s">
        <v>24</v>
      </c>
      <c r="B247" t="s">
        <v>278</v>
      </c>
      <c r="C247" t="s">
        <v>278</v>
      </c>
      <c r="D247">
        <v>0</v>
      </c>
      <c r="E247">
        <v>0</v>
      </c>
      <c r="F247">
        <v>0</v>
      </c>
      <c r="G247">
        <v>0</v>
      </c>
      <c r="H247">
        <v>0</v>
      </c>
      <c r="I247">
        <v>0</v>
      </c>
      <c r="J247">
        <v>0</v>
      </c>
      <c r="K247">
        <v>0</v>
      </c>
      <c r="L247">
        <v>0</v>
      </c>
      <c r="M247">
        <v>0</v>
      </c>
      <c r="N247">
        <v>0</v>
      </c>
      <c r="O247">
        <v>0</v>
      </c>
      <c r="P247">
        <v>0</v>
      </c>
      <c r="Q247">
        <v>0</v>
      </c>
      <c r="R247">
        <v>0</v>
      </c>
      <c r="S247">
        <v>0</v>
      </c>
      <c r="T247">
        <v>0</v>
      </c>
      <c r="U247">
        <v>0</v>
      </c>
      <c r="V247">
        <v>5</v>
      </c>
      <c r="AF247" s="99" t="s">
        <v>272</v>
      </c>
      <c r="AH247">
        <v>1</v>
      </c>
      <c r="AI247">
        <v>1.00926204934455</v>
      </c>
      <c r="AJ247">
        <v>1.19408534707007</v>
      </c>
      <c r="AK247">
        <v>1.39091045519109</v>
      </c>
      <c r="AL247">
        <v>1.61974613571711</v>
      </c>
      <c r="AM247">
        <v>1.87985703090013</v>
      </c>
      <c r="AN247">
        <v>2.15678013005784</v>
      </c>
      <c r="AO247">
        <v>2.44665686965823</v>
      </c>
      <c r="AP247">
        <v>2.75644223598284</v>
      </c>
      <c r="AQ247">
        <v>3.09330341494414</v>
      </c>
      <c r="AR247">
        <v>3.45321148111724</v>
      </c>
      <c r="AS247">
        <v>3.81847644094604</v>
      </c>
      <c r="AT247">
        <v>4.1852827156616</v>
      </c>
      <c r="AU247">
        <v>4.55373697859188</v>
      </c>
      <c r="AV247">
        <v>4.92750196742035</v>
      </c>
      <c r="AW247">
        <v>5.31300360313253</v>
      </c>
      <c r="AX247">
        <v>5.71361528634754</v>
      </c>
      <c r="AY247">
        <v>6.12711494282215</v>
      </c>
      <c r="AZ247">
        <v>0</v>
      </c>
      <c r="BA247">
        <v>0</v>
      </c>
      <c r="BB247">
        <v>0</v>
      </c>
      <c r="BC247">
        <v>0</v>
      </c>
      <c r="BD247">
        <v>0</v>
      </c>
      <c r="BE247">
        <v>0</v>
      </c>
      <c r="BF247">
        <v>0</v>
      </c>
      <c r="BG247">
        <v>0</v>
      </c>
      <c r="BI247" t="s">
        <v>273</v>
      </c>
      <c r="BK247">
        <v>1</v>
      </c>
      <c r="BL247">
        <v>0.997560975609757</v>
      </c>
      <c r="BM247">
        <v>0.985365853658537</v>
      </c>
      <c r="BN247">
        <v>0.973170731707317</v>
      </c>
      <c r="BO247">
        <v>0.960975609756098</v>
      </c>
      <c r="BP247">
        <v>0.948780487804878</v>
      </c>
      <c r="BQ247">
        <v>0.936585365853658</v>
      </c>
      <c r="BR247">
        <v>0.924390243902439</v>
      </c>
      <c r="BS247">
        <v>0.91219512195122</v>
      </c>
      <c r="BT247">
        <v>0.9</v>
      </c>
      <c r="BU247">
        <v>0.8875</v>
      </c>
      <c r="BV247">
        <v>0.875000000000001</v>
      </c>
      <c r="BW247">
        <v>0.862500000000001</v>
      </c>
      <c r="BX247">
        <v>0.850000000000001</v>
      </c>
      <c r="BY247">
        <v>0.8375</v>
      </c>
      <c r="BZ247">
        <v>0.825000000000001</v>
      </c>
      <c r="CA247">
        <v>0.812500000000001</v>
      </c>
      <c r="CB247">
        <v>0.800000000000001</v>
      </c>
      <c r="CC247" t="e">
        <v>#VALUE!</v>
      </c>
      <c r="CD247" t="e">
        <v>#VALUE!</v>
      </c>
      <c r="CE247" t="e">
        <v>#VALUE!</v>
      </c>
      <c r="CF247" t="e">
        <v>#VALUE!</v>
      </c>
      <c r="CG247" t="e">
        <v>#VALUE!</v>
      </c>
      <c r="CH247" t="e">
        <v>#VALUE!</v>
      </c>
      <c r="CI247" t="e">
        <v>#VALUE!</v>
      </c>
      <c r="CJ247" t="e">
        <v>#VALUE!</v>
      </c>
    </row>
    <row r="248" spans="1:88">
      <c r="A248" t="s">
        <v>24</v>
      </c>
      <c r="B248" t="s">
        <v>279</v>
      </c>
      <c r="C248" t="s">
        <v>279</v>
      </c>
      <c r="D248">
        <v>869.3089223292</v>
      </c>
      <c r="E248">
        <v>877.340866458265</v>
      </c>
      <c r="F248">
        <v>1035.65461764854</v>
      </c>
      <c r="G248">
        <v>1201.78501908898</v>
      </c>
      <c r="H248">
        <v>1391.78944654546</v>
      </c>
      <c r="I248">
        <v>1603.84559782446</v>
      </c>
      <c r="J248">
        <v>1825.12667984067</v>
      </c>
      <c r="K248">
        <v>2051.88115193769</v>
      </c>
      <c r="L248">
        <v>2288.86992914371</v>
      </c>
      <c r="M248">
        <v>2540.61773342554</v>
      </c>
      <c r="N248">
        <v>2802.96512220026</v>
      </c>
      <c r="O248">
        <v>3062.38937982694</v>
      </c>
      <c r="P248">
        <v>3316.11607019854</v>
      </c>
      <c r="Q248">
        <v>3564.26215915555</v>
      </c>
      <c r="R248">
        <v>3809.27290425408</v>
      </c>
      <c r="S248">
        <v>4055.13719406421</v>
      </c>
      <c r="T248">
        <v>4303.5719891243</v>
      </c>
      <c r="U248">
        <v>4552.73479759953</v>
      </c>
      <c r="V248">
        <v>5</v>
      </c>
      <c r="AF248" s="99" t="s">
        <v>272</v>
      </c>
      <c r="AH248">
        <v>1</v>
      </c>
      <c r="AI248">
        <v>1.00926204934455</v>
      </c>
      <c r="AJ248">
        <v>1.19408534707007</v>
      </c>
      <c r="AK248">
        <v>1.39091045519109</v>
      </c>
      <c r="AL248">
        <v>1.61974613571711</v>
      </c>
      <c r="AM248">
        <v>1.87985703090013</v>
      </c>
      <c r="AN248">
        <v>2.15678013005784</v>
      </c>
      <c r="AO248">
        <v>2.44665686965823</v>
      </c>
      <c r="AP248">
        <v>2.75644223598284</v>
      </c>
      <c r="AQ248">
        <v>3.09330341494414</v>
      </c>
      <c r="AR248">
        <v>3.45321148111724</v>
      </c>
      <c r="AS248">
        <v>3.81847644094604</v>
      </c>
      <c r="AT248">
        <v>4.1852827156616</v>
      </c>
      <c r="AU248">
        <v>4.55373697859188</v>
      </c>
      <c r="AV248">
        <v>4.92750196742035</v>
      </c>
      <c r="AW248">
        <v>5.31300360313253</v>
      </c>
      <c r="AX248">
        <v>5.71361528634754</v>
      </c>
      <c r="AY248">
        <v>6.12711494282215</v>
      </c>
      <c r="AZ248">
        <v>0</v>
      </c>
      <c r="BA248">
        <v>0</v>
      </c>
      <c r="BB248">
        <v>0</v>
      </c>
      <c r="BC248">
        <v>0</v>
      </c>
      <c r="BD248">
        <v>0</v>
      </c>
      <c r="BE248">
        <v>0</v>
      </c>
      <c r="BF248">
        <v>0</v>
      </c>
      <c r="BG248">
        <v>0</v>
      </c>
      <c r="BI248" t="s">
        <v>273</v>
      </c>
      <c r="BK248">
        <v>1</v>
      </c>
      <c r="BL248">
        <v>0.997560975609757</v>
      </c>
      <c r="BM248">
        <v>0.985365853658537</v>
      </c>
      <c r="BN248">
        <v>0.973170731707317</v>
      </c>
      <c r="BO248">
        <v>0.960975609756098</v>
      </c>
      <c r="BP248">
        <v>0.948780487804878</v>
      </c>
      <c r="BQ248">
        <v>0.936585365853658</v>
      </c>
      <c r="BR248">
        <v>0.924390243902439</v>
      </c>
      <c r="BS248">
        <v>0.91219512195122</v>
      </c>
      <c r="BT248">
        <v>0.9</v>
      </c>
      <c r="BU248">
        <v>0.8875</v>
      </c>
      <c r="BV248">
        <v>0.875000000000001</v>
      </c>
      <c r="BW248">
        <v>0.862500000000001</v>
      </c>
      <c r="BX248">
        <v>0.850000000000001</v>
      </c>
      <c r="BY248">
        <v>0.8375</v>
      </c>
      <c r="BZ248">
        <v>0.825000000000001</v>
      </c>
      <c r="CA248">
        <v>0.812500000000001</v>
      </c>
      <c r="CB248">
        <v>0.800000000000001</v>
      </c>
      <c r="CC248" t="e">
        <v>#VALUE!</v>
      </c>
      <c r="CD248" t="e">
        <v>#VALUE!</v>
      </c>
      <c r="CE248" t="e">
        <v>#VALUE!</v>
      </c>
      <c r="CF248" t="e">
        <v>#VALUE!</v>
      </c>
      <c r="CG248" t="e">
        <v>#VALUE!</v>
      </c>
      <c r="CH248" t="e">
        <v>#VALUE!</v>
      </c>
      <c r="CI248" t="e">
        <v>#VALUE!</v>
      </c>
      <c r="CJ248" t="e">
        <v>#VALUE!</v>
      </c>
    </row>
    <row r="249" spans="1:88">
      <c r="A249" t="s">
        <v>24</v>
      </c>
      <c r="B249" t="s">
        <v>280</v>
      </c>
      <c r="C249" t="s">
        <v>280</v>
      </c>
      <c r="D249">
        <v>32.705</v>
      </c>
      <c r="E249">
        <v>33.2242806543094</v>
      </c>
      <c r="F249">
        <v>35.788845052134</v>
      </c>
      <c r="G249">
        <v>38.3105092934072</v>
      </c>
      <c r="H249">
        <v>40.6863224314029</v>
      </c>
      <c r="I249">
        <v>42.900480611325</v>
      </c>
      <c r="J249">
        <v>44.9155523212205</v>
      </c>
      <c r="K249">
        <v>46.6705640224498</v>
      </c>
      <c r="L249">
        <v>48.1505018018178</v>
      </c>
      <c r="M249">
        <v>49.3337626350659</v>
      </c>
      <c r="N249">
        <v>50.2107189979149</v>
      </c>
      <c r="O249">
        <v>50.8068891690796</v>
      </c>
      <c r="P249">
        <v>51.1664127639739</v>
      </c>
      <c r="Q249">
        <v>51.3373422004478</v>
      </c>
      <c r="R249">
        <v>51.3712832667424</v>
      </c>
      <c r="S249">
        <v>51.3102115086031</v>
      </c>
      <c r="T249">
        <v>51.165575855892</v>
      </c>
      <c r="U249">
        <v>50.9266743226567</v>
      </c>
      <c r="V249">
        <v>5</v>
      </c>
      <c r="AF249" s="99" t="s">
        <v>277</v>
      </c>
      <c r="AH249">
        <v>1</v>
      </c>
      <c r="AI249">
        <v>1.01591653536649</v>
      </c>
      <c r="AJ249">
        <v>1.09549921219896</v>
      </c>
      <c r="AK249">
        <v>1.17481554148819</v>
      </c>
      <c r="AL249">
        <v>1.25062993622811</v>
      </c>
      <c r="AM249">
        <v>1.32236364458965</v>
      </c>
      <c r="AN249">
        <v>1.38868171499029</v>
      </c>
      <c r="AO249">
        <v>1.44738070594757</v>
      </c>
      <c r="AP249">
        <v>1.49769547006135</v>
      </c>
      <c r="AQ249">
        <v>1.53858957231577</v>
      </c>
      <c r="AR249">
        <v>1.5694064167895</v>
      </c>
      <c r="AS249">
        <v>1.59070257052599</v>
      </c>
      <c r="AT249">
        <v>1.60375329654095</v>
      </c>
      <c r="AU249">
        <v>1.61005634327467</v>
      </c>
      <c r="AV249">
        <v>1.61132735149569</v>
      </c>
      <c r="AW249">
        <v>1.60900541766864</v>
      </c>
      <c r="AX249">
        <v>1.60342321382187</v>
      </c>
      <c r="AY249">
        <v>1.59406486453626</v>
      </c>
      <c r="AZ249">
        <v>0</v>
      </c>
      <c r="BA249">
        <v>0</v>
      </c>
      <c r="BB249">
        <v>0</v>
      </c>
      <c r="BC249">
        <v>0</v>
      </c>
      <c r="BD249">
        <v>0</v>
      </c>
      <c r="BE249">
        <v>0</v>
      </c>
      <c r="BF249">
        <v>0</v>
      </c>
      <c r="BG249">
        <v>0</v>
      </c>
      <c r="BI249" t="s">
        <v>273</v>
      </c>
      <c r="BK249">
        <v>1</v>
      </c>
      <c r="BL249">
        <v>0.997560975609757</v>
      </c>
      <c r="BM249">
        <v>0.985365853658537</v>
      </c>
      <c r="BN249">
        <v>0.973170731707317</v>
      </c>
      <c r="BO249">
        <v>0.960975609756098</v>
      </c>
      <c r="BP249">
        <v>0.948780487804878</v>
      </c>
      <c r="BQ249">
        <v>0.936585365853658</v>
      </c>
      <c r="BR249">
        <v>0.924390243902439</v>
      </c>
      <c r="BS249">
        <v>0.91219512195122</v>
      </c>
      <c r="BT249">
        <v>0.9</v>
      </c>
      <c r="BU249">
        <v>0.8875</v>
      </c>
      <c r="BV249">
        <v>0.875000000000001</v>
      </c>
      <c r="BW249">
        <v>0.862500000000001</v>
      </c>
      <c r="BX249">
        <v>0.850000000000001</v>
      </c>
      <c r="BY249">
        <v>0.8375</v>
      </c>
      <c r="BZ249">
        <v>0.825000000000001</v>
      </c>
      <c r="CA249">
        <v>0.812500000000001</v>
      </c>
      <c r="CB249">
        <v>0.800000000000001</v>
      </c>
      <c r="CC249" t="e">
        <v>#VALUE!</v>
      </c>
      <c r="CD249" t="e">
        <v>#VALUE!</v>
      </c>
      <c r="CE249" t="e">
        <v>#VALUE!</v>
      </c>
      <c r="CF249" t="e">
        <v>#VALUE!</v>
      </c>
      <c r="CG249" t="e">
        <v>#VALUE!</v>
      </c>
      <c r="CH249" t="e">
        <v>#VALUE!</v>
      </c>
      <c r="CI249" t="e">
        <v>#VALUE!</v>
      </c>
      <c r="CJ249" t="e">
        <v>#VALUE!</v>
      </c>
    </row>
    <row r="250" spans="1:88">
      <c r="A250" t="s">
        <v>24</v>
      </c>
      <c r="B250" t="s">
        <v>281</v>
      </c>
      <c r="C250" t="s">
        <v>281</v>
      </c>
      <c r="D250">
        <v>9.69</v>
      </c>
      <c r="E250">
        <v>9.84385505397519</v>
      </c>
      <c r="F250">
        <v>10.6036969440507</v>
      </c>
      <c r="G250">
        <v>11.3508281624558</v>
      </c>
      <c r="H250">
        <v>12.0547458908514</v>
      </c>
      <c r="I250">
        <v>12.7107676845663</v>
      </c>
      <c r="J250">
        <v>13.3078031491401</v>
      </c>
      <c r="K250">
        <v>13.8277867414016</v>
      </c>
      <c r="L250">
        <v>14.2662700645043</v>
      </c>
      <c r="M250">
        <v>14.6168524670169</v>
      </c>
      <c r="N250">
        <v>14.8766814581806</v>
      </c>
      <c r="O250">
        <v>15.0533177204826</v>
      </c>
      <c r="P250">
        <v>15.1598391586274</v>
      </c>
      <c r="Q250">
        <v>15.2104829818786</v>
      </c>
      <c r="R250">
        <v>15.2205392097457</v>
      </c>
      <c r="S250">
        <v>15.2024445656127</v>
      </c>
      <c r="T250">
        <v>15.15959119534</v>
      </c>
      <c r="U250">
        <v>15.0888082613222</v>
      </c>
      <c r="V250">
        <v>5</v>
      </c>
      <c r="AF250" s="99" t="s">
        <v>277</v>
      </c>
      <c r="AH250">
        <v>1</v>
      </c>
      <c r="AI250">
        <v>1.01591653536649</v>
      </c>
      <c r="AJ250">
        <v>1.09549921219896</v>
      </c>
      <c r="AK250">
        <v>1.17481554148819</v>
      </c>
      <c r="AL250">
        <v>1.25062993622811</v>
      </c>
      <c r="AM250">
        <v>1.32236364458965</v>
      </c>
      <c r="AN250">
        <v>1.38868171499029</v>
      </c>
      <c r="AO250">
        <v>1.44738070594757</v>
      </c>
      <c r="AP250">
        <v>1.49769547006135</v>
      </c>
      <c r="AQ250">
        <v>1.53858957231577</v>
      </c>
      <c r="AR250">
        <v>1.5694064167895</v>
      </c>
      <c r="AS250">
        <v>1.59070257052599</v>
      </c>
      <c r="AT250">
        <v>1.60375329654095</v>
      </c>
      <c r="AU250">
        <v>1.61005634327467</v>
      </c>
      <c r="AV250">
        <v>1.61132735149569</v>
      </c>
      <c r="AW250">
        <v>1.60900541766864</v>
      </c>
      <c r="AX250">
        <v>1.60342321382187</v>
      </c>
      <c r="AY250">
        <v>1.59406486453626</v>
      </c>
      <c r="AZ250">
        <v>0</v>
      </c>
      <c r="BA250">
        <v>0</v>
      </c>
      <c r="BB250">
        <v>0</v>
      </c>
      <c r="BC250">
        <v>0</v>
      </c>
      <c r="BD250">
        <v>0</v>
      </c>
      <c r="BE250">
        <v>0</v>
      </c>
      <c r="BF250">
        <v>0</v>
      </c>
      <c r="BG250">
        <v>0</v>
      </c>
      <c r="BI250" t="s">
        <v>273</v>
      </c>
      <c r="BK250">
        <v>1</v>
      </c>
      <c r="BL250">
        <v>0.997560975609757</v>
      </c>
      <c r="BM250">
        <v>0.985365853658537</v>
      </c>
      <c r="BN250">
        <v>0.973170731707317</v>
      </c>
      <c r="BO250">
        <v>0.960975609756098</v>
      </c>
      <c r="BP250">
        <v>0.948780487804878</v>
      </c>
      <c r="BQ250">
        <v>0.936585365853658</v>
      </c>
      <c r="BR250">
        <v>0.924390243902439</v>
      </c>
      <c r="BS250">
        <v>0.91219512195122</v>
      </c>
      <c r="BT250">
        <v>0.9</v>
      </c>
      <c r="BU250">
        <v>0.8875</v>
      </c>
      <c r="BV250">
        <v>0.875000000000001</v>
      </c>
      <c r="BW250">
        <v>0.862500000000001</v>
      </c>
      <c r="BX250">
        <v>0.850000000000001</v>
      </c>
      <c r="BY250">
        <v>0.8375</v>
      </c>
      <c r="BZ250">
        <v>0.825000000000001</v>
      </c>
      <c r="CA250">
        <v>0.812500000000001</v>
      </c>
      <c r="CB250">
        <v>0.800000000000001</v>
      </c>
      <c r="CC250" t="e">
        <v>#VALUE!</v>
      </c>
      <c r="CD250" t="e">
        <v>#VALUE!</v>
      </c>
      <c r="CE250" t="e">
        <v>#VALUE!</v>
      </c>
      <c r="CF250" t="e">
        <v>#VALUE!</v>
      </c>
      <c r="CG250" t="e">
        <v>#VALUE!</v>
      </c>
      <c r="CH250" t="e">
        <v>#VALUE!</v>
      </c>
      <c r="CI250" t="e">
        <v>#VALUE!</v>
      </c>
      <c r="CJ250" t="e">
        <v>#VALUE!</v>
      </c>
    </row>
    <row r="251" spans="1:88">
      <c r="A251" t="s">
        <v>24</v>
      </c>
      <c r="B251" t="s">
        <v>282</v>
      </c>
      <c r="C251" t="s">
        <v>282</v>
      </c>
      <c r="D251">
        <v>20.86</v>
      </c>
      <c r="E251">
        <v>21.1912091254822</v>
      </c>
      <c r="F251">
        <v>22.8269471881215</v>
      </c>
      <c r="G251">
        <v>24.4353225458026</v>
      </c>
      <c r="H251">
        <v>25.9506707206563</v>
      </c>
      <c r="I251">
        <v>27.3629116511922</v>
      </c>
      <c r="J251">
        <v>28.6481706595524</v>
      </c>
      <c r="K251">
        <v>29.7675574226664</v>
      </c>
      <c r="L251">
        <v>30.7114957219361</v>
      </c>
      <c r="M251">
        <v>31.4662066524224</v>
      </c>
      <c r="N251">
        <v>32.0255495580647</v>
      </c>
      <c r="O251">
        <v>32.4058005829996</v>
      </c>
      <c r="P251">
        <v>32.6351129875095</v>
      </c>
      <c r="Q251">
        <v>32.7441357071195</v>
      </c>
      <c r="R251">
        <v>32.7657840985857</v>
      </c>
      <c r="S251">
        <v>32.7268311288629</v>
      </c>
      <c r="T251">
        <v>32.634579188317</v>
      </c>
      <c r="U251">
        <v>32.4822023045595</v>
      </c>
      <c r="V251">
        <v>5</v>
      </c>
      <c r="AF251" s="99" t="s">
        <v>277</v>
      </c>
      <c r="AH251">
        <v>1</v>
      </c>
      <c r="AI251">
        <v>1.01591653536649</v>
      </c>
      <c r="AJ251">
        <v>1.09549921219896</v>
      </c>
      <c r="AK251">
        <v>1.17481554148819</v>
      </c>
      <c r="AL251">
        <v>1.25062993622811</v>
      </c>
      <c r="AM251">
        <v>1.32236364458965</v>
      </c>
      <c r="AN251">
        <v>1.38868171499029</v>
      </c>
      <c r="AO251">
        <v>1.44738070594757</v>
      </c>
      <c r="AP251">
        <v>1.49769547006135</v>
      </c>
      <c r="AQ251">
        <v>1.53858957231577</v>
      </c>
      <c r="AR251">
        <v>1.5694064167895</v>
      </c>
      <c r="AS251">
        <v>1.59070257052599</v>
      </c>
      <c r="AT251">
        <v>1.60375329654095</v>
      </c>
      <c r="AU251">
        <v>1.61005634327467</v>
      </c>
      <c r="AV251">
        <v>1.61132735149569</v>
      </c>
      <c r="AW251">
        <v>1.60900541766864</v>
      </c>
      <c r="AX251">
        <v>1.60342321382187</v>
      </c>
      <c r="AY251">
        <v>1.59406486453626</v>
      </c>
      <c r="AZ251">
        <v>0</v>
      </c>
      <c r="BA251">
        <v>0</v>
      </c>
      <c r="BB251">
        <v>0</v>
      </c>
      <c r="BC251">
        <v>0</v>
      </c>
      <c r="BD251">
        <v>0</v>
      </c>
      <c r="BE251">
        <v>0</v>
      </c>
      <c r="BF251">
        <v>0</v>
      </c>
      <c r="BG251">
        <v>0</v>
      </c>
      <c r="BI251" t="s">
        <v>273</v>
      </c>
      <c r="BK251">
        <v>1</v>
      </c>
      <c r="BL251">
        <v>0.997560975609757</v>
      </c>
      <c r="BM251">
        <v>0.985365853658537</v>
      </c>
      <c r="BN251">
        <v>0.973170731707317</v>
      </c>
      <c r="BO251">
        <v>0.960975609756098</v>
      </c>
      <c r="BP251">
        <v>0.948780487804878</v>
      </c>
      <c r="BQ251">
        <v>0.936585365853658</v>
      </c>
      <c r="BR251">
        <v>0.924390243902439</v>
      </c>
      <c r="BS251">
        <v>0.91219512195122</v>
      </c>
      <c r="BT251">
        <v>0.9</v>
      </c>
      <c r="BU251">
        <v>0.8875</v>
      </c>
      <c r="BV251">
        <v>0.875000000000001</v>
      </c>
      <c r="BW251">
        <v>0.862500000000001</v>
      </c>
      <c r="BX251">
        <v>0.850000000000001</v>
      </c>
      <c r="BY251">
        <v>0.8375</v>
      </c>
      <c r="BZ251">
        <v>0.825000000000001</v>
      </c>
      <c r="CA251">
        <v>0.812500000000001</v>
      </c>
      <c r="CB251">
        <v>0.800000000000001</v>
      </c>
      <c r="CC251" t="e">
        <v>#VALUE!</v>
      </c>
      <c r="CD251" t="e">
        <v>#VALUE!</v>
      </c>
      <c r="CE251" t="e">
        <v>#VALUE!</v>
      </c>
      <c r="CF251" t="e">
        <v>#VALUE!</v>
      </c>
      <c r="CG251" t="e">
        <v>#VALUE!</v>
      </c>
      <c r="CH251" t="e">
        <v>#VALUE!</v>
      </c>
      <c r="CI251" t="e">
        <v>#VALUE!</v>
      </c>
      <c r="CJ251" t="e">
        <v>#VALUE!</v>
      </c>
    </row>
    <row r="252" spans="1:88">
      <c r="A252" t="s">
        <v>24</v>
      </c>
      <c r="B252" t="s">
        <v>283</v>
      </c>
      <c r="C252" t="s">
        <v>283</v>
      </c>
      <c r="D252">
        <v>908.376</v>
      </c>
      <c r="E252">
        <v>902.440441486943</v>
      </c>
      <c r="F252">
        <v>988.855084793077</v>
      </c>
      <c r="G252">
        <v>1071.79879765823</v>
      </c>
      <c r="H252">
        <v>1168.54180908552</v>
      </c>
      <c r="I252">
        <v>1276.78267529446</v>
      </c>
      <c r="J252">
        <v>1387.41908863122</v>
      </c>
      <c r="K252">
        <v>1500.78905382446</v>
      </c>
      <c r="L252">
        <v>1622.31267426371</v>
      </c>
      <c r="M252">
        <v>1757.19725879159</v>
      </c>
      <c r="N252">
        <v>1904.46213532516</v>
      </c>
      <c r="O252">
        <v>2056.05733538462</v>
      </c>
      <c r="P252">
        <v>2210.58980261323</v>
      </c>
      <c r="Q252">
        <v>2368.00549133872</v>
      </c>
      <c r="R252">
        <v>2529.09168119291</v>
      </c>
      <c r="S252">
        <v>2695.57499695125</v>
      </c>
      <c r="T252">
        <v>2868.91708072059</v>
      </c>
      <c r="U252">
        <v>3049.46732265809</v>
      </c>
      <c r="V252">
        <v>5</v>
      </c>
      <c r="AF252" s="99" t="s">
        <v>284</v>
      </c>
      <c r="AH252">
        <v>1</v>
      </c>
      <c r="AI252">
        <v>0.993449770930694</v>
      </c>
      <c r="AJ252">
        <v>1.08999197240245</v>
      </c>
      <c r="AK252">
        <v>1.18393944076461</v>
      </c>
      <c r="AL252">
        <v>1.29514422196086</v>
      </c>
      <c r="AM252">
        <v>1.42158856120358</v>
      </c>
      <c r="AN252">
        <v>1.55311336411808</v>
      </c>
      <c r="AO252">
        <v>1.69040312587037</v>
      </c>
      <c r="AP252">
        <v>1.84045574756925</v>
      </c>
      <c r="AQ252">
        <v>2.01047990354461</v>
      </c>
      <c r="AR252">
        <v>2.20032965596088</v>
      </c>
      <c r="AS252">
        <v>2.40049680669303</v>
      </c>
      <c r="AT252">
        <v>2.60967988323928</v>
      </c>
      <c r="AU252">
        <v>2.8283090822338</v>
      </c>
      <c r="AV252">
        <v>3.05803905261489</v>
      </c>
      <c r="AW252">
        <v>3.30204208437705</v>
      </c>
      <c r="AX252">
        <v>3.56338565956566</v>
      </c>
      <c r="AY252">
        <v>3.84370490758206</v>
      </c>
      <c r="AZ252">
        <v>0</v>
      </c>
      <c r="BA252">
        <v>0</v>
      </c>
      <c r="BB252">
        <v>0</v>
      </c>
      <c r="BC252">
        <v>0</v>
      </c>
      <c r="BD252">
        <v>0</v>
      </c>
      <c r="BE252">
        <v>0</v>
      </c>
      <c r="BF252">
        <v>0</v>
      </c>
      <c r="BG252">
        <v>0</v>
      </c>
      <c r="BI252" t="s">
        <v>273</v>
      </c>
      <c r="BK252">
        <v>1</v>
      </c>
      <c r="BL252">
        <v>0.997560975609757</v>
      </c>
      <c r="BM252">
        <v>0.985365853658537</v>
      </c>
      <c r="BN252">
        <v>0.973170731707317</v>
      </c>
      <c r="BO252">
        <v>0.960975609756098</v>
      </c>
      <c r="BP252">
        <v>0.948780487804878</v>
      </c>
      <c r="BQ252">
        <v>0.936585365853658</v>
      </c>
      <c r="BR252">
        <v>0.924390243902439</v>
      </c>
      <c r="BS252">
        <v>0.91219512195122</v>
      </c>
      <c r="BT252">
        <v>0.9</v>
      </c>
      <c r="BU252">
        <v>0.8875</v>
      </c>
      <c r="BV252">
        <v>0.875000000000001</v>
      </c>
      <c r="BW252">
        <v>0.862500000000001</v>
      </c>
      <c r="BX252">
        <v>0.850000000000001</v>
      </c>
      <c r="BY252">
        <v>0.8375</v>
      </c>
      <c r="BZ252">
        <v>0.825000000000001</v>
      </c>
      <c r="CA252">
        <v>0.812500000000001</v>
      </c>
      <c r="CB252">
        <v>0.800000000000001</v>
      </c>
      <c r="CC252" t="e">
        <v>#VALUE!</v>
      </c>
      <c r="CD252" t="e">
        <v>#VALUE!</v>
      </c>
      <c r="CE252" t="e">
        <v>#VALUE!</v>
      </c>
      <c r="CF252" t="e">
        <v>#VALUE!</v>
      </c>
      <c r="CG252" t="e">
        <v>#VALUE!</v>
      </c>
      <c r="CH252" t="e">
        <v>#VALUE!</v>
      </c>
      <c r="CI252" t="e">
        <v>#VALUE!</v>
      </c>
      <c r="CJ252" t="e">
        <v>#VALUE!</v>
      </c>
    </row>
    <row r="253" spans="1:88">
      <c r="A253" t="s">
        <v>24</v>
      </c>
      <c r="B253" t="s">
        <v>285</v>
      </c>
      <c r="C253" t="s">
        <v>285</v>
      </c>
      <c r="D253">
        <v>175.4</v>
      </c>
      <c r="E253">
        <v>177.020601105144</v>
      </c>
      <c r="F253">
        <v>208.963482680974</v>
      </c>
      <c r="G253">
        <v>242.483525630238</v>
      </c>
      <c r="H253">
        <v>280.820618141117</v>
      </c>
      <c r="I253">
        <v>323.607075266942</v>
      </c>
      <c r="J253">
        <v>368.254841772835</v>
      </c>
      <c r="K253">
        <v>414.006971291133</v>
      </c>
      <c r="L253">
        <v>461.824071120916</v>
      </c>
      <c r="M253">
        <v>512.619092012593</v>
      </c>
      <c r="N253">
        <v>565.552785443223</v>
      </c>
      <c r="O253">
        <v>617.896680253137</v>
      </c>
      <c r="P253">
        <v>669.090979941143</v>
      </c>
      <c r="Q253">
        <v>719.159284642815</v>
      </c>
      <c r="R253">
        <v>768.594972677784</v>
      </c>
      <c r="S253">
        <v>818.20287997632</v>
      </c>
      <c r="T253">
        <v>868.329436755221</v>
      </c>
      <c r="U253">
        <v>918.602884414608</v>
      </c>
      <c r="V253">
        <v>5</v>
      </c>
      <c r="AF253" s="99" t="s">
        <v>272</v>
      </c>
      <c r="AH253">
        <v>1</v>
      </c>
      <c r="AI253">
        <v>1.00926204934455</v>
      </c>
      <c r="AJ253">
        <v>1.19408534707007</v>
      </c>
      <c r="AK253">
        <v>1.39091045519109</v>
      </c>
      <c r="AL253">
        <v>1.61974613571711</v>
      </c>
      <c r="AM253">
        <v>1.87985703090013</v>
      </c>
      <c r="AN253">
        <v>2.15678013005784</v>
      </c>
      <c r="AO253">
        <v>2.44665686965823</v>
      </c>
      <c r="AP253">
        <v>2.75644223598284</v>
      </c>
      <c r="AQ253">
        <v>3.09330341494414</v>
      </c>
      <c r="AR253">
        <v>3.45321148111724</v>
      </c>
      <c r="AS253">
        <v>3.81847644094604</v>
      </c>
      <c r="AT253">
        <v>4.1852827156616</v>
      </c>
      <c r="AU253">
        <v>4.55373697859188</v>
      </c>
      <c r="AV253">
        <v>4.92750196742035</v>
      </c>
      <c r="AW253">
        <v>5.31300360313253</v>
      </c>
      <c r="AX253">
        <v>5.71361528634754</v>
      </c>
      <c r="AY253">
        <v>6.12711494282215</v>
      </c>
      <c r="AZ253">
        <v>0</v>
      </c>
      <c r="BA253">
        <v>0</v>
      </c>
      <c r="BB253">
        <v>0</v>
      </c>
      <c r="BC253">
        <v>0</v>
      </c>
      <c r="BD253">
        <v>0</v>
      </c>
      <c r="BE253">
        <v>0</v>
      </c>
      <c r="BF253">
        <v>0</v>
      </c>
      <c r="BG253">
        <v>0</v>
      </c>
      <c r="BI253" t="s">
        <v>273</v>
      </c>
      <c r="BK253">
        <v>1</v>
      </c>
      <c r="BL253">
        <v>0.997560975609757</v>
      </c>
      <c r="BM253">
        <v>0.985365853658537</v>
      </c>
      <c r="BN253">
        <v>0.973170731707317</v>
      </c>
      <c r="BO253">
        <v>0.960975609756098</v>
      </c>
      <c r="BP253">
        <v>0.948780487804878</v>
      </c>
      <c r="BQ253">
        <v>0.936585365853658</v>
      </c>
      <c r="BR253">
        <v>0.924390243902439</v>
      </c>
      <c r="BS253">
        <v>0.91219512195122</v>
      </c>
      <c r="BT253">
        <v>0.9</v>
      </c>
      <c r="BU253">
        <v>0.8875</v>
      </c>
      <c r="BV253">
        <v>0.875000000000001</v>
      </c>
      <c r="BW253">
        <v>0.862500000000001</v>
      </c>
      <c r="BX253">
        <v>0.850000000000001</v>
      </c>
      <c r="BY253">
        <v>0.8375</v>
      </c>
      <c r="BZ253">
        <v>0.825000000000001</v>
      </c>
      <c r="CA253">
        <v>0.812500000000001</v>
      </c>
      <c r="CB253">
        <v>0.800000000000001</v>
      </c>
      <c r="CC253" t="e">
        <v>#VALUE!</v>
      </c>
      <c r="CD253" t="e">
        <v>#VALUE!</v>
      </c>
      <c r="CE253" t="e">
        <v>#VALUE!</v>
      </c>
      <c r="CF253" t="e">
        <v>#VALUE!</v>
      </c>
      <c r="CG253" t="e">
        <v>#VALUE!</v>
      </c>
      <c r="CH253" t="e">
        <v>#VALUE!</v>
      </c>
      <c r="CI253" t="e">
        <v>#VALUE!</v>
      </c>
      <c r="CJ253" t="e">
        <v>#VALUE!</v>
      </c>
    </row>
    <row r="254" spans="1:88">
      <c r="A254" t="s">
        <v>24</v>
      </c>
      <c r="B254" t="s">
        <v>286</v>
      </c>
      <c r="C254" t="s">
        <v>286</v>
      </c>
      <c r="D254">
        <v>222.24</v>
      </c>
      <c r="E254">
        <v>224.293377363781</v>
      </c>
      <c r="F254">
        <v>264.766501659177</v>
      </c>
      <c r="G254">
        <v>307.237963147458</v>
      </c>
      <c r="H254">
        <v>355.812851628745</v>
      </c>
      <c r="I254">
        <v>410.025293086233</v>
      </c>
      <c r="J254">
        <v>466.596100545011</v>
      </c>
      <c r="K254">
        <v>524.566187569792</v>
      </c>
      <c r="L254">
        <v>585.152688517174</v>
      </c>
      <c r="M254">
        <v>649.512354668635</v>
      </c>
      <c r="N254">
        <v>716.581818910501</v>
      </c>
      <c r="O254">
        <v>782.903980726666</v>
      </c>
      <c r="P254">
        <v>847.769551779474</v>
      </c>
      <c r="Q254">
        <v>911.20843454401</v>
      </c>
      <c r="R254">
        <v>973.845762416824</v>
      </c>
      <c r="S254">
        <v>1036.70130014788</v>
      </c>
      <c r="T254">
        <v>1100.21399101756</v>
      </c>
      <c r="U254">
        <v>1163.91279950001</v>
      </c>
      <c r="V254">
        <v>5</v>
      </c>
      <c r="AF254" s="99" t="s">
        <v>272</v>
      </c>
      <c r="AH254">
        <v>1</v>
      </c>
      <c r="AI254">
        <v>1.00926204934455</v>
      </c>
      <c r="AJ254">
        <v>1.19408534707007</v>
      </c>
      <c r="AK254">
        <v>1.39091045519109</v>
      </c>
      <c r="AL254">
        <v>1.61974613571711</v>
      </c>
      <c r="AM254">
        <v>1.87985703090013</v>
      </c>
      <c r="AN254">
        <v>2.15678013005784</v>
      </c>
      <c r="AO254">
        <v>2.44665686965823</v>
      </c>
      <c r="AP254">
        <v>2.75644223598284</v>
      </c>
      <c r="AQ254">
        <v>3.09330341494414</v>
      </c>
      <c r="AR254">
        <v>3.45321148111724</v>
      </c>
      <c r="AS254">
        <v>3.81847644094604</v>
      </c>
      <c r="AT254">
        <v>4.1852827156616</v>
      </c>
      <c r="AU254">
        <v>4.55373697859188</v>
      </c>
      <c r="AV254">
        <v>4.92750196742035</v>
      </c>
      <c r="AW254">
        <v>5.31300360313253</v>
      </c>
      <c r="AX254">
        <v>5.71361528634754</v>
      </c>
      <c r="AY254">
        <v>6.12711494282215</v>
      </c>
      <c r="AZ254">
        <v>0</v>
      </c>
      <c r="BA254">
        <v>0</v>
      </c>
      <c r="BB254">
        <v>0</v>
      </c>
      <c r="BC254">
        <v>0</v>
      </c>
      <c r="BD254">
        <v>0</v>
      </c>
      <c r="BE254">
        <v>0</v>
      </c>
      <c r="BF254">
        <v>0</v>
      </c>
      <c r="BG254">
        <v>0</v>
      </c>
      <c r="BI254" t="s">
        <v>273</v>
      </c>
      <c r="BK254">
        <v>1</v>
      </c>
      <c r="BL254">
        <v>0.997560975609757</v>
      </c>
      <c r="BM254">
        <v>0.985365853658537</v>
      </c>
      <c r="BN254">
        <v>0.973170731707317</v>
      </c>
      <c r="BO254">
        <v>0.960975609756098</v>
      </c>
      <c r="BP254">
        <v>0.948780487804878</v>
      </c>
      <c r="BQ254">
        <v>0.936585365853658</v>
      </c>
      <c r="BR254">
        <v>0.924390243902439</v>
      </c>
      <c r="BS254">
        <v>0.91219512195122</v>
      </c>
      <c r="BT254">
        <v>0.9</v>
      </c>
      <c r="BU254">
        <v>0.8875</v>
      </c>
      <c r="BV254">
        <v>0.875000000000001</v>
      </c>
      <c r="BW254">
        <v>0.862500000000001</v>
      </c>
      <c r="BX254">
        <v>0.850000000000001</v>
      </c>
      <c r="BY254">
        <v>0.8375</v>
      </c>
      <c r="BZ254">
        <v>0.825000000000001</v>
      </c>
      <c r="CA254">
        <v>0.812500000000001</v>
      </c>
      <c r="CB254">
        <v>0.800000000000001</v>
      </c>
      <c r="CC254" t="e">
        <v>#VALUE!</v>
      </c>
      <c r="CD254" t="e">
        <v>#VALUE!</v>
      </c>
      <c r="CE254" t="e">
        <v>#VALUE!</v>
      </c>
      <c r="CF254" t="e">
        <v>#VALUE!</v>
      </c>
      <c r="CG254" t="e">
        <v>#VALUE!</v>
      </c>
      <c r="CH254" t="e">
        <v>#VALUE!</v>
      </c>
      <c r="CI254" t="e">
        <v>#VALUE!</v>
      </c>
      <c r="CJ254" t="e">
        <v>#VALUE!</v>
      </c>
    </row>
    <row r="255" spans="1:88">
      <c r="A255" t="s">
        <v>25</v>
      </c>
      <c r="B255" t="s">
        <v>271</v>
      </c>
      <c r="C255" t="s">
        <v>271</v>
      </c>
      <c r="D255">
        <v>2814.8464867644</v>
      </c>
      <c r="E255">
        <v>2841.17573671432</v>
      </c>
      <c r="F255">
        <v>3163.18463057303</v>
      </c>
      <c r="G255">
        <v>3413.71647866079</v>
      </c>
      <c r="H255">
        <v>3643.33809797406</v>
      </c>
      <c r="I255">
        <v>3861.21595175138</v>
      </c>
      <c r="J255">
        <v>4072.55458664631</v>
      </c>
      <c r="K255">
        <v>4278.53307283856</v>
      </c>
      <c r="L255">
        <v>4481.86629329352</v>
      </c>
      <c r="M255">
        <v>4682.66878595527</v>
      </c>
      <c r="N255">
        <v>4881.29710860502</v>
      </c>
      <c r="O255">
        <v>5071.69794381098</v>
      </c>
      <c r="P255">
        <v>5251.55650918113</v>
      </c>
      <c r="Q255">
        <v>5419.50279139947</v>
      </c>
      <c r="R255">
        <v>5576.0420251791</v>
      </c>
      <c r="S255">
        <v>5721.92135579255</v>
      </c>
      <c r="T255">
        <v>5857.63570927868</v>
      </c>
      <c r="U255">
        <v>5982.24219590866</v>
      </c>
      <c r="V255">
        <v>5</v>
      </c>
      <c r="AF255" s="99" t="s">
        <v>272</v>
      </c>
      <c r="AH255">
        <v>1</v>
      </c>
      <c r="AI255">
        <v>1.01172788980591</v>
      </c>
      <c r="AJ255">
        <v>1.15773078809578</v>
      </c>
      <c r="AK255">
        <v>1.27632693451747</v>
      </c>
      <c r="AL255">
        <v>1.38914444804718</v>
      </c>
      <c r="AM255">
        <v>1.5000891332334</v>
      </c>
      <c r="AN255">
        <v>1.611556767737</v>
      </c>
      <c r="AO255">
        <v>1.72407631178702</v>
      </c>
      <c r="AP255">
        <v>1.83912215615181</v>
      </c>
      <c r="AQ255">
        <v>1.9568346985545</v>
      </c>
      <c r="AR255">
        <v>2.07756858278502</v>
      </c>
      <c r="AS255">
        <v>2.19762495139749</v>
      </c>
      <c r="AT255">
        <v>2.315262357404</v>
      </c>
      <c r="AU255">
        <v>2.42917428621282</v>
      </c>
      <c r="AV255">
        <v>2.53923751413423</v>
      </c>
      <c r="AW255">
        <v>2.64552717756439</v>
      </c>
      <c r="AX255">
        <v>2.74797200426466</v>
      </c>
      <c r="AY255">
        <v>2.84539900775305</v>
      </c>
      <c r="AZ255">
        <v>0</v>
      </c>
      <c r="BA255">
        <v>0</v>
      </c>
      <c r="BB255">
        <v>0</v>
      </c>
      <c r="BC255">
        <v>0</v>
      </c>
      <c r="BD255">
        <v>0</v>
      </c>
      <c r="BE255">
        <v>0</v>
      </c>
      <c r="BF255">
        <v>0</v>
      </c>
      <c r="BG255">
        <v>0</v>
      </c>
      <c r="BI255" t="s">
        <v>287</v>
      </c>
      <c r="BK255">
        <v>0.8</v>
      </c>
      <c r="BL255">
        <v>0.797560975609756</v>
      </c>
      <c r="BM255">
        <v>0.785365853658536</v>
      </c>
      <c r="BN255">
        <v>0.773170731707317</v>
      </c>
      <c r="BO255">
        <v>0.760975609756097</v>
      </c>
      <c r="BP255">
        <v>0.748780487804878</v>
      </c>
      <c r="BQ255">
        <v>0.736585365853658</v>
      </c>
      <c r="BR255">
        <v>0.724390243902439</v>
      </c>
      <c r="BS255">
        <v>0.71219512195122</v>
      </c>
      <c r="BT255">
        <v>0.699999999999999</v>
      </c>
      <c r="BU255">
        <v>0.687499999999999</v>
      </c>
      <c r="BV255">
        <v>0.675</v>
      </c>
      <c r="BW255">
        <v>0.6625</v>
      </c>
      <c r="BX255">
        <v>0.649999999999999</v>
      </c>
      <c r="BY255">
        <v>0.637499999999999</v>
      </c>
      <c r="BZ255">
        <v>0.625</v>
      </c>
      <c r="CA255">
        <v>0.6125</v>
      </c>
      <c r="CB255">
        <v>0.6</v>
      </c>
      <c r="CC255" t="e">
        <v>#VALUE!</v>
      </c>
      <c r="CD255" t="e">
        <v>#VALUE!</v>
      </c>
      <c r="CE255" t="e">
        <v>#VALUE!</v>
      </c>
      <c r="CF255" t="e">
        <v>#VALUE!</v>
      </c>
      <c r="CG255" t="e">
        <v>#VALUE!</v>
      </c>
      <c r="CH255" t="e">
        <v>#VALUE!</v>
      </c>
      <c r="CI255" t="e">
        <v>#VALUE!</v>
      </c>
      <c r="CJ255" t="e">
        <v>#VALUE!</v>
      </c>
    </row>
    <row r="256" spans="1:88">
      <c r="A256" t="s">
        <v>25</v>
      </c>
      <c r="B256" t="s">
        <v>274</v>
      </c>
      <c r="C256" t="s">
        <v>274</v>
      </c>
      <c r="D256">
        <v>1284.8589878796</v>
      </c>
      <c r="E256">
        <v>1296.87718269106</v>
      </c>
      <c r="F256">
        <v>1443.86069436637</v>
      </c>
      <c r="G256">
        <v>1558.21794200997</v>
      </c>
      <c r="H256">
        <v>1663.03055000596</v>
      </c>
      <c r="I256">
        <v>1762.48262314814</v>
      </c>
      <c r="J256">
        <v>1858.94981800504</v>
      </c>
      <c r="K256">
        <v>1952.97033050487</v>
      </c>
      <c r="L256">
        <v>2045.78339049393</v>
      </c>
      <c r="M256">
        <v>2137.44127972456</v>
      </c>
      <c r="N256">
        <v>2228.10675182188</v>
      </c>
      <c r="O256">
        <v>2315.01672206874</v>
      </c>
      <c r="P256">
        <v>2397.11458969654</v>
      </c>
      <c r="Q256">
        <v>2473.77500126919</v>
      </c>
      <c r="R256">
        <v>2545.22857517572</v>
      </c>
      <c r="S256">
        <v>2611.81635179724</v>
      </c>
      <c r="T256">
        <v>2673.76424404673</v>
      </c>
      <c r="U256">
        <v>2730.6418624346</v>
      </c>
      <c r="V256">
        <v>5</v>
      </c>
      <c r="AF256" s="99" t="s">
        <v>272</v>
      </c>
      <c r="AH256">
        <v>1</v>
      </c>
      <c r="AI256">
        <v>1.01172788980591</v>
      </c>
      <c r="AJ256">
        <v>1.15773078809578</v>
      </c>
      <c r="AK256">
        <v>1.27632693451747</v>
      </c>
      <c r="AL256">
        <v>1.38914444804718</v>
      </c>
      <c r="AM256">
        <v>1.5000891332334</v>
      </c>
      <c r="AN256">
        <v>1.611556767737</v>
      </c>
      <c r="AO256">
        <v>1.72407631178702</v>
      </c>
      <c r="AP256">
        <v>1.83912215615181</v>
      </c>
      <c r="AQ256">
        <v>1.9568346985545</v>
      </c>
      <c r="AR256">
        <v>2.07756858278502</v>
      </c>
      <c r="AS256">
        <v>2.19762495139749</v>
      </c>
      <c r="AT256">
        <v>2.315262357404</v>
      </c>
      <c r="AU256">
        <v>2.42917428621282</v>
      </c>
      <c r="AV256">
        <v>2.53923751413423</v>
      </c>
      <c r="AW256">
        <v>2.64552717756439</v>
      </c>
      <c r="AX256">
        <v>2.74797200426466</v>
      </c>
      <c r="AY256">
        <v>2.84539900775305</v>
      </c>
      <c r="AZ256">
        <v>0</v>
      </c>
      <c r="BA256">
        <v>0</v>
      </c>
      <c r="BB256">
        <v>0</v>
      </c>
      <c r="BC256">
        <v>0</v>
      </c>
      <c r="BD256">
        <v>0</v>
      </c>
      <c r="BE256">
        <v>0</v>
      </c>
      <c r="BF256">
        <v>0</v>
      </c>
      <c r="BG256">
        <v>0</v>
      </c>
      <c r="BI256" t="s">
        <v>287</v>
      </c>
      <c r="BK256">
        <v>0.8</v>
      </c>
      <c r="BL256">
        <v>0.797560975609756</v>
      </c>
      <c r="BM256">
        <v>0.785365853658536</v>
      </c>
      <c r="BN256">
        <v>0.773170731707317</v>
      </c>
      <c r="BO256">
        <v>0.760975609756097</v>
      </c>
      <c r="BP256">
        <v>0.748780487804878</v>
      </c>
      <c r="BQ256">
        <v>0.736585365853658</v>
      </c>
      <c r="BR256">
        <v>0.724390243902439</v>
      </c>
      <c r="BS256">
        <v>0.71219512195122</v>
      </c>
      <c r="BT256">
        <v>0.699999999999999</v>
      </c>
      <c r="BU256">
        <v>0.687499999999999</v>
      </c>
      <c r="BV256">
        <v>0.675</v>
      </c>
      <c r="BW256">
        <v>0.6625</v>
      </c>
      <c r="BX256">
        <v>0.649999999999999</v>
      </c>
      <c r="BY256">
        <v>0.637499999999999</v>
      </c>
      <c r="BZ256">
        <v>0.625</v>
      </c>
      <c r="CA256">
        <v>0.6125</v>
      </c>
      <c r="CB256">
        <v>0.6</v>
      </c>
      <c r="CC256" t="e">
        <v>#VALUE!</v>
      </c>
      <c r="CD256" t="e">
        <v>#VALUE!</v>
      </c>
      <c r="CE256" t="e">
        <v>#VALUE!</v>
      </c>
      <c r="CF256" t="e">
        <v>#VALUE!</v>
      </c>
      <c r="CG256" t="e">
        <v>#VALUE!</v>
      </c>
      <c r="CH256" t="e">
        <v>#VALUE!</v>
      </c>
      <c r="CI256" t="e">
        <v>#VALUE!</v>
      </c>
      <c r="CJ256" t="e">
        <v>#VALUE!</v>
      </c>
    </row>
    <row r="257" spans="1:88">
      <c r="A257" t="s">
        <v>25</v>
      </c>
      <c r="B257" t="s">
        <v>275</v>
      </c>
      <c r="C257" t="s">
        <v>275</v>
      </c>
      <c r="D257">
        <v>673.277877332894</v>
      </c>
      <c r="E257">
        <v>679.575521485568</v>
      </c>
      <c r="F257">
        <v>756.596227786577</v>
      </c>
      <c r="G257">
        <v>816.520472919641</v>
      </c>
      <c r="H257">
        <v>871.443239460521</v>
      </c>
      <c r="I257">
        <v>923.557036642287</v>
      </c>
      <c r="J257">
        <v>974.106730264849</v>
      </c>
      <c r="K257">
        <v>1023.3743399238</v>
      </c>
      <c r="L257">
        <v>1072.00923340835</v>
      </c>
      <c r="M257">
        <v>1120.0388068356</v>
      </c>
      <c r="N257">
        <v>1167.54834459569</v>
      </c>
      <c r="O257">
        <v>1213.0899649905</v>
      </c>
      <c r="P257">
        <v>1256.10999954015</v>
      </c>
      <c r="Q257">
        <v>1296.28075731667</v>
      </c>
      <c r="R257">
        <v>1333.7230844681</v>
      </c>
      <c r="S257">
        <v>1368.61568927763</v>
      </c>
      <c r="T257">
        <v>1401.07695218073</v>
      </c>
      <c r="U257">
        <v>1430.88134514306</v>
      </c>
      <c r="V257">
        <v>5</v>
      </c>
      <c r="AF257" s="99" t="s">
        <v>272</v>
      </c>
      <c r="AH257">
        <v>1</v>
      </c>
      <c r="AI257">
        <v>1.01172788980591</v>
      </c>
      <c r="AJ257">
        <v>1.15773078809578</v>
      </c>
      <c r="AK257">
        <v>1.27632693451747</v>
      </c>
      <c r="AL257">
        <v>1.38914444804718</v>
      </c>
      <c r="AM257">
        <v>1.5000891332334</v>
      </c>
      <c r="AN257">
        <v>1.611556767737</v>
      </c>
      <c r="AO257">
        <v>1.72407631178702</v>
      </c>
      <c r="AP257">
        <v>1.83912215615181</v>
      </c>
      <c r="AQ257">
        <v>1.9568346985545</v>
      </c>
      <c r="AR257">
        <v>2.07756858278502</v>
      </c>
      <c r="AS257">
        <v>2.19762495139749</v>
      </c>
      <c r="AT257">
        <v>2.315262357404</v>
      </c>
      <c r="AU257">
        <v>2.42917428621282</v>
      </c>
      <c r="AV257">
        <v>2.53923751413423</v>
      </c>
      <c r="AW257">
        <v>2.64552717756439</v>
      </c>
      <c r="AX257">
        <v>2.74797200426466</v>
      </c>
      <c r="AY257">
        <v>2.84539900775305</v>
      </c>
      <c r="AZ257">
        <v>0</v>
      </c>
      <c r="BA257">
        <v>0</v>
      </c>
      <c r="BB257">
        <v>0</v>
      </c>
      <c r="BC257">
        <v>0</v>
      </c>
      <c r="BD257">
        <v>0</v>
      </c>
      <c r="BE257">
        <v>0</v>
      </c>
      <c r="BF257">
        <v>0</v>
      </c>
      <c r="BG257">
        <v>0</v>
      </c>
      <c r="BI257" t="s">
        <v>287</v>
      </c>
      <c r="BK257">
        <v>0.8</v>
      </c>
      <c r="BL257">
        <v>0.797560975609756</v>
      </c>
      <c r="BM257">
        <v>0.785365853658536</v>
      </c>
      <c r="BN257">
        <v>0.773170731707317</v>
      </c>
      <c r="BO257">
        <v>0.760975609756097</v>
      </c>
      <c r="BP257">
        <v>0.748780487804878</v>
      </c>
      <c r="BQ257">
        <v>0.736585365853658</v>
      </c>
      <c r="BR257">
        <v>0.724390243902439</v>
      </c>
      <c r="BS257">
        <v>0.71219512195122</v>
      </c>
      <c r="BT257">
        <v>0.699999999999999</v>
      </c>
      <c r="BU257">
        <v>0.687499999999999</v>
      </c>
      <c r="BV257">
        <v>0.675</v>
      </c>
      <c r="BW257">
        <v>0.6625</v>
      </c>
      <c r="BX257">
        <v>0.649999999999999</v>
      </c>
      <c r="BY257">
        <v>0.637499999999999</v>
      </c>
      <c r="BZ257">
        <v>0.625</v>
      </c>
      <c r="CA257">
        <v>0.6125</v>
      </c>
      <c r="CB257">
        <v>0.6</v>
      </c>
      <c r="CC257" t="e">
        <v>#VALUE!</v>
      </c>
      <c r="CD257" t="e">
        <v>#VALUE!</v>
      </c>
      <c r="CE257" t="e">
        <v>#VALUE!</v>
      </c>
      <c r="CF257" t="e">
        <v>#VALUE!</v>
      </c>
      <c r="CG257" t="e">
        <v>#VALUE!</v>
      </c>
      <c r="CH257" t="e">
        <v>#VALUE!</v>
      </c>
      <c r="CI257" t="e">
        <v>#VALUE!</v>
      </c>
      <c r="CJ257" t="e">
        <v>#VALUE!</v>
      </c>
    </row>
    <row r="258" spans="1:88">
      <c r="A258" t="s">
        <v>25</v>
      </c>
      <c r="B258" t="s">
        <v>276</v>
      </c>
      <c r="C258" t="s">
        <v>276</v>
      </c>
      <c r="D258">
        <v>58.2017690287064</v>
      </c>
      <c r="E258">
        <v>58.4320094976446</v>
      </c>
      <c r="F258">
        <v>59.5644767332253</v>
      </c>
      <c r="G258">
        <v>60.7994778856581</v>
      </c>
      <c r="H258">
        <v>61.9365902820291</v>
      </c>
      <c r="I258">
        <v>62.9423237956776</v>
      </c>
      <c r="J258">
        <v>63.8056515635903</v>
      </c>
      <c r="K258">
        <v>64.5538136248101</v>
      </c>
      <c r="L258">
        <v>65.1567436387487</v>
      </c>
      <c r="M258">
        <v>65.6816640103604</v>
      </c>
      <c r="N258">
        <v>66.1401115716871</v>
      </c>
      <c r="O258">
        <v>66.5348114379453</v>
      </c>
      <c r="P258">
        <v>66.8397008561384</v>
      </c>
      <c r="Q258">
        <v>67.0226545801287</v>
      </c>
      <c r="R258">
        <v>67.0765044652599</v>
      </c>
      <c r="S258">
        <v>67.0187194560157</v>
      </c>
      <c r="T258">
        <v>66.8861855649943</v>
      </c>
      <c r="U258">
        <v>66.6913174585817</v>
      </c>
      <c r="V258">
        <v>5</v>
      </c>
      <c r="AF258" s="99" t="s">
        <v>277</v>
      </c>
      <c r="AH258">
        <v>1</v>
      </c>
      <c r="AI258">
        <v>1.00495999889878</v>
      </c>
      <c r="AJ258">
        <v>1.02975999339271</v>
      </c>
      <c r="AK258">
        <v>1.05737471324628</v>
      </c>
      <c r="AL258">
        <v>1.08336204718507</v>
      </c>
      <c r="AM258">
        <v>1.10685592617762</v>
      </c>
      <c r="AN258">
        <v>1.1274670154964</v>
      </c>
      <c r="AO258">
        <v>1.14571722214685</v>
      </c>
      <c r="AP258">
        <v>1.16074253232549</v>
      </c>
      <c r="AQ258">
        <v>1.17410146972096</v>
      </c>
      <c r="AR258">
        <v>1.18602152993378</v>
      </c>
      <c r="AS258">
        <v>1.1965070712562</v>
      </c>
      <c r="AT258">
        <v>1.20478311558372</v>
      </c>
      <c r="AU258">
        <v>1.20985655258813</v>
      </c>
      <c r="AV258">
        <v>1.21138136650841</v>
      </c>
      <c r="AW258">
        <v>1.20971163886783</v>
      </c>
      <c r="AX258">
        <v>1.20580586955285</v>
      </c>
      <c r="AY258">
        <v>1.19995082129647</v>
      </c>
      <c r="AZ258">
        <v>0</v>
      </c>
      <c r="BA258">
        <v>0</v>
      </c>
      <c r="BB258">
        <v>0</v>
      </c>
      <c r="BC258">
        <v>0</v>
      </c>
      <c r="BD258">
        <v>0</v>
      </c>
      <c r="BE258">
        <v>0</v>
      </c>
      <c r="BF258">
        <v>0</v>
      </c>
      <c r="BG258">
        <v>0</v>
      </c>
      <c r="BI258" t="s">
        <v>287</v>
      </c>
      <c r="BK258">
        <v>0.8</v>
      </c>
      <c r="BL258">
        <v>0.797560975609756</v>
      </c>
      <c r="BM258">
        <v>0.785365853658536</v>
      </c>
      <c r="BN258">
        <v>0.773170731707317</v>
      </c>
      <c r="BO258">
        <v>0.760975609756097</v>
      </c>
      <c r="BP258">
        <v>0.748780487804878</v>
      </c>
      <c r="BQ258">
        <v>0.736585365853658</v>
      </c>
      <c r="BR258">
        <v>0.724390243902439</v>
      </c>
      <c r="BS258">
        <v>0.71219512195122</v>
      </c>
      <c r="BT258">
        <v>0.699999999999999</v>
      </c>
      <c r="BU258">
        <v>0.687499999999999</v>
      </c>
      <c r="BV258">
        <v>0.675</v>
      </c>
      <c r="BW258">
        <v>0.6625</v>
      </c>
      <c r="BX258">
        <v>0.649999999999999</v>
      </c>
      <c r="BY258">
        <v>0.637499999999999</v>
      </c>
      <c r="BZ258">
        <v>0.625</v>
      </c>
      <c r="CA258">
        <v>0.6125</v>
      </c>
      <c r="CB258">
        <v>0.6</v>
      </c>
      <c r="CC258" t="e">
        <v>#VALUE!</v>
      </c>
      <c r="CD258" t="e">
        <v>#VALUE!</v>
      </c>
      <c r="CE258" t="e">
        <v>#VALUE!</v>
      </c>
      <c r="CF258" t="e">
        <v>#VALUE!</v>
      </c>
      <c r="CG258" t="e">
        <v>#VALUE!</v>
      </c>
      <c r="CH258" t="e">
        <v>#VALUE!</v>
      </c>
      <c r="CI258" t="e">
        <v>#VALUE!</v>
      </c>
      <c r="CJ258" t="e">
        <v>#VALUE!</v>
      </c>
    </row>
    <row r="259" spans="1:88">
      <c r="A259" t="s">
        <v>25</v>
      </c>
      <c r="B259" t="s">
        <v>278</v>
      </c>
      <c r="C259" t="s">
        <v>278</v>
      </c>
      <c r="D259">
        <v>445.680296388</v>
      </c>
      <c r="E259">
        <v>449.84905940102</v>
      </c>
      <c r="F259">
        <v>500.833374151161</v>
      </c>
      <c r="G259">
        <v>540.500584720335</v>
      </c>
      <c r="H259">
        <v>576.857036780449</v>
      </c>
      <c r="I259">
        <v>611.354074862081</v>
      </c>
      <c r="J259">
        <v>644.815745287482</v>
      </c>
      <c r="K259">
        <v>677.428732605748</v>
      </c>
      <c r="L259">
        <v>709.622889688204</v>
      </c>
      <c r="M259">
        <v>741.416351557526</v>
      </c>
      <c r="N259">
        <v>772.865572723171</v>
      </c>
      <c r="O259">
        <v>803.012119281259</v>
      </c>
      <c r="P259">
        <v>831.48948708764</v>
      </c>
      <c r="Q259">
        <v>858.080759183039</v>
      </c>
      <c r="R259">
        <v>882.865930394083</v>
      </c>
      <c r="S259">
        <v>905.963297732014</v>
      </c>
      <c r="T259">
        <v>927.451223830367</v>
      </c>
      <c r="U259">
        <v>947.180419065079</v>
      </c>
      <c r="V259">
        <v>5</v>
      </c>
      <c r="AF259" s="99" t="s">
        <v>272</v>
      </c>
      <c r="AH259">
        <v>1</v>
      </c>
      <c r="AI259">
        <v>1.01172788980591</v>
      </c>
      <c r="AJ259">
        <v>1.15773078809578</v>
      </c>
      <c r="AK259">
        <v>1.27632693451747</v>
      </c>
      <c r="AL259">
        <v>1.38914444804718</v>
      </c>
      <c r="AM259">
        <v>1.5000891332334</v>
      </c>
      <c r="AN259">
        <v>1.611556767737</v>
      </c>
      <c r="AO259">
        <v>1.72407631178702</v>
      </c>
      <c r="AP259">
        <v>1.83912215615181</v>
      </c>
      <c r="AQ259">
        <v>1.9568346985545</v>
      </c>
      <c r="AR259">
        <v>2.07756858278502</v>
      </c>
      <c r="AS259">
        <v>2.19762495139749</v>
      </c>
      <c r="AT259">
        <v>2.315262357404</v>
      </c>
      <c r="AU259">
        <v>2.42917428621282</v>
      </c>
      <c r="AV259">
        <v>2.53923751413423</v>
      </c>
      <c r="AW259">
        <v>2.64552717756439</v>
      </c>
      <c r="AX259">
        <v>2.74797200426466</v>
      </c>
      <c r="AY259">
        <v>2.84539900775305</v>
      </c>
      <c r="AZ259">
        <v>0</v>
      </c>
      <c r="BA259">
        <v>0</v>
      </c>
      <c r="BB259">
        <v>0</v>
      </c>
      <c r="BC259">
        <v>0</v>
      </c>
      <c r="BD259">
        <v>0</v>
      </c>
      <c r="BE259">
        <v>0</v>
      </c>
      <c r="BF259">
        <v>0</v>
      </c>
      <c r="BG259">
        <v>0</v>
      </c>
      <c r="BI259" t="s">
        <v>287</v>
      </c>
      <c r="BK259">
        <v>0.8</v>
      </c>
      <c r="BL259">
        <v>0.797560975609756</v>
      </c>
      <c r="BM259">
        <v>0.785365853658536</v>
      </c>
      <c r="BN259">
        <v>0.773170731707317</v>
      </c>
      <c r="BO259">
        <v>0.760975609756097</v>
      </c>
      <c r="BP259">
        <v>0.748780487804878</v>
      </c>
      <c r="BQ259">
        <v>0.736585365853658</v>
      </c>
      <c r="BR259">
        <v>0.724390243902439</v>
      </c>
      <c r="BS259">
        <v>0.71219512195122</v>
      </c>
      <c r="BT259">
        <v>0.699999999999999</v>
      </c>
      <c r="BU259">
        <v>0.687499999999999</v>
      </c>
      <c r="BV259">
        <v>0.675</v>
      </c>
      <c r="BW259">
        <v>0.6625</v>
      </c>
      <c r="BX259">
        <v>0.649999999999999</v>
      </c>
      <c r="BY259">
        <v>0.637499999999999</v>
      </c>
      <c r="BZ259">
        <v>0.625</v>
      </c>
      <c r="CA259">
        <v>0.6125</v>
      </c>
      <c r="CB259">
        <v>0.6</v>
      </c>
      <c r="CC259" t="e">
        <v>#VALUE!</v>
      </c>
      <c r="CD259" t="e">
        <v>#VALUE!</v>
      </c>
      <c r="CE259" t="e">
        <v>#VALUE!</v>
      </c>
      <c r="CF259" t="e">
        <v>#VALUE!</v>
      </c>
      <c r="CG259" t="e">
        <v>#VALUE!</v>
      </c>
      <c r="CH259" t="e">
        <v>#VALUE!</v>
      </c>
      <c r="CI259" t="e">
        <v>#VALUE!</v>
      </c>
      <c r="CJ259" t="e">
        <v>#VALUE!</v>
      </c>
    </row>
    <row r="260" spans="1:88">
      <c r="A260" t="s">
        <v>25</v>
      </c>
      <c r="B260" t="s">
        <v>279</v>
      </c>
      <c r="C260" t="s">
        <v>279</v>
      </c>
      <c r="D260">
        <v>1015.1062481016</v>
      </c>
      <c r="E260">
        <v>1024.60125475921</v>
      </c>
      <c r="F260">
        <v>1140.72596764755</v>
      </c>
      <c r="G260">
        <v>1231.07421418183</v>
      </c>
      <c r="H260">
        <v>1313.88169287031</v>
      </c>
      <c r="I260">
        <v>1392.45406679276</v>
      </c>
      <c r="J260">
        <v>1468.66822971633</v>
      </c>
      <c r="K260">
        <v>1542.94938476028</v>
      </c>
      <c r="L260">
        <v>1616.27658874848</v>
      </c>
      <c r="M260">
        <v>1688.69114701792</v>
      </c>
      <c r="N260">
        <v>1760.32164350139</v>
      </c>
      <c r="O260">
        <v>1828.98509579626</v>
      </c>
      <c r="P260">
        <v>1893.84673366544</v>
      </c>
      <c r="Q260">
        <v>1954.41249496961</v>
      </c>
      <c r="R260">
        <v>2010.86458037815</v>
      </c>
      <c r="S260">
        <v>2063.47242974787</v>
      </c>
      <c r="T260">
        <v>2112.41452617431</v>
      </c>
      <c r="U260">
        <v>2157.35083930074</v>
      </c>
      <c r="V260">
        <v>5</v>
      </c>
      <c r="AF260" s="99" t="s">
        <v>272</v>
      </c>
      <c r="AH260">
        <v>1</v>
      </c>
      <c r="AI260">
        <v>1.01172788980591</v>
      </c>
      <c r="AJ260">
        <v>1.15773078809578</v>
      </c>
      <c r="AK260">
        <v>1.27632693451747</v>
      </c>
      <c r="AL260">
        <v>1.38914444804718</v>
      </c>
      <c r="AM260">
        <v>1.5000891332334</v>
      </c>
      <c r="AN260">
        <v>1.611556767737</v>
      </c>
      <c r="AO260">
        <v>1.72407631178702</v>
      </c>
      <c r="AP260">
        <v>1.83912215615181</v>
      </c>
      <c r="AQ260">
        <v>1.9568346985545</v>
      </c>
      <c r="AR260">
        <v>2.07756858278502</v>
      </c>
      <c r="AS260">
        <v>2.19762495139749</v>
      </c>
      <c r="AT260">
        <v>2.315262357404</v>
      </c>
      <c r="AU260">
        <v>2.42917428621282</v>
      </c>
      <c r="AV260">
        <v>2.53923751413423</v>
      </c>
      <c r="AW260">
        <v>2.64552717756439</v>
      </c>
      <c r="AX260">
        <v>2.74797200426466</v>
      </c>
      <c r="AY260">
        <v>2.84539900775305</v>
      </c>
      <c r="AZ260">
        <v>0</v>
      </c>
      <c r="BA260">
        <v>0</v>
      </c>
      <c r="BB260">
        <v>0</v>
      </c>
      <c r="BC260">
        <v>0</v>
      </c>
      <c r="BD260">
        <v>0</v>
      </c>
      <c r="BE260">
        <v>0</v>
      </c>
      <c r="BF260">
        <v>0</v>
      </c>
      <c r="BG260">
        <v>0</v>
      </c>
      <c r="BI260" t="s">
        <v>287</v>
      </c>
      <c r="BK260">
        <v>0.8</v>
      </c>
      <c r="BL260">
        <v>0.797560975609756</v>
      </c>
      <c r="BM260">
        <v>0.785365853658536</v>
      </c>
      <c r="BN260">
        <v>0.773170731707317</v>
      </c>
      <c r="BO260">
        <v>0.760975609756097</v>
      </c>
      <c r="BP260">
        <v>0.748780487804878</v>
      </c>
      <c r="BQ260">
        <v>0.736585365853658</v>
      </c>
      <c r="BR260">
        <v>0.724390243902439</v>
      </c>
      <c r="BS260">
        <v>0.71219512195122</v>
      </c>
      <c r="BT260">
        <v>0.699999999999999</v>
      </c>
      <c r="BU260">
        <v>0.687499999999999</v>
      </c>
      <c r="BV260">
        <v>0.675</v>
      </c>
      <c r="BW260">
        <v>0.6625</v>
      </c>
      <c r="BX260">
        <v>0.649999999999999</v>
      </c>
      <c r="BY260">
        <v>0.637499999999999</v>
      </c>
      <c r="BZ260">
        <v>0.625</v>
      </c>
      <c r="CA260">
        <v>0.6125</v>
      </c>
      <c r="CB260">
        <v>0.6</v>
      </c>
      <c r="CC260" t="e">
        <v>#VALUE!</v>
      </c>
      <c r="CD260" t="e">
        <v>#VALUE!</v>
      </c>
      <c r="CE260" t="e">
        <v>#VALUE!</v>
      </c>
      <c r="CF260" t="e">
        <v>#VALUE!</v>
      </c>
      <c r="CG260" t="e">
        <v>#VALUE!</v>
      </c>
      <c r="CH260" t="e">
        <v>#VALUE!</v>
      </c>
      <c r="CI260" t="e">
        <v>#VALUE!</v>
      </c>
      <c r="CJ260" t="e">
        <v>#VALUE!</v>
      </c>
    </row>
    <row r="261" spans="1:88">
      <c r="A261" t="s">
        <v>25</v>
      </c>
      <c r="B261" t="s">
        <v>280</v>
      </c>
      <c r="C261" t="s">
        <v>280</v>
      </c>
      <c r="D261">
        <v>14.532</v>
      </c>
      <c r="E261">
        <v>14.5894871614806</v>
      </c>
      <c r="F261">
        <v>14.8722451281558</v>
      </c>
      <c r="G261">
        <v>15.1806040843639</v>
      </c>
      <c r="H261">
        <v>15.4645218693356</v>
      </c>
      <c r="I261">
        <v>15.7156365633431</v>
      </c>
      <c r="J261">
        <v>15.9311949446892</v>
      </c>
      <c r="K261">
        <v>16.1179983916477</v>
      </c>
      <c r="L261">
        <v>16.2685398461219</v>
      </c>
      <c r="M261">
        <v>16.3996036087457</v>
      </c>
      <c r="N261">
        <v>16.5140702318807</v>
      </c>
      <c r="O261">
        <v>16.6126201308303</v>
      </c>
      <c r="P261">
        <v>16.6887458757882</v>
      </c>
      <c r="Q261">
        <v>16.7344263346711</v>
      </c>
      <c r="R261">
        <v>16.7478717426679</v>
      </c>
      <c r="S261">
        <v>16.7334438005564</v>
      </c>
      <c r="T261">
        <v>16.7003523235022</v>
      </c>
      <c r="U261">
        <v>16.651697044296</v>
      </c>
      <c r="V261">
        <v>5</v>
      </c>
      <c r="AF261" s="99" t="s">
        <v>277</v>
      </c>
      <c r="AH261">
        <v>1</v>
      </c>
      <c r="AI261">
        <v>1.00495999889878</v>
      </c>
      <c r="AJ261">
        <v>1.02975999339271</v>
      </c>
      <c r="AK261">
        <v>1.05737471324628</v>
      </c>
      <c r="AL261">
        <v>1.08336204718507</v>
      </c>
      <c r="AM261">
        <v>1.10685592617762</v>
      </c>
      <c r="AN261">
        <v>1.1274670154964</v>
      </c>
      <c r="AO261">
        <v>1.14571722214685</v>
      </c>
      <c r="AP261">
        <v>1.16074253232549</v>
      </c>
      <c r="AQ261">
        <v>1.17410146972096</v>
      </c>
      <c r="AR261">
        <v>1.18602152993378</v>
      </c>
      <c r="AS261">
        <v>1.1965070712562</v>
      </c>
      <c r="AT261">
        <v>1.20478311558372</v>
      </c>
      <c r="AU261">
        <v>1.20985655258813</v>
      </c>
      <c r="AV261">
        <v>1.21138136650841</v>
      </c>
      <c r="AW261">
        <v>1.20971163886783</v>
      </c>
      <c r="AX261">
        <v>1.20580586955285</v>
      </c>
      <c r="AY261">
        <v>1.19995082129647</v>
      </c>
      <c r="AZ261">
        <v>0</v>
      </c>
      <c r="BA261">
        <v>0</v>
      </c>
      <c r="BB261">
        <v>0</v>
      </c>
      <c r="BC261">
        <v>0</v>
      </c>
      <c r="BD261">
        <v>0</v>
      </c>
      <c r="BE261">
        <v>0</v>
      </c>
      <c r="BF261">
        <v>0</v>
      </c>
      <c r="BG261">
        <v>0</v>
      </c>
      <c r="BI261" t="s">
        <v>287</v>
      </c>
      <c r="BK261">
        <v>0.8</v>
      </c>
      <c r="BL261">
        <v>0.797560975609756</v>
      </c>
      <c r="BM261">
        <v>0.785365853658536</v>
      </c>
      <c r="BN261">
        <v>0.773170731707317</v>
      </c>
      <c r="BO261">
        <v>0.760975609756097</v>
      </c>
      <c r="BP261">
        <v>0.748780487804878</v>
      </c>
      <c r="BQ261">
        <v>0.736585365853658</v>
      </c>
      <c r="BR261">
        <v>0.724390243902439</v>
      </c>
      <c r="BS261">
        <v>0.71219512195122</v>
      </c>
      <c r="BT261">
        <v>0.699999999999999</v>
      </c>
      <c r="BU261">
        <v>0.687499999999999</v>
      </c>
      <c r="BV261">
        <v>0.675</v>
      </c>
      <c r="BW261">
        <v>0.6625</v>
      </c>
      <c r="BX261">
        <v>0.649999999999999</v>
      </c>
      <c r="BY261">
        <v>0.637499999999999</v>
      </c>
      <c r="BZ261">
        <v>0.625</v>
      </c>
      <c r="CA261">
        <v>0.6125</v>
      </c>
      <c r="CB261">
        <v>0.6</v>
      </c>
      <c r="CC261" t="e">
        <v>#VALUE!</v>
      </c>
      <c r="CD261" t="e">
        <v>#VALUE!</v>
      </c>
      <c r="CE261" t="e">
        <v>#VALUE!</v>
      </c>
      <c r="CF261" t="e">
        <v>#VALUE!</v>
      </c>
      <c r="CG261" t="e">
        <v>#VALUE!</v>
      </c>
      <c r="CH261" t="e">
        <v>#VALUE!</v>
      </c>
      <c r="CI261" t="e">
        <v>#VALUE!</v>
      </c>
      <c r="CJ261" t="e">
        <v>#VALUE!</v>
      </c>
    </row>
    <row r="262" spans="1:88">
      <c r="A262" t="s">
        <v>25</v>
      </c>
      <c r="B262" t="s">
        <v>281</v>
      </c>
      <c r="C262" t="s">
        <v>281</v>
      </c>
      <c r="D262">
        <v>8.61</v>
      </c>
      <c r="E262">
        <v>8.64406031243792</v>
      </c>
      <c r="F262">
        <v>8.81159032159523</v>
      </c>
      <c r="G262">
        <v>8.99428854709421</v>
      </c>
      <c r="H262">
        <v>9.16250573183176</v>
      </c>
      <c r="I262">
        <v>9.31128755920615</v>
      </c>
      <c r="J262">
        <v>9.43900278514821</v>
      </c>
      <c r="K262">
        <v>9.54968112799935</v>
      </c>
      <c r="L262">
        <v>9.6388747643208</v>
      </c>
      <c r="M262">
        <v>9.71652814969038</v>
      </c>
      <c r="N262">
        <v>9.78434796975592</v>
      </c>
      <c r="O262">
        <v>9.84273736075204</v>
      </c>
      <c r="P262">
        <v>9.88784076455661</v>
      </c>
      <c r="Q262">
        <v>9.91490577632248</v>
      </c>
      <c r="R262">
        <v>9.92287198626279</v>
      </c>
      <c r="S262">
        <v>9.91432363905796</v>
      </c>
      <c r="T262">
        <v>9.89471741710392</v>
      </c>
      <c r="U262">
        <v>9.8658898672852</v>
      </c>
      <c r="V262">
        <v>5</v>
      </c>
      <c r="AF262" s="99" t="s">
        <v>277</v>
      </c>
      <c r="AH262">
        <v>1</v>
      </c>
      <c r="AI262">
        <v>1.00495999889878</v>
      </c>
      <c r="AJ262">
        <v>1.02975999339271</v>
      </c>
      <c r="AK262">
        <v>1.05737471324628</v>
      </c>
      <c r="AL262">
        <v>1.08336204718507</v>
      </c>
      <c r="AM262">
        <v>1.10685592617762</v>
      </c>
      <c r="AN262">
        <v>1.1274670154964</v>
      </c>
      <c r="AO262">
        <v>1.14571722214685</v>
      </c>
      <c r="AP262">
        <v>1.16074253232549</v>
      </c>
      <c r="AQ262">
        <v>1.17410146972096</v>
      </c>
      <c r="AR262">
        <v>1.18602152993378</v>
      </c>
      <c r="AS262">
        <v>1.1965070712562</v>
      </c>
      <c r="AT262">
        <v>1.20478311558372</v>
      </c>
      <c r="AU262">
        <v>1.20985655258813</v>
      </c>
      <c r="AV262">
        <v>1.21138136650841</v>
      </c>
      <c r="AW262">
        <v>1.20971163886783</v>
      </c>
      <c r="AX262">
        <v>1.20580586955285</v>
      </c>
      <c r="AY262">
        <v>1.19995082129647</v>
      </c>
      <c r="AZ262">
        <v>0</v>
      </c>
      <c r="BA262">
        <v>0</v>
      </c>
      <c r="BB262">
        <v>0</v>
      </c>
      <c r="BC262">
        <v>0</v>
      </c>
      <c r="BD262">
        <v>0</v>
      </c>
      <c r="BE262">
        <v>0</v>
      </c>
      <c r="BF262">
        <v>0</v>
      </c>
      <c r="BG262">
        <v>0</v>
      </c>
      <c r="BI262" t="s">
        <v>287</v>
      </c>
      <c r="BK262">
        <v>0.8</v>
      </c>
      <c r="BL262">
        <v>0.797560975609756</v>
      </c>
      <c r="BM262">
        <v>0.785365853658536</v>
      </c>
      <c r="BN262">
        <v>0.773170731707317</v>
      </c>
      <c r="BO262">
        <v>0.760975609756097</v>
      </c>
      <c r="BP262">
        <v>0.748780487804878</v>
      </c>
      <c r="BQ262">
        <v>0.736585365853658</v>
      </c>
      <c r="BR262">
        <v>0.724390243902439</v>
      </c>
      <c r="BS262">
        <v>0.71219512195122</v>
      </c>
      <c r="BT262">
        <v>0.699999999999999</v>
      </c>
      <c r="BU262">
        <v>0.687499999999999</v>
      </c>
      <c r="BV262">
        <v>0.675</v>
      </c>
      <c r="BW262">
        <v>0.6625</v>
      </c>
      <c r="BX262">
        <v>0.649999999999999</v>
      </c>
      <c r="BY262">
        <v>0.637499999999999</v>
      </c>
      <c r="BZ262">
        <v>0.625</v>
      </c>
      <c r="CA262">
        <v>0.6125</v>
      </c>
      <c r="CB262">
        <v>0.6</v>
      </c>
      <c r="CC262" t="e">
        <v>#VALUE!</v>
      </c>
      <c r="CD262" t="e">
        <v>#VALUE!</v>
      </c>
      <c r="CE262" t="e">
        <v>#VALUE!</v>
      </c>
      <c r="CF262" t="e">
        <v>#VALUE!</v>
      </c>
      <c r="CG262" t="e">
        <v>#VALUE!</v>
      </c>
      <c r="CH262" t="e">
        <v>#VALUE!</v>
      </c>
      <c r="CI262" t="e">
        <v>#VALUE!</v>
      </c>
      <c r="CJ262" t="e">
        <v>#VALUE!</v>
      </c>
    </row>
    <row r="263" spans="1:88">
      <c r="A263" t="s">
        <v>25</v>
      </c>
      <c r="B263" t="s">
        <v>282</v>
      </c>
      <c r="C263" t="s">
        <v>282</v>
      </c>
      <c r="D263">
        <v>19.775</v>
      </c>
      <c r="E263">
        <v>19.8532279533635</v>
      </c>
      <c r="F263">
        <v>20.2380021613874</v>
      </c>
      <c r="G263">
        <v>20.6576139394644</v>
      </c>
      <c r="H263">
        <v>21.0439664166055</v>
      </c>
      <c r="I263">
        <v>21.3856807762255</v>
      </c>
      <c r="J263">
        <v>21.6790104618242</v>
      </c>
      <c r="K263">
        <v>21.9332107208115</v>
      </c>
      <c r="L263">
        <v>22.1380660237449</v>
      </c>
      <c r="M263">
        <v>22.3164162787604</v>
      </c>
      <c r="N263">
        <v>22.4721813126508</v>
      </c>
      <c r="O263">
        <v>22.6062870277435</v>
      </c>
      <c r="P263">
        <v>22.7098781787581</v>
      </c>
      <c r="Q263">
        <v>22.7720396895211</v>
      </c>
      <c r="R263">
        <v>22.7903360660101</v>
      </c>
      <c r="S263">
        <v>22.7707026669421</v>
      </c>
      <c r="T263">
        <v>22.7256721165192</v>
      </c>
      <c r="U263">
        <v>22.6594625000656</v>
      </c>
      <c r="V263">
        <v>5</v>
      </c>
      <c r="AF263" s="99" t="s">
        <v>277</v>
      </c>
      <c r="AH263">
        <v>1</v>
      </c>
      <c r="AI263">
        <v>1.00495999889878</v>
      </c>
      <c r="AJ263">
        <v>1.02975999339271</v>
      </c>
      <c r="AK263">
        <v>1.05737471324628</v>
      </c>
      <c r="AL263">
        <v>1.08336204718507</v>
      </c>
      <c r="AM263">
        <v>1.10685592617762</v>
      </c>
      <c r="AN263">
        <v>1.1274670154964</v>
      </c>
      <c r="AO263">
        <v>1.14571722214685</v>
      </c>
      <c r="AP263">
        <v>1.16074253232549</v>
      </c>
      <c r="AQ263">
        <v>1.17410146972096</v>
      </c>
      <c r="AR263">
        <v>1.18602152993378</v>
      </c>
      <c r="AS263">
        <v>1.1965070712562</v>
      </c>
      <c r="AT263">
        <v>1.20478311558372</v>
      </c>
      <c r="AU263">
        <v>1.20985655258813</v>
      </c>
      <c r="AV263">
        <v>1.21138136650841</v>
      </c>
      <c r="AW263">
        <v>1.20971163886783</v>
      </c>
      <c r="AX263">
        <v>1.20580586955285</v>
      </c>
      <c r="AY263">
        <v>1.19995082129647</v>
      </c>
      <c r="AZ263">
        <v>0</v>
      </c>
      <c r="BA263">
        <v>0</v>
      </c>
      <c r="BB263">
        <v>0</v>
      </c>
      <c r="BC263">
        <v>0</v>
      </c>
      <c r="BD263">
        <v>0</v>
      </c>
      <c r="BE263">
        <v>0</v>
      </c>
      <c r="BF263">
        <v>0</v>
      </c>
      <c r="BG263">
        <v>0</v>
      </c>
      <c r="BI263" t="s">
        <v>287</v>
      </c>
      <c r="BK263">
        <v>0.8</v>
      </c>
      <c r="BL263">
        <v>0.797560975609756</v>
      </c>
      <c r="BM263">
        <v>0.785365853658536</v>
      </c>
      <c r="BN263">
        <v>0.773170731707317</v>
      </c>
      <c r="BO263">
        <v>0.760975609756097</v>
      </c>
      <c r="BP263">
        <v>0.748780487804878</v>
      </c>
      <c r="BQ263">
        <v>0.736585365853658</v>
      </c>
      <c r="BR263">
        <v>0.724390243902439</v>
      </c>
      <c r="BS263">
        <v>0.71219512195122</v>
      </c>
      <c r="BT263">
        <v>0.699999999999999</v>
      </c>
      <c r="BU263">
        <v>0.687499999999999</v>
      </c>
      <c r="BV263">
        <v>0.675</v>
      </c>
      <c r="BW263">
        <v>0.6625</v>
      </c>
      <c r="BX263">
        <v>0.649999999999999</v>
      </c>
      <c r="BY263">
        <v>0.637499999999999</v>
      </c>
      <c r="BZ263">
        <v>0.625</v>
      </c>
      <c r="CA263">
        <v>0.6125</v>
      </c>
      <c r="CB263">
        <v>0.6</v>
      </c>
      <c r="CC263" t="e">
        <v>#VALUE!</v>
      </c>
      <c r="CD263" t="e">
        <v>#VALUE!</v>
      </c>
      <c r="CE263" t="e">
        <v>#VALUE!</v>
      </c>
      <c r="CF263" t="e">
        <v>#VALUE!</v>
      </c>
      <c r="CG263" t="e">
        <v>#VALUE!</v>
      </c>
      <c r="CH263" t="e">
        <v>#VALUE!</v>
      </c>
      <c r="CI263" t="e">
        <v>#VALUE!</v>
      </c>
      <c r="CJ263" t="e">
        <v>#VALUE!</v>
      </c>
    </row>
    <row r="264" spans="1:88">
      <c r="A264" t="s">
        <v>25</v>
      </c>
      <c r="B264" t="s">
        <v>283</v>
      </c>
      <c r="C264" t="s">
        <v>283</v>
      </c>
      <c r="D264">
        <v>6991.488</v>
      </c>
      <c r="E264">
        <v>7029.04043357187</v>
      </c>
      <c r="F264">
        <v>7673.55280400293</v>
      </c>
      <c r="G264">
        <v>8110.49698055852</v>
      </c>
      <c r="H264">
        <v>8494.90905514773</v>
      </c>
      <c r="I264">
        <v>8857.12284204686</v>
      </c>
      <c r="J264">
        <v>9213.77872672289</v>
      </c>
      <c r="K264">
        <v>9566.04646068256</v>
      </c>
      <c r="L264">
        <v>9926.58897248749</v>
      </c>
      <c r="M264">
        <v>10287.2114432892</v>
      </c>
      <c r="N264">
        <v>10648.1048462169</v>
      </c>
      <c r="O264">
        <v>10996.8199755773</v>
      </c>
      <c r="P264">
        <v>11334.0776099036</v>
      </c>
      <c r="Q264">
        <v>11664.1311253528</v>
      </c>
      <c r="R264">
        <v>11991.2589448381</v>
      </c>
      <c r="S264">
        <v>12315.7494232534</v>
      </c>
      <c r="T264">
        <v>12633.2385596933</v>
      </c>
      <c r="U264">
        <v>12940.275898444</v>
      </c>
      <c r="V264">
        <v>5</v>
      </c>
      <c r="AF264" s="99" t="s">
        <v>284</v>
      </c>
      <c r="AH264">
        <v>1</v>
      </c>
      <c r="AI264">
        <v>1.00673448785478</v>
      </c>
      <c r="AJ264">
        <v>1.12427244748697</v>
      </c>
      <c r="AK264">
        <v>1.20707155044305</v>
      </c>
      <c r="AL264">
        <v>1.28225319657139</v>
      </c>
      <c r="AM264">
        <v>1.35527045368385</v>
      </c>
      <c r="AN264">
        <v>1.42936045630343</v>
      </c>
      <c r="AO264">
        <v>1.50480090415019</v>
      </c>
      <c r="AP264">
        <v>1.58443591488564</v>
      </c>
      <c r="AQ264">
        <v>1.66666574314022</v>
      </c>
      <c r="AR264">
        <v>1.75171236807229</v>
      </c>
      <c r="AS264">
        <v>1.83670034569058</v>
      </c>
      <c r="AT264">
        <v>1.92172543543843</v>
      </c>
      <c r="AU264">
        <v>2.00782008496488</v>
      </c>
      <c r="AV264">
        <v>2.09615038198345</v>
      </c>
      <c r="AW264">
        <v>2.18690726993447</v>
      </c>
      <c r="AX264">
        <v>2.27895059532568</v>
      </c>
      <c r="AY264">
        <v>2.37126301949504</v>
      </c>
      <c r="AZ264">
        <v>0</v>
      </c>
      <c r="BA264">
        <v>0</v>
      </c>
      <c r="BB264">
        <v>0</v>
      </c>
      <c r="BC264">
        <v>0</v>
      </c>
      <c r="BD264">
        <v>0</v>
      </c>
      <c r="BE264">
        <v>0</v>
      </c>
      <c r="BF264">
        <v>0</v>
      </c>
      <c r="BG264">
        <v>0</v>
      </c>
      <c r="BI264" t="s">
        <v>287</v>
      </c>
      <c r="BK264">
        <v>0.8</v>
      </c>
      <c r="BL264">
        <v>0.797560975609756</v>
      </c>
      <c r="BM264">
        <v>0.785365853658536</v>
      </c>
      <c r="BN264">
        <v>0.773170731707317</v>
      </c>
      <c r="BO264">
        <v>0.760975609756097</v>
      </c>
      <c r="BP264">
        <v>0.748780487804878</v>
      </c>
      <c r="BQ264">
        <v>0.736585365853658</v>
      </c>
      <c r="BR264">
        <v>0.724390243902439</v>
      </c>
      <c r="BS264">
        <v>0.71219512195122</v>
      </c>
      <c r="BT264">
        <v>0.699999999999999</v>
      </c>
      <c r="BU264">
        <v>0.687499999999999</v>
      </c>
      <c r="BV264">
        <v>0.675</v>
      </c>
      <c r="BW264">
        <v>0.6625</v>
      </c>
      <c r="BX264">
        <v>0.649999999999999</v>
      </c>
      <c r="BY264">
        <v>0.637499999999999</v>
      </c>
      <c r="BZ264">
        <v>0.625</v>
      </c>
      <c r="CA264">
        <v>0.6125</v>
      </c>
      <c r="CB264">
        <v>0.6</v>
      </c>
      <c r="CC264" t="e">
        <v>#VALUE!</v>
      </c>
      <c r="CD264" t="e">
        <v>#VALUE!</v>
      </c>
      <c r="CE264" t="e">
        <v>#VALUE!</v>
      </c>
      <c r="CF264" t="e">
        <v>#VALUE!</v>
      </c>
      <c r="CG264" t="e">
        <v>#VALUE!</v>
      </c>
      <c r="CH264" t="e">
        <v>#VALUE!</v>
      </c>
      <c r="CI264" t="e">
        <v>#VALUE!</v>
      </c>
      <c r="CJ264" t="e">
        <v>#VALUE!</v>
      </c>
    </row>
    <row r="265" spans="1:88">
      <c r="A265" t="s">
        <v>25</v>
      </c>
      <c r="B265" t="s">
        <v>285</v>
      </c>
      <c r="C265" t="s">
        <v>285</v>
      </c>
      <c r="D265">
        <v>958.2</v>
      </c>
      <c r="E265">
        <v>967.162722273004</v>
      </c>
      <c r="F265">
        <v>1076.77755332906</v>
      </c>
      <c r="G265">
        <v>1162.06093129176</v>
      </c>
      <c r="H265">
        <v>1240.2262723363</v>
      </c>
      <c r="I265">
        <v>1314.39392605066</v>
      </c>
      <c r="J265">
        <v>1386.33556866191</v>
      </c>
      <c r="K265">
        <v>1456.45256665716</v>
      </c>
      <c r="L265">
        <v>1525.66909152133</v>
      </c>
      <c r="M265">
        <v>1594.02413303895</v>
      </c>
      <c r="N265">
        <v>1661.63906680457</v>
      </c>
      <c r="O265">
        <v>1726.45328710121</v>
      </c>
      <c r="P265">
        <v>1787.67882041112</v>
      </c>
      <c r="Q265">
        <v>1844.84930142253</v>
      </c>
      <c r="R265">
        <v>1898.13671674445</v>
      </c>
      <c r="S265">
        <v>1947.79540159673</v>
      </c>
      <c r="T265">
        <v>1993.99383341952</v>
      </c>
      <c r="U265">
        <v>2036.41104375418</v>
      </c>
      <c r="V265">
        <v>5</v>
      </c>
      <c r="AF265" s="99" t="s">
        <v>272</v>
      </c>
      <c r="AH265">
        <v>1</v>
      </c>
      <c r="AI265">
        <v>1.01172788980591</v>
      </c>
      <c r="AJ265">
        <v>1.15773078809578</v>
      </c>
      <c r="AK265">
        <v>1.27632693451747</v>
      </c>
      <c r="AL265">
        <v>1.38914444804718</v>
      </c>
      <c r="AM265">
        <v>1.5000891332334</v>
      </c>
      <c r="AN265">
        <v>1.611556767737</v>
      </c>
      <c r="AO265">
        <v>1.72407631178702</v>
      </c>
      <c r="AP265">
        <v>1.83912215615181</v>
      </c>
      <c r="AQ265">
        <v>1.9568346985545</v>
      </c>
      <c r="AR265">
        <v>2.07756858278502</v>
      </c>
      <c r="AS265">
        <v>2.19762495139749</v>
      </c>
      <c r="AT265">
        <v>2.315262357404</v>
      </c>
      <c r="AU265">
        <v>2.42917428621282</v>
      </c>
      <c r="AV265">
        <v>2.53923751413423</v>
      </c>
      <c r="AW265">
        <v>2.64552717756439</v>
      </c>
      <c r="AX265">
        <v>2.74797200426466</v>
      </c>
      <c r="AY265">
        <v>2.84539900775305</v>
      </c>
      <c r="AZ265">
        <v>0</v>
      </c>
      <c r="BA265">
        <v>0</v>
      </c>
      <c r="BB265">
        <v>0</v>
      </c>
      <c r="BC265">
        <v>0</v>
      </c>
      <c r="BD265">
        <v>0</v>
      </c>
      <c r="BE265">
        <v>0</v>
      </c>
      <c r="BF265">
        <v>0</v>
      </c>
      <c r="BG265">
        <v>0</v>
      </c>
      <c r="BI265" t="s">
        <v>287</v>
      </c>
      <c r="BK265">
        <v>0.8</v>
      </c>
      <c r="BL265">
        <v>0.797560975609756</v>
      </c>
      <c r="BM265">
        <v>0.785365853658536</v>
      </c>
      <c r="BN265">
        <v>0.773170731707317</v>
      </c>
      <c r="BO265">
        <v>0.760975609756097</v>
      </c>
      <c r="BP265">
        <v>0.748780487804878</v>
      </c>
      <c r="BQ265">
        <v>0.736585365853658</v>
      </c>
      <c r="BR265">
        <v>0.724390243902439</v>
      </c>
      <c r="BS265">
        <v>0.71219512195122</v>
      </c>
      <c r="BT265">
        <v>0.699999999999999</v>
      </c>
      <c r="BU265">
        <v>0.687499999999999</v>
      </c>
      <c r="BV265">
        <v>0.675</v>
      </c>
      <c r="BW265">
        <v>0.6625</v>
      </c>
      <c r="BX265">
        <v>0.649999999999999</v>
      </c>
      <c r="BY265">
        <v>0.637499999999999</v>
      </c>
      <c r="BZ265">
        <v>0.625</v>
      </c>
      <c r="CA265">
        <v>0.6125</v>
      </c>
      <c r="CB265">
        <v>0.6</v>
      </c>
      <c r="CC265" t="e">
        <v>#VALUE!</v>
      </c>
      <c r="CD265" t="e">
        <v>#VALUE!</v>
      </c>
      <c r="CE265" t="e">
        <v>#VALUE!</v>
      </c>
      <c r="CF265" t="e">
        <v>#VALUE!</v>
      </c>
      <c r="CG265" t="e">
        <v>#VALUE!</v>
      </c>
      <c r="CH265" t="e">
        <v>#VALUE!</v>
      </c>
      <c r="CI265" t="e">
        <v>#VALUE!</v>
      </c>
      <c r="CJ265" t="e">
        <v>#VALUE!</v>
      </c>
    </row>
    <row r="266" spans="1:88">
      <c r="A266" t="s">
        <v>25</v>
      </c>
      <c r="B266" t="s">
        <v>286</v>
      </c>
      <c r="C266" t="s">
        <v>286</v>
      </c>
      <c r="D266">
        <v>1080.32</v>
      </c>
      <c r="E266">
        <v>1090.4249970006</v>
      </c>
      <c r="F266">
        <v>1214.00994198753</v>
      </c>
      <c r="G266">
        <v>1310.1624559519</v>
      </c>
      <c r="H266">
        <v>1398.28975843284</v>
      </c>
      <c r="I266">
        <v>1481.90987913907</v>
      </c>
      <c r="J266">
        <v>1563.02028964395</v>
      </c>
      <c r="K266">
        <v>1642.07350950852</v>
      </c>
      <c r="L266">
        <v>1720.11149337542</v>
      </c>
      <c r="M266">
        <v>1797.17820017182</v>
      </c>
      <c r="N266">
        <v>1873.41047448374</v>
      </c>
      <c r="O266">
        <v>1946.48509196533</v>
      </c>
      <c r="P266">
        <v>2015.5136540039</v>
      </c>
      <c r="Q266">
        <v>2079.97035828928</v>
      </c>
      <c r="R266">
        <v>2140.0491106589</v>
      </c>
      <c r="S266">
        <v>2196.03666066895</v>
      </c>
      <c r="T266">
        <v>2248.12295775389</v>
      </c>
      <c r="U266">
        <v>2295.94612689263</v>
      </c>
      <c r="V266">
        <v>5</v>
      </c>
      <c r="AF266" s="99" t="s">
        <v>272</v>
      </c>
      <c r="AH266">
        <v>1</v>
      </c>
      <c r="AI266">
        <v>1.01172788980591</v>
      </c>
      <c r="AJ266">
        <v>1.15773078809578</v>
      </c>
      <c r="AK266">
        <v>1.27632693451747</v>
      </c>
      <c r="AL266">
        <v>1.38914444804718</v>
      </c>
      <c r="AM266">
        <v>1.5000891332334</v>
      </c>
      <c r="AN266">
        <v>1.611556767737</v>
      </c>
      <c r="AO266">
        <v>1.72407631178702</v>
      </c>
      <c r="AP266">
        <v>1.83912215615181</v>
      </c>
      <c r="AQ266">
        <v>1.9568346985545</v>
      </c>
      <c r="AR266">
        <v>2.07756858278502</v>
      </c>
      <c r="AS266">
        <v>2.19762495139749</v>
      </c>
      <c r="AT266">
        <v>2.315262357404</v>
      </c>
      <c r="AU266">
        <v>2.42917428621282</v>
      </c>
      <c r="AV266">
        <v>2.53923751413423</v>
      </c>
      <c r="AW266">
        <v>2.64552717756439</v>
      </c>
      <c r="AX266">
        <v>2.74797200426466</v>
      </c>
      <c r="AY266">
        <v>2.84539900775305</v>
      </c>
      <c r="AZ266">
        <v>0</v>
      </c>
      <c r="BA266">
        <v>0</v>
      </c>
      <c r="BB266">
        <v>0</v>
      </c>
      <c r="BC266">
        <v>0</v>
      </c>
      <c r="BD266">
        <v>0</v>
      </c>
      <c r="BE266">
        <v>0</v>
      </c>
      <c r="BF266">
        <v>0</v>
      </c>
      <c r="BG266">
        <v>0</v>
      </c>
      <c r="BI266" t="s">
        <v>287</v>
      </c>
      <c r="BK266">
        <v>0.8</v>
      </c>
      <c r="BL266">
        <v>0.797560975609756</v>
      </c>
      <c r="BM266">
        <v>0.785365853658536</v>
      </c>
      <c r="BN266">
        <v>0.773170731707317</v>
      </c>
      <c r="BO266">
        <v>0.760975609756097</v>
      </c>
      <c r="BP266">
        <v>0.748780487804878</v>
      </c>
      <c r="BQ266">
        <v>0.736585365853658</v>
      </c>
      <c r="BR266">
        <v>0.724390243902439</v>
      </c>
      <c r="BS266">
        <v>0.71219512195122</v>
      </c>
      <c r="BT266">
        <v>0.699999999999999</v>
      </c>
      <c r="BU266">
        <v>0.687499999999999</v>
      </c>
      <c r="BV266">
        <v>0.675</v>
      </c>
      <c r="BW266">
        <v>0.6625</v>
      </c>
      <c r="BX266">
        <v>0.649999999999999</v>
      </c>
      <c r="BY266">
        <v>0.637499999999999</v>
      </c>
      <c r="BZ266">
        <v>0.625</v>
      </c>
      <c r="CA266">
        <v>0.6125</v>
      </c>
      <c r="CB266">
        <v>0.6</v>
      </c>
      <c r="CC266" t="e">
        <v>#VALUE!</v>
      </c>
      <c r="CD266" t="e">
        <v>#VALUE!</v>
      </c>
      <c r="CE266" t="e">
        <v>#VALUE!</v>
      </c>
      <c r="CF266" t="e">
        <v>#VALUE!</v>
      </c>
      <c r="CG266" t="e">
        <v>#VALUE!</v>
      </c>
      <c r="CH266" t="e">
        <v>#VALUE!</v>
      </c>
      <c r="CI266" t="e">
        <v>#VALUE!</v>
      </c>
      <c r="CJ266" t="e">
        <v>#VALUE!</v>
      </c>
    </row>
    <row r="267" spans="1:88">
      <c r="A267" t="s">
        <v>26</v>
      </c>
      <c r="B267" t="s">
        <v>271</v>
      </c>
      <c r="C267" t="s">
        <v>271</v>
      </c>
      <c r="D267">
        <v>14.7001143816</v>
      </c>
      <c r="E267">
        <v>14.7984681944307</v>
      </c>
      <c r="F267">
        <v>16.0922323531827</v>
      </c>
      <c r="G267">
        <v>17.2317863155048</v>
      </c>
      <c r="H267">
        <v>18.3254788174676</v>
      </c>
      <c r="I267">
        <v>19.4187352891484</v>
      </c>
      <c r="J267">
        <v>20.5158467540208</v>
      </c>
      <c r="K267">
        <v>21.6077373384062</v>
      </c>
      <c r="L267">
        <v>22.6633927260302</v>
      </c>
      <c r="M267">
        <v>23.6998875724048</v>
      </c>
      <c r="N267">
        <v>24.7209059253632</v>
      </c>
      <c r="O267">
        <v>25.6673420585311</v>
      </c>
      <c r="P267">
        <v>26.5409546019141</v>
      </c>
      <c r="Q267">
        <v>27.3365150110425</v>
      </c>
      <c r="R267">
        <v>28.0483626032726</v>
      </c>
      <c r="S267">
        <v>28.6798417631875</v>
      </c>
      <c r="T267">
        <v>29.2361416997839</v>
      </c>
      <c r="U267">
        <v>29.7116626040111</v>
      </c>
      <c r="V267">
        <v>5</v>
      </c>
      <c r="AF267" s="99" t="s">
        <v>272</v>
      </c>
      <c r="AH267">
        <v>1</v>
      </c>
      <c r="AI267">
        <v>1.00838893038991</v>
      </c>
      <c r="AJ267">
        <v>1.12064101290293</v>
      </c>
      <c r="AK267">
        <v>1.22327937382933</v>
      </c>
      <c r="AL267">
        <v>1.32530748576188</v>
      </c>
      <c r="AM267">
        <v>1.43089896116608</v>
      </c>
      <c r="AN267">
        <v>1.54065178272437</v>
      </c>
      <c r="AO267">
        <v>1.65384530463998</v>
      </c>
      <c r="AP267">
        <v>1.7672964190957</v>
      </c>
      <c r="AQ267">
        <v>1.88276227520451</v>
      </c>
      <c r="AR267">
        <v>2.00074272515735</v>
      </c>
      <c r="AS267">
        <v>2.1142214388138</v>
      </c>
      <c r="AT267">
        <v>2.22283962656441</v>
      </c>
      <c r="AU267">
        <v>2.3253461246429</v>
      </c>
      <c r="AV267">
        <v>2.4203303072343</v>
      </c>
      <c r="AW267">
        <v>2.50751618233136</v>
      </c>
      <c r="AX267">
        <v>2.58692521597908</v>
      </c>
      <c r="AY267">
        <v>2.6570517184489</v>
      </c>
      <c r="AZ267">
        <v>0</v>
      </c>
      <c r="BA267">
        <v>0</v>
      </c>
      <c r="BB267">
        <v>0</v>
      </c>
      <c r="BC267">
        <v>0</v>
      </c>
      <c r="BD267">
        <v>0</v>
      </c>
      <c r="BE267">
        <v>0</v>
      </c>
      <c r="BF267">
        <v>0</v>
      </c>
      <c r="BG267">
        <v>0</v>
      </c>
      <c r="BI267" t="s">
        <v>287</v>
      </c>
      <c r="BK267">
        <v>0.8</v>
      </c>
      <c r="BL267">
        <v>0.797560975609756</v>
      </c>
      <c r="BM267">
        <v>0.785365853658536</v>
      </c>
      <c r="BN267">
        <v>0.773170731707317</v>
      </c>
      <c r="BO267">
        <v>0.760975609756097</v>
      </c>
      <c r="BP267">
        <v>0.748780487804878</v>
      </c>
      <c r="BQ267">
        <v>0.736585365853658</v>
      </c>
      <c r="BR267">
        <v>0.724390243902439</v>
      </c>
      <c r="BS267">
        <v>0.71219512195122</v>
      </c>
      <c r="BT267">
        <v>0.699999999999999</v>
      </c>
      <c r="BU267">
        <v>0.687499999999999</v>
      </c>
      <c r="BV267">
        <v>0.675</v>
      </c>
      <c r="BW267">
        <v>0.6625</v>
      </c>
      <c r="BX267">
        <v>0.649999999999999</v>
      </c>
      <c r="BY267">
        <v>0.637499999999999</v>
      </c>
      <c r="BZ267">
        <v>0.625</v>
      </c>
      <c r="CA267">
        <v>0.6125</v>
      </c>
      <c r="CB267">
        <v>0.6</v>
      </c>
      <c r="CC267" t="e">
        <v>#VALUE!</v>
      </c>
      <c r="CD267" t="e">
        <v>#VALUE!</v>
      </c>
      <c r="CE267" t="e">
        <v>#VALUE!</v>
      </c>
      <c r="CF267" t="e">
        <v>#VALUE!</v>
      </c>
      <c r="CG267" t="e">
        <v>#VALUE!</v>
      </c>
      <c r="CH267" t="e">
        <v>#VALUE!</v>
      </c>
      <c r="CI267" t="e">
        <v>#VALUE!</v>
      </c>
      <c r="CJ267" t="e">
        <v>#VALUE!</v>
      </c>
    </row>
    <row r="268" spans="1:88">
      <c r="A268" t="s">
        <v>26</v>
      </c>
      <c r="B268" t="s">
        <v>274</v>
      </c>
      <c r="C268" t="s">
        <v>274</v>
      </c>
      <c r="D268">
        <v>22.9425293772</v>
      </c>
      <c r="E268">
        <v>23.0960305800922</v>
      </c>
      <c r="F268">
        <v>25.115213659136</v>
      </c>
      <c r="G268">
        <v>26.8937202461463</v>
      </c>
      <c r="H268">
        <v>28.6006506620969</v>
      </c>
      <c r="I268">
        <v>30.306900563781</v>
      </c>
      <c r="J268">
        <v>32.0191669692998</v>
      </c>
      <c r="K268">
        <v>33.723285125027</v>
      </c>
      <c r="L268">
        <v>35.3708508591466</v>
      </c>
      <c r="M268">
        <v>36.9885126572091</v>
      </c>
      <c r="N268">
        <v>38.5820202279209</v>
      </c>
      <c r="O268">
        <v>40.0591270194182</v>
      </c>
      <c r="P268">
        <v>41.4225777328318</v>
      </c>
      <c r="Q268">
        <v>42.6642121571607</v>
      </c>
      <c r="R268">
        <v>43.7751956415662</v>
      </c>
      <c r="S268">
        <v>44.7607477809134</v>
      </c>
      <c r="T268">
        <v>45.6289673951684</v>
      </c>
      <c r="U268">
        <v>46.3711148391613</v>
      </c>
      <c r="V268">
        <v>5</v>
      </c>
      <c r="AF268" s="99" t="s">
        <v>272</v>
      </c>
      <c r="AH268">
        <v>1</v>
      </c>
      <c r="AI268">
        <v>1.00838893038991</v>
      </c>
      <c r="AJ268">
        <v>1.12064101290293</v>
      </c>
      <c r="AK268">
        <v>1.22327937382933</v>
      </c>
      <c r="AL268">
        <v>1.32530748576188</v>
      </c>
      <c r="AM268">
        <v>1.43089896116608</v>
      </c>
      <c r="AN268">
        <v>1.54065178272437</v>
      </c>
      <c r="AO268">
        <v>1.65384530463998</v>
      </c>
      <c r="AP268">
        <v>1.7672964190957</v>
      </c>
      <c r="AQ268">
        <v>1.88276227520451</v>
      </c>
      <c r="AR268">
        <v>2.00074272515735</v>
      </c>
      <c r="AS268">
        <v>2.1142214388138</v>
      </c>
      <c r="AT268">
        <v>2.22283962656441</v>
      </c>
      <c r="AU268">
        <v>2.3253461246429</v>
      </c>
      <c r="AV268">
        <v>2.4203303072343</v>
      </c>
      <c r="AW268">
        <v>2.50751618233136</v>
      </c>
      <c r="AX268">
        <v>2.58692521597908</v>
      </c>
      <c r="AY268">
        <v>2.6570517184489</v>
      </c>
      <c r="AZ268">
        <v>0</v>
      </c>
      <c r="BA268">
        <v>0</v>
      </c>
      <c r="BB268">
        <v>0</v>
      </c>
      <c r="BC268">
        <v>0</v>
      </c>
      <c r="BD268">
        <v>0</v>
      </c>
      <c r="BE268">
        <v>0</v>
      </c>
      <c r="BF268">
        <v>0</v>
      </c>
      <c r="BG268">
        <v>0</v>
      </c>
      <c r="BI268" t="s">
        <v>287</v>
      </c>
      <c r="BK268">
        <v>0.8</v>
      </c>
      <c r="BL268">
        <v>0.797560975609756</v>
      </c>
      <c r="BM268">
        <v>0.785365853658536</v>
      </c>
      <c r="BN268">
        <v>0.773170731707317</v>
      </c>
      <c r="BO268">
        <v>0.760975609756097</v>
      </c>
      <c r="BP268">
        <v>0.748780487804878</v>
      </c>
      <c r="BQ268">
        <v>0.736585365853658</v>
      </c>
      <c r="BR268">
        <v>0.724390243902439</v>
      </c>
      <c r="BS268">
        <v>0.71219512195122</v>
      </c>
      <c r="BT268">
        <v>0.699999999999999</v>
      </c>
      <c r="BU268">
        <v>0.687499999999999</v>
      </c>
      <c r="BV268">
        <v>0.675</v>
      </c>
      <c r="BW268">
        <v>0.6625</v>
      </c>
      <c r="BX268">
        <v>0.649999999999999</v>
      </c>
      <c r="BY268">
        <v>0.637499999999999</v>
      </c>
      <c r="BZ268">
        <v>0.625</v>
      </c>
      <c r="CA268">
        <v>0.6125</v>
      </c>
      <c r="CB268">
        <v>0.6</v>
      </c>
      <c r="CC268" t="e">
        <v>#VALUE!</v>
      </c>
      <c r="CD268" t="e">
        <v>#VALUE!</v>
      </c>
      <c r="CE268" t="e">
        <v>#VALUE!</v>
      </c>
      <c r="CF268" t="e">
        <v>#VALUE!</v>
      </c>
      <c r="CG268" t="e">
        <v>#VALUE!</v>
      </c>
      <c r="CH268" t="e">
        <v>#VALUE!</v>
      </c>
      <c r="CI268" t="e">
        <v>#VALUE!</v>
      </c>
      <c r="CJ268" t="e">
        <v>#VALUE!</v>
      </c>
    </row>
    <row r="269" spans="1:88">
      <c r="A269" t="s">
        <v>26</v>
      </c>
      <c r="B269" t="s">
        <v>275</v>
      </c>
      <c r="C269" t="s">
        <v>275</v>
      </c>
      <c r="D269">
        <v>0.51252837804</v>
      </c>
      <c r="E269">
        <v>0.51595754320536</v>
      </c>
      <c r="F269">
        <v>0.561065413024481</v>
      </c>
      <c r="G269">
        <v>0.600796651084037</v>
      </c>
      <c r="H269">
        <v>0.638928901592722</v>
      </c>
      <c r="I269">
        <v>0.677045949641929</v>
      </c>
      <c r="J269">
        <v>0.71529740436013</v>
      </c>
      <c r="K269">
        <v>0.753366829922741</v>
      </c>
      <c r="L269">
        <v>0.790172893436461</v>
      </c>
      <c r="M269">
        <v>0.826310913091879</v>
      </c>
      <c r="N269">
        <v>0.861909335444691</v>
      </c>
      <c r="O269">
        <v>0.894907403599738</v>
      </c>
      <c r="P269">
        <v>0.925366433255719</v>
      </c>
      <c r="Q269">
        <v>0.95310412804766</v>
      </c>
      <c r="R269">
        <v>0.977923124851797</v>
      </c>
      <c r="S269">
        <v>0.999940027659188</v>
      </c>
      <c r="T269">
        <v>1.01933576137976</v>
      </c>
      <c r="U269">
        <v>1.0359150852844</v>
      </c>
      <c r="V269">
        <v>5</v>
      </c>
      <c r="AF269" s="99" t="s">
        <v>272</v>
      </c>
      <c r="AH269">
        <v>1</v>
      </c>
      <c r="AI269">
        <v>1.00838893038991</v>
      </c>
      <c r="AJ269">
        <v>1.12064101290293</v>
      </c>
      <c r="AK269">
        <v>1.22327937382933</v>
      </c>
      <c r="AL269">
        <v>1.32530748576188</v>
      </c>
      <c r="AM269">
        <v>1.43089896116608</v>
      </c>
      <c r="AN269">
        <v>1.54065178272437</v>
      </c>
      <c r="AO269">
        <v>1.65384530463998</v>
      </c>
      <c r="AP269">
        <v>1.7672964190957</v>
      </c>
      <c r="AQ269">
        <v>1.88276227520451</v>
      </c>
      <c r="AR269">
        <v>2.00074272515735</v>
      </c>
      <c r="AS269">
        <v>2.1142214388138</v>
      </c>
      <c r="AT269">
        <v>2.22283962656441</v>
      </c>
      <c r="AU269">
        <v>2.3253461246429</v>
      </c>
      <c r="AV269">
        <v>2.4203303072343</v>
      </c>
      <c r="AW269">
        <v>2.50751618233136</v>
      </c>
      <c r="AX269">
        <v>2.58692521597908</v>
      </c>
      <c r="AY269">
        <v>2.6570517184489</v>
      </c>
      <c r="AZ269">
        <v>0</v>
      </c>
      <c r="BA269">
        <v>0</v>
      </c>
      <c r="BB269">
        <v>0</v>
      </c>
      <c r="BC269">
        <v>0</v>
      </c>
      <c r="BD269">
        <v>0</v>
      </c>
      <c r="BE269">
        <v>0</v>
      </c>
      <c r="BF269">
        <v>0</v>
      </c>
      <c r="BG269">
        <v>0</v>
      </c>
      <c r="BI269" t="s">
        <v>287</v>
      </c>
      <c r="BK269">
        <v>0.8</v>
      </c>
      <c r="BL269">
        <v>0.797560975609756</v>
      </c>
      <c r="BM269">
        <v>0.785365853658536</v>
      </c>
      <c r="BN269">
        <v>0.773170731707317</v>
      </c>
      <c r="BO269">
        <v>0.760975609756097</v>
      </c>
      <c r="BP269">
        <v>0.748780487804878</v>
      </c>
      <c r="BQ269">
        <v>0.736585365853658</v>
      </c>
      <c r="BR269">
        <v>0.724390243902439</v>
      </c>
      <c r="BS269">
        <v>0.71219512195122</v>
      </c>
      <c r="BT269">
        <v>0.699999999999999</v>
      </c>
      <c r="BU269">
        <v>0.687499999999999</v>
      </c>
      <c r="BV269">
        <v>0.675</v>
      </c>
      <c r="BW269">
        <v>0.6625</v>
      </c>
      <c r="BX269">
        <v>0.649999999999999</v>
      </c>
      <c r="BY269">
        <v>0.637499999999999</v>
      </c>
      <c r="BZ269">
        <v>0.625</v>
      </c>
      <c r="CA269">
        <v>0.6125</v>
      </c>
      <c r="CB269">
        <v>0.6</v>
      </c>
      <c r="CC269" t="e">
        <v>#VALUE!</v>
      </c>
      <c r="CD269" t="e">
        <v>#VALUE!</v>
      </c>
      <c r="CE269" t="e">
        <v>#VALUE!</v>
      </c>
      <c r="CF269" t="e">
        <v>#VALUE!</v>
      </c>
      <c r="CG269" t="e">
        <v>#VALUE!</v>
      </c>
      <c r="CH269" t="e">
        <v>#VALUE!</v>
      </c>
      <c r="CI269" t="e">
        <v>#VALUE!</v>
      </c>
      <c r="CJ269" t="e">
        <v>#VALUE!</v>
      </c>
    </row>
    <row r="270" spans="1:88">
      <c r="A270" t="s">
        <v>26</v>
      </c>
      <c r="B270" t="s">
        <v>276</v>
      </c>
      <c r="C270" t="s">
        <v>276</v>
      </c>
      <c r="D270">
        <v>2.17014697476</v>
      </c>
      <c r="E270">
        <v>2.17914793638656</v>
      </c>
      <c r="F270">
        <v>2.22341818408809</v>
      </c>
      <c r="G270">
        <v>2.26019199359801</v>
      </c>
      <c r="H270">
        <v>2.29597042282211</v>
      </c>
      <c r="I270">
        <v>2.33082853795445</v>
      </c>
      <c r="J270">
        <v>2.36519421441858</v>
      </c>
      <c r="K270">
        <v>2.40103698525162</v>
      </c>
      <c r="L270">
        <v>2.43041241842218</v>
      </c>
      <c r="M270">
        <v>2.45545765448129</v>
      </c>
      <c r="N270">
        <v>2.47652779452878</v>
      </c>
      <c r="O270">
        <v>2.49601153435295</v>
      </c>
      <c r="P270">
        <v>2.5144577560917</v>
      </c>
      <c r="Q270">
        <v>2.5298198836603</v>
      </c>
      <c r="R270">
        <v>2.53957501349532</v>
      </c>
      <c r="S270">
        <v>2.54370537985361</v>
      </c>
      <c r="T270">
        <v>2.54437860666375</v>
      </c>
      <c r="U270">
        <v>2.54308329491963</v>
      </c>
      <c r="V270">
        <v>5</v>
      </c>
      <c r="AF270" s="99" t="s">
        <v>277</v>
      </c>
      <c r="AH270">
        <v>1</v>
      </c>
      <c r="AI270">
        <v>1.00520038942529</v>
      </c>
      <c r="AJ270">
        <v>1.03120233655177</v>
      </c>
      <c r="AK270">
        <v>1.05326134321016</v>
      </c>
      <c r="AL270">
        <v>1.07517129113885</v>
      </c>
      <c r="AM270">
        <v>1.09697150487709</v>
      </c>
      <c r="AN270">
        <v>1.118929204032</v>
      </c>
      <c r="AO270">
        <v>1.14233722964613</v>
      </c>
      <c r="AP270">
        <v>1.16196092376713</v>
      </c>
      <c r="AQ270">
        <v>1.17906653655862</v>
      </c>
      <c r="AR270">
        <v>1.19378290270154</v>
      </c>
      <c r="AS270">
        <v>1.2076968609842</v>
      </c>
      <c r="AT270">
        <v>1.22116888634965</v>
      </c>
      <c r="AU270">
        <v>1.23264697031578</v>
      </c>
      <c r="AV270">
        <v>1.24010290295621</v>
      </c>
      <c r="AW270">
        <v>1.24332994955036</v>
      </c>
      <c r="AX270">
        <v>1.2438671976603</v>
      </c>
      <c r="AY270">
        <v>1.24281180193091</v>
      </c>
      <c r="AZ270">
        <v>0</v>
      </c>
      <c r="BA270">
        <v>0</v>
      </c>
      <c r="BB270">
        <v>0</v>
      </c>
      <c r="BC270">
        <v>0</v>
      </c>
      <c r="BD270">
        <v>0</v>
      </c>
      <c r="BE270">
        <v>0</v>
      </c>
      <c r="BF270">
        <v>0</v>
      </c>
      <c r="BG270">
        <v>0</v>
      </c>
      <c r="BI270" t="s">
        <v>287</v>
      </c>
      <c r="BK270">
        <v>0.8</v>
      </c>
      <c r="BL270">
        <v>0.797560975609756</v>
      </c>
      <c r="BM270">
        <v>0.785365853658536</v>
      </c>
      <c r="BN270">
        <v>0.773170731707317</v>
      </c>
      <c r="BO270">
        <v>0.760975609756097</v>
      </c>
      <c r="BP270">
        <v>0.748780487804878</v>
      </c>
      <c r="BQ270">
        <v>0.736585365853658</v>
      </c>
      <c r="BR270">
        <v>0.724390243902439</v>
      </c>
      <c r="BS270">
        <v>0.71219512195122</v>
      </c>
      <c r="BT270">
        <v>0.699999999999999</v>
      </c>
      <c r="BU270">
        <v>0.687499999999999</v>
      </c>
      <c r="BV270">
        <v>0.675</v>
      </c>
      <c r="BW270">
        <v>0.6625</v>
      </c>
      <c r="BX270">
        <v>0.649999999999999</v>
      </c>
      <c r="BY270">
        <v>0.637499999999999</v>
      </c>
      <c r="BZ270">
        <v>0.625</v>
      </c>
      <c r="CA270">
        <v>0.6125</v>
      </c>
      <c r="CB270">
        <v>0.6</v>
      </c>
      <c r="CC270" t="e">
        <v>#VALUE!</v>
      </c>
      <c r="CD270" t="e">
        <v>#VALUE!</v>
      </c>
      <c r="CE270" t="e">
        <v>#VALUE!</v>
      </c>
      <c r="CF270" t="e">
        <v>#VALUE!</v>
      </c>
      <c r="CG270" t="e">
        <v>#VALUE!</v>
      </c>
      <c r="CH270" t="e">
        <v>#VALUE!</v>
      </c>
      <c r="CI270" t="e">
        <v>#VALUE!</v>
      </c>
      <c r="CJ270" t="e">
        <v>#VALUE!</v>
      </c>
    </row>
    <row r="271" spans="1:88">
      <c r="A271" t="s">
        <v>26</v>
      </c>
      <c r="B271" t="s">
        <v>278</v>
      </c>
      <c r="C271" t="s">
        <v>278</v>
      </c>
      <c r="D271">
        <v>42.0007801752</v>
      </c>
      <c r="E271">
        <v>42.2817941023615</v>
      </c>
      <c r="F271">
        <v>45.9783030287347</v>
      </c>
      <c r="G271">
        <v>49.2342066378373</v>
      </c>
      <c r="H271">
        <v>52.3590760886289</v>
      </c>
      <c r="I271">
        <v>55.482699725167</v>
      </c>
      <c r="J271">
        <v>58.6173377468599</v>
      </c>
      <c r="K271">
        <v>61.7370588061425</v>
      </c>
      <c r="L271">
        <v>64.7532496142806</v>
      </c>
      <c r="M271">
        <v>67.7146954279129</v>
      </c>
      <c r="N271">
        <v>70.6319222116125</v>
      </c>
      <c r="O271">
        <v>73.3360546385553</v>
      </c>
      <c r="P271">
        <v>75.8321174201383</v>
      </c>
      <c r="Q271">
        <v>78.1051716966221</v>
      </c>
      <c r="R271">
        <v>80.1390439144414</v>
      </c>
      <c r="S271">
        <v>81.9432895612645</v>
      </c>
      <c r="T271">
        <v>83.5327351085528</v>
      </c>
      <c r="U271">
        <v>84.8913809291704</v>
      </c>
      <c r="V271">
        <v>5</v>
      </c>
      <c r="AF271" s="99" t="s">
        <v>272</v>
      </c>
      <c r="AH271">
        <v>1</v>
      </c>
      <c r="AI271">
        <v>1.00838893038991</v>
      </c>
      <c r="AJ271">
        <v>1.12064101290293</v>
      </c>
      <c r="AK271">
        <v>1.22327937382933</v>
      </c>
      <c r="AL271">
        <v>1.32530748576188</v>
      </c>
      <c r="AM271">
        <v>1.43089896116608</v>
      </c>
      <c r="AN271">
        <v>1.54065178272437</v>
      </c>
      <c r="AO271">
        <v>1.65384530463998</v>
      </c>
      <c r="AP271">
        <v>1.7672964190957</v>
      </c>
      <c r="AQ271">
        <v>1.88276227520451</v>
      </c>
      <c r="AR271">
        <v>2.00074272515735</v>
      </c>
      <c r="AS271">
        <v>2.1142214388138</v>
      </c>
      <c r="AT271">
        <v>2.22283962656441</v>
      </c>
      <c r="AU271">
        <v>2.3253461246429</v>
      </c>
      <c r="AV271">
        <v>2.4203303072343</v>
      </c>
      <c r="AW271">
        <v>2.50751618233136</v>
      </c>
      <c r="AX271">
        <v>2.58692521597908</v>
      </c>
      <c r="AY271">
        <v>2.6570517184489</v>
      </c>
      <c r="AZ271">
        <v>0</v>
      </c>
      <c r="BA271">
        <v>0</v>
      </c>
      <c r="BB271">
        <v>0</v>
      </c>
      <c r="BC271">
        <v>0</v>
      </c>
      <c r="BD271">
        <v>0</v>
      </c>
      <c r="BE271">
        <v>0</v>
      </c>
      <c r="BF271">
        <v>0</v>
      </c>
      <c r="BG271">
        <v>0</v>
      </c>
      <c r="BI271" t="s">
        <v>287</v>
      </c>
      <c r="BK271">
        <v>0.8</v>
      </c>
      <c r="BL271">
        <v>0.797560975609756</v>
      </c>
      <c r="BM271">
        <v>0.785365853658536</v>
      </c>
      <c r="BN271">
        <v>0.773170731707317</v>
      </c>
      <c r="BO271">
        <v>0.760975609756097</v>
      </c>
      <c r="BP271">
        <v>0.748780487804878</v>
      </c>
      <c r="BQ271">
        <v>0.736585365853658</v>
      </c>
      <c r="BR271">
        <v>0.724390243902439</v>
      </c>
      <c r="BS271">
        <v>0.71219512195122</v>
      </c>
      <c r="BT271">
        <v>0.699999999999999</v>
      </c>
      <c r="BU271">
        <v>0.687499999999999</v>
      </c>
      <c r="BV271">
        <v>0.675</v>
      </c>
      <c r="BW271">
        <v>0.6625</v>
      </c>
      <c r="BX271">
        <v>0.649999999999999</v>
      </c>
      <c r="BY271">
        <v>0.637499999999999</v>
      </c>
      <c r="BZ271">
        <v>0.625</v>
      </c>
      <c r="CA271">
        <v>0.6125</v>
      </c>
      <c r="CB271">
        <v>0.6</v>
      </c>
      <c r="CC271" t="e">
        <v>#VALUE!</v>
      </c>
      <c r="CD271" t="e">
        <v>#VALUE!</v>
      </c>
      <c r="CE271" t="e">
        <v>#VALUE!</v>
      </c>
      <c r="CF271" t="e">
        <v>#VALUE!</v>
      </c>
      <c r="CG271" t="e">
        <v>#VALUE!</v>
      </c>
      <c r="CH271" t="e">
        <v>#VALUE!</v>
      </c>
      <c r="CI271" t="e">
        <v>#VALUE!</v>
      </c>
      <c r="CJ271" t="e">
        <v>#VALUE!</v>
      </c>
    </row>
    <row r="272" spans="1:88">
      <c r="A272" t="s">
        <v>26</v>
      </c>
      <c r="B272" t="s">
        <v>279</v>
      </c>
      <c r="C272" t="s">
        <v>279</v>
      </c>
      <c r="D272">
        <v>13.7777204736</v>
      </c>
      <c r="E272">
        <v>13.8699028407244</v>
      </c>
      <c r="F272">
        <v>15.082486666627</v>
      </c>
      <c r="G272">
        <v>16.1505365844637</v>
      </c>
      <c r="H272">
        <v>17.1756027291854</v>
      </c>
      <c r="I272">
        <v>18.2002602033902</v>
      </c>
      <c r="J272">
        <v>19.2285307799998</v>
      </c>
      <c r="K272">
        <v>20.2519080727811</v>
      </c>
      <c r="L272">
        <v>21.2413238330651</v>
      </c>
      <c r="M272">
        <v>22.2127813261817</v>
      </c>
      <c r="N272">
        <v>23.1697334355533</v>
      </c>
      <c r="O272">
        <v>24.0567831652632</v>
      </c>
      <c r="P272">
        <v>24.8755787958623</v>
      </c>
      <c r="Q272">
        <v>25.6212198604349</v>
      </c>
      <c r="R272">
        <v>26.2884008694363</v>
      </c>
      <c r="S272">
        <v>26.8802563560235</v>
      </c>
      <c r="T272">
        <v>27.4016499198383</v>
      </c>
      <c r="U272">
        <v>27.8473331252695</v>
      </c>
      <c r="V272">
        <v>5</v>
      </c>
      <c r="AF272" s="99" t="s">
        <v>272</v>
      </c>
      <c r="AH272">
        <v>1</v>
      </c>
      <c r="AI272">
        <v>1.00838893038991</v>
      </c>
      <c r="AJ272">
        <v>1.12064101290293</v>
      </c>
      <c r="AK272">
        <v>1.22327937382933</v>
      </c>
      <c r="AL272">
        <v>1.32530748576188</v>
      </c>
      <c r="AM272">
        <v>1.43089896116608</v>
      </c>
      <c r="AN272">
        <v>1.54065178272437</v>
      </c>
      <c r="AO272">
        <v>1.65384530463998</v>
      </c>
      <c r="AP272">
        <v>1.7672964190957</v>
      </c>
      <c r="AQ272">
        <v>1.88276227520451</v>
      </c>
      <c r="AR272">
        <v>2.00074272515735</v>
      </c>
      <c r="AS272">
        <v>2.1142214388138</v>
      </c>
      <c r="AT272">
        <v>2.22283962656441</v>
      </c>
      <c r="AU272">
        <v>2.3253461246429</v>
      </c>
      <c r="AV272">
        <v>2.4203303072343</v>
      </c>
      <c r="AW272">
        <v>2.50751618233136</v>
      </c>
      <c r="AX272">
        <v>2.58692521597908</v>
      </c>
      <c r="AY272">
        <v>2.6570517184489</v>
      </c>
      <c r="AZ272">
        <v>0</v>
      </c>
      <c r="BA272">
        <v>0</v>
      </c>
      <c r="BB272">
        <v>0</v>
      </c>
      <c r="BC272">
        <v>0</v>
      </c>
      <c r="BD272">
        <v>0</v>
      </c>
      <c r="BE272">
        <v>0</v>
      </c>
      <c r="BF272">
        <v>0</v>
      </c>
      <c r="BG272">
        <v>0</v>
      </c>
      <c r="BI272" t="s">
        <v>287</v>
      </c>
      <c r="BK272">
        <v>0.8</v>
      </c>
      <c r="BL272">
        <v>0.797560975609756</v>
      </c>
      <c r="BM272">
        <v>0.785365853658536</v>
      </c>
      <c r="BN272">
        <v>0.773170731707317</v>
      </c>
      <c r="BO272">
        <v>0.760975609756097</v>
      </c>
      <c r="BP272">
        <v>0.748780487804878</v>
      </c>
      <c r="BQ272">
        <v>0.736585365853658</v>
      </c>
      <c r="BR272">
        <v>0.724390243902439</v>
      </c>
      <c r="BS272">
        <v>0.71219512195122</v>
      </c>
      <c r="BT272">
        <v>0.699999999999999</v>
      </c>
      <c r="BU272">
        <v>0.687499999999999</v>
      </c>
      <c r="BV272">
        <v>0.675</v>
      </c>
      <c r="BW272">
        <v>0.6625</v>
      </c>
      <c r="BX272">
        <v>0.649999999999999</v>
      </c>
      <c r="BY272">
        <v>0.637499999999999</v>
      </c>
      <c r="BZ272">
        <v>0.625</v>
      </c>
      <c r="CA272">
        <v>0.6125</v>
      </c>
      <c r="CB272">
        <v>0.6</v>
      </c>
      <c r="CC272" t="e">
        <v>#VALUE!</v>
      </c>
      <c r="CD272" t="e">
        <v>#VALUE!</v>
      </c>
      <c r="CE272" t="e">
        <v>#VALUE!</v>
      </c>
      <c r="CF272" t="e">
        <v>#VALUE!</v>
      </c>
      <c r="CG272" t="e">
        <v>#VALUE!</v>
      </c>
      <c r="CH272" t="e">
        <v>#VALUE!</v>
      </c>
      <c r="CI272" t="e">
        <v>#VALUE!</v>
      </c>
      <c r="CJ272" t="e">
        <v>#VALUE!</v>
      </c>
    </row>
    <row r="273" spans="1:88">
      <c r="A273" t="s">
        <v>26</v>
      </c>
      <c r="B273" t="s">
        <v>280</v>
      </c>
      <c r="C273" t="s">
        <v>280</v>
      </c>
      <c r="D273">
        <v>0.132</v>
      </c>
      <c r="E273">
        <v>0.132547486851593</v>
      </c>
      <c r="F273">
        <v>0.135240241197067</v>
      </c>
      <c r="G273">
        <v>0.137477021890617</v>
      </c>
      <c r="H273">
        <v>0.13965325820664</v>
      </c>
      <c r="I273">
        <v>0.141773516074418</v>
      </c>
      <c r="J273">
        <v>0.143863821176342</v>
      </c>
      <c r="K273">
        <v>0.146043971094752</v>
      </c>
      <c r="L273">
        <v>0.147830742785155</v>
      </c>
      <c r="M273">
        <v>0.149354128619503</v>
      </c>
      <c r="N273">
        <v>0.150635727754776</v>
      </c>
      <c r="O273">
        <v>0.151820833504157</v>
      </c>
      <c r="P273">
        <v>0.152942831828619</v>
      </c>
      <c r="Q273">
        <v>0.153877238973683</v>
      </c>
      <c r="R273">
        <v>0.154470598388137</v>
      </c>
      <c r="S273">
        <v>0.15472182946402</v>
      </c>
      <c r="T273">
        <v>0.154762778736107</v>
      </c>
      <c r="U273">
        <v>0.154683990915645</v>
      </c>
      <c r="V273">
        <v>5</v>
      </c>
      <c r="AF273" s="99" t="s">
        <v>277</v>
      </c>
      <c r="AH273">
        <v>1</v>
      </c>
      <c r="AI273">
        <v>1.00520038942529</v>
      </c>
      <c r="AJ273">
        <v>1.03120233655177</v>
      </c>
      <c r="AK273">
        <v>1.05326134321016</v>
      </c>
      <c r="AL273">
        <v>1.07517129113885</v>
      </c>
      <c r="AM273">
        <v>1.09697150487709</v>
      </c>
      <c r="AN273">
        <v>1.118929204032</v>
      </c>
      <c r="AO273">
        <v>1.14233722964613</v>
      </c>
      <c r="AP273">
        <v>1.16196092376713</v>
      </c>
      <c r="AQ273">
        <v>1.17906653655862</v>
      </c>
      <c r="AR273">
        <v>1.19378290270154</v>
      </c>
      <c r="AS273">
        <v>1.2076968609842</v>
      </c>
      <c r="AT273">
        <v>1.22116888634965</v>
      </c>
      <c r="AU273">
        <v>1.23264697031578</v>
      </c>
      <c r="AV273">
        <v>1.24010290295621</v>
      </c>
      <c r="AW273">
        <v>1.24332994955036</v>
      </c>
      <c r="AX273">
        <v>1.2438671976603</v>
      </c>
      <c r="AY273">
        <v>1.24281180193091</v>
      </c>
      <c r="AZ273">
        <v>0</v>
      </c>
      <c r="BA273">
        <v>0</v>
      </c>
      <c r="BB273">
        <v>0</v>
      </c>
      <c r="BC273">
        <v>0</v>
      </c>
      <c r="BD273">
        <v>0</v>
      </c>
      <c r="BE273">
        <v>0</v>
      </c>
      <c r="BF273">
        <v>0</v>
      </c>
      <c r="BG273">
        <v>0</v>
      </c>
      <c r="BI273" t="s">
        <v>287</v>
      </c>
      <c r="BK273">
        <v>0.8</v>
      </c>
      <c r="BL273">
        <v>0.797560975609756</v>
      </c>
      <c r="BM273">
        <v>0.785365853658536</v>
      </c>
      <c r="BN273">
        <v>0.773170731707317</v>
      </c>
      <c r="BO273">
        <v>0.760975609756097</v>
      </c>
      <c r="BP273">
        <v>0.748780487804878</v>
      </c>
      <c r="BQ273">
        <v>0.736585365853658</v>
      </c>
      <c r="BR273">
        <v>0.724390243902439</v>
      </c>
      <c r="BS273">
        <v>0.71219512195122</v>
      </c>
      <c r="BT273">
        <v>0.699999999999999</v>
      </c>
      <c r="BU273">
        <v>0.687499999999999</v>
      </c>
      <c r="BV273">
        <v>0.675</v>
      </c>
      <c r="BW273">
        <v>0.6625</v>
      </c>
      <c r="BX273">
        <v>0.649999999999999</v>
      </c>
      <c r="BY273">
        <v>0.637499999999999</v>
      </c>
      <c r="BZ273">
        <v>0.625</v>
      </c>
      <c r="CA273">
        <v>0.6125</v>
      </c>
      <c r="CB273">
        <v>0.6</v>
      </c>
      <c r="CC273" t="e">
        <v>#VALUE!</v>
      </c>
      <c r="CD273" t="e">
        <v>#VALUE!</v>
      </c>
      <c r="CE273" t="e">
        <v>#VALUE!</v>
      </c>
      <c r="CF273" t="e">
        <v>#VALUE!</v>
      </c>
      <c r="CG273" t="e">
        <v>#VALUE!</v>
      </c>
      <c r="CH273" t="e">
        <v>#VALUE!</v>
      </c>
      <c r="CI273" t="e">
        <v>#VALUE!</v>
      </c>
      <c r="CJ273" t="e">
        <v>#VALUE!</v>
      </c>
    </row>
    <row r="274" spans="1:88">
      <c r="A274" t="s">
        <v>26</v>
      </c>
      <c r="B274" t="s">
        <v>281</v>
      </c>
      <c r="C274" t="s">
        <v>281</v>
      </c>
      <c r="D274">
        <v>0.075</v>
      </c>
      <c r="E274">
        <v>0.0753110720747689</v>
      </c>
      <c r="F274">
        <v>0.0768410461346973</v>
      </c>
      <c r="G274">
        <v>0.0781119442560324</v>
      </c>
      <c r="H274">
        <v>0.0793484421628639</v>
      </c>
      <c r="I274">
        <v>0.0805531341331923</v>
      </c>
      <c r="J274">
        <v>0.0817408074865581</v>
      </c>
      <c r="K274">
        <v>0.0829795290311093</v>
      </c>
      <c r="L274">
        <v>0.083994740218838</v>
      </c>
      <c r="M274">
        <v>0.0848603003519903</v>
      </c>
      <c r="N274">
        <v>0.0855884816788503</v>
      </c>
      <c r="O274">
        <v>0.0862618372182712</v>
      </c>
      <c r="P274">
        <v>0.0868993362662605</v>
      </c>
      <c r="Q274">
        <v>0.0874302494168652</v>
      </c>
      <c r="R274">
        <v>0.0877673854478052</v>
      </c>
      <c r="S274">
        <v>0.0879101303772842</v>
      </c>
      <c r="T274">
        <v>0.0879333970091519</v>
      </c>
      <c r="U274">
        <v>0.0878886312020712</v>
      </c>
      <c r="V274">
        <v>5</v>
      </c>
      <c r="AF274" s="99" t="s">
        <v>277</v>
      </c>
      <c r="AH274">
        <v>1</v>
      </c>
      <c r="AI274">
        <v>1.00520038942529</v>
      </c>
      <c r="AJ274">
        <v>1.03120233655177</v>
      </c>
      <c r="AK274">
        <v>1.05326134321016</v>
      </c>
      <c r="AL274">
        <v>1.07517129113885</v>
      </c>
      <c r="AM274">
        <v>1.09697150487709</v>
      </c>
      <c r="AN274">
        <v>1.118929204032</v>
      </c>
      <c r="AO274">
        <v>1.14233722964613</v>
      </c>
      <c r="AP274">
        <v>1.16196092376713</v>
      </c>
      <c r="AQ274">
        <v>1.17906653655862</v>
      </c>
      <c r="AR274">
        <v>1.19378290270154</v>
      </c>
      <c r="AS274">
        <v>1.2076968609842</v>
      </c>
      <c r="AT274">
        <v>1.22116888634965</v>
      </c>
      <c r="AU274">
        <v>1.23264697031578</v>
      </c>
      <c r="AV274">
        <v>1.24010290295621</v>
      </c>
      <c r="AW274">
        <v>1.24332994955036</v>
      </c>
      <c r="AX274">
        <v>1.2438671976603</v>
      </c>
      <c r="AY274">
        <v>1.24281180193091</v>
      </c>
      <c r="AZ274">
        <v>0</v>
      </c>
      <c r="BA274">
        <v>0</v>
      </c>
      <c r="BB274">
        <v>0</v>
      </c>
      <c r="BC274">
        <v>0</v>
      </c>
      <c r="BD274">
        <v>0</v>
      </c>
      <c r="BE274">
        <v>0</v>
      </c>
      <c r="BF274">
        <v>0</v>
      </c>
      <c r="BG274">
        <v>0</v>
      </c>
      <c r="BI274" t="s">
        <v>287</v>
      </c>
      <c r="BK274">
        <v>0.8</v>
      </c>
      <c r="BL274">
        <v>0.797560975609756</v>
      </c>
      <c r="BM274">
        <v>0.785365853658536</v>
      </c>
      <c r="BN274">
        <v>0.773170731707317</v>
      </c>
      <c r="BO274">
        <v>0.760975609756097</v>
      </c>
      <c r="BP274">
        <v>0.748780487804878</v>
      </c>
      <c r="BQ274">
        <v>0.736585365853658</v>
      </c>
      <c r="BR274">
        <v>0.724390243902439</v>
      </c>
      <c r="BS274">
        <v>0.71219512195122</v>
      </c>
      <c r="BT274">
        <v>0.699999999999999</v>
      </c>
      <c r="BU274">
        <v>0.687499999999999</v>
      </c>
      <c r="BV274">
        <v>0.675</v>
      </c>
      <c r="BW274">
        <v>0.6625</v>
      </c>
      <c r="BX274">
        <v>0.649999999999999</v>
      </c>
      <c r="BY274">
        <v>0.637499999999999</v>
      </c>
      <c r="BZ274">
        <v>0.625</v>
      </c>
      <c r="CA274">
        <v>0.6125</v>
      </c>
      <c r="CB274">
        <v>0.6</v>
      </c>
      <c r="CC274" t="e">
        <v>#VALUE!</v>
      </c>
      <c r="CD274" t="e">
        <v>#VALUE!</v>
      </c>
      <c r="CE274" t="e">
        <v>#VALUE!</v>
      </c>
      <c r="CF274" t="e">
        <v>#VALUE!</v>
      </c>
      <c r="CG274" t="e">
        <v>#VALUE!</v>
      </c>
      <c r="CH274" t="e">
        <v>#VALUE!</v>
      </c>
      <c r="CI274" t="e">
        <v>#VALUE!</v>
      </c>
      <c r="CJ274" t="e">
        <v>#VALUE!</v>
      </c>
    </row>
    <row r="275" spans="1:88">
      <c r="A275" t="s">
        <v>26</v>
      </c>
      <c r="B275" t="s">
        <v>282</v>
      </c>
      <c r="C275" t="s">
        <v>282</v>
      </c>
      <c r="D275">
        <v>0.315</v>
      </c>
      <c r="E275">
        <v>0.316306502714029</v>
      </c>
      <c r="F275">
        <v>0.322732393765729</v>
      </c>
      <c r="G275">
        <v>0.328070165875336</v>
      </c>
      <c r="H275">
        <v>0.333263457084028</v>
      </c>
      <c r="I275">
        <v>0.338323163359408</v>
      </c>
      <c r="J275">
        <v>0.343311391443544</v>
      </c>
      <c r="K275">
        <v>0.348514021930659</v>
      </c>
      <c r="L275">
        <v>0.35277790891912</v>
      </c>
      <c r="M275">
        <v>0.356413261478359</v>
      </c>
      <c r="N275">
        <v>0.359471623051171</v>
      </c>
      <c r="O275">
        <v>0.362299716316739</v>
      </c>
      <c r="P275">
        <v>0.364977212318294</v>
      </c>
      <c r="Q275">
        <v>0.367207047550834</v>
      </c>
      <c r="R275">
        <v>0.368623018880782</v>
      </c>
      <c r="S275">
        <v>0.369222547584594</v>
      </c>
      <c r="T275">
        <v>0.369320267438438</v>
      </c>
      <c r="U275">
        <v>0.369132251048699</v>
      </c>
      <c r="V275">
        <v>5</v>
      </c>
      <c r="AF275" s="99" t="s">
        <v>277</v>
      </c>
      <c r="AH275">
        <v>1</v>
      </c>
      <c r="AI275">
        <v>1.00520038942529</v>
      </c>
      <c r="AJ275">
        <v>1.03120233655177</v>
      </c>
      <c r="AK275">
        <v>1.05326134321016</v>
      </c>
      <c r="AL275">
        <v>1.07517129113885</v>
      </c>
      <c r="AM275">
        <v>1.09697150487709</v>
      </c>
      <c r="AN275">
        <v>1.118929204032</v>
      </c>
      <c r="AO275">
        <v>1.14233722964613</v>
      </c>
      <c r="AP275">
        <v>1.16196092376713</v>
      </c>
      <c r="AQ275">
        <v>1.17906653655862</v>
      </c>
      <c r="AR275">
        <v>1.19378290270154</v>
      </c>
      <c r="AS275">
        <v>1.2076968609842</v>
      </c>
      <c r="AT275">
        <v>1.22116888634965</v>
      </c>
      <c r="AU275">
        <v>1.23264697031578</v>
      </c>
      <c r="AV275">
        <v>1.24010290295621</v>
      </c>
      <c r="AW275">
        <v>1.24332994955036</v>
      </c>
      <c r="AX275">
        <v>1.2438671976603</v>
      </c>
      <c r="AY275">
        <v>1.24281180193091</v>
      </c>
      <c r="AZ275">
        <v>0</v>
      </c>
      <c r="BA275">
        <v>0</v>
      </c>
      <c r="BB275">
        <v>0</v>
      </c>
      <c r="BC275">
        <v>0</v>
      </c>
      <c r="BD275">
        <v>0</v>
      </c>
      <c r="BE275">
        <v>0</v>
      </c>
      <c r="BF275">
        <v>0</v>
      </c>
      <c r="BG275">
        <v>0</v>
      </c>
      <c r="BI275" t="s">
        <v>287</v>
      </c>
      <c r="BK275">
        <v>0.8</v>
      </c>
      <c r="BL275">
        <v>0.797560975609756</v>
      </c>
      <c r="BM275">
        <v>0.785365853658536</v>
      </c>
      <c r="BN275">
        <v>0.773170731707317</v>
      </c>
      <c r="BO275">
        <v>0.760975609756097</v>
      </c>
      <c r="BP275">
        <v>0.748780487804878</v>
      </c>
      <c r="BQ275">
        <v>0.736585365853658</v>
      </c>
      <c r="BR275">
        <v>0.724390243902439</v>
      </c>
      <c r="BS275">
        <v>0.71219512195122</v>
      </c>
      <c r="BT275">
        <v>0.699999999999999</v>
      </c>
      <c r="BU275">
        <v>0.687499999999999</v>
      </c>
      <c r="BV275">
        <v>0.675</v>
      </c>
      <c r="BW275">
        <v>0.6625</v>
      </c>
      <c r="BX275">
        <v>0.649999999999999</v>
      </c>
      <c r="BY275">
        <v>0.637499999999999</v>
      </c>
      <c r="BZ275">
        <v>0.625</v>
      </c>
      <c r="CA275">
        <v>0.6125</v>
      </c>
      <c r="CB275">
        <v>0.6</v>
      </c>
      <c r="CC275" t="e">
        <v>#VALUE!</v>
      </c>
      <c r="CD275" t="e">
        <v>#VALUE!</v>
      </c>
      <c r="CE275" t="e">
        <v>#VALUE!</v>
      </c>
      <c r="CF275" t="e">
        <v>#VALUE!</v>
      </c>
      <c r="CG275" t="e">
        <v>#VALUE!</v>
      </c>
      <c r="CH275" t="e">
        <v>#VALUE!</v>
      </c>
      <c r="CI275" t="e">
        <v>#VALUE!</v>
      </c>
      <c r="CJ275" t="e">
        <v>#VALUE!</v>
      </c>
    </row>
    <row r="276" spans="1:88">
      <c r="A276" t="s">
        <v>26</v>
      </c>
      <c r="B276" t="s">
        <v>283</v>
      </c>
      <c r="C276" t="s">
        <v>283</v>
      </c>
      <c r="D276">
        <v>28.044</v>
      </c>
      <c r="E276">
        <v>28.1149484982275</v>
      </c>
      <c r="F276">
        <v>29.9541710217975</v>
      </c>
      <c r="G276">
        <v>31.5458727550652</v>
      </c>
      <c r="H276">
        <v>33.0180825098467</v>
      </c>
      <c r="I276">
        <v>34.4573923848731</v>
      </c>
      <c r="J276">
        <v>35.8678793719566</v>
      </c>
      <c r="K276">
        <v>37.205302841814</v>
      </c>
      <c r="L276">
        <v>38.544786240563</v>
      </c>
      <c r="M276">
        <v>39.8905923325315</v>
      </c>
      <c r="N276">
        <v>41.2498604327514</v>
      </c>
      <c r="O276">
        <v>42.4901218298381</v>
      </c>
      <c r="P276">
        <v>43.6098096480853</v>
      </c>
      <c r="Q276">
        <v>44.6408797027853</v>
      </c>
      <c r="R276">
        <v>45.6252440321448</v>
      </c>
      <c r="S276">
        <v>46.575769628912</v>
      </c>
      <c r="T276">
        <v>47.4664832322902</v>
      </c>
      <c r="U276">
        <v>48.2633582937033</v>
      </c>
      <c r="V276">
        <v>5</v>
      </c>
      <c r="AF276" s="99" t="s">
        <v>284</v>
      </c>
      <c r="AH276">
        <v>1</v>
      </c>
      <c r="AI276">
        <v>1.00317204509485</v>
      </c>
      <c r="AJ276">
        <v>1.08673242212604</v>
      </c>
      <c r="AK276">
        <v>1.16142055503622</v>
      </c>
      <c r="AL276">
        <v>1.23264776197482</v>
      </c>
      <c r="AM276">
        <v>1.30440850542095</v>
      </c>
      <c r="AN276">
        <v>1.37689835708347</v>
      </c>
      <c r="AO276">
        <v>1.44777326845269</v>
      </c>
      <c r="AP276">
        <v>1.52096028613944</v>
      </c>
      <c r="AQ276">
        <v>1.59682445123054</v>
      </c>
      <c r="AR276">
        <v>1.6759686544594</v>
      </c>
      <c r="AS276">
        <v>1.75062261658181</v>
      </c>
      <c r="AT276">
        <v>1.82025570042895</v>
      </c>
      <c r="AU276">
        <v>1.88646561476331</v>
      </c>
      <c r="AV276">
        <v>1.95171731431691</v>
      </c>
      <c r="AW276">
        <v>2.01677453618662</v>
      </c>
      <c r="AX276">
        <v>2.07974389938496</v>
      </c>
      <c r="AY276">
        <v>2.13793569896965</v>
      </c>
      <c r="AZ276">
        <v>0</v>
      </c>
      <c r="BA276">
        <v>0</v>
      </c>
      <c r="BB276">
        <v>0</v>
      </c>
      <c r="BC276">
        <v>0</v>
      </c>
      <c r="BD276">
        <v>0</v>
      </c>
      <c r="BE276">
        <v>0</v>
      </c>
      <c r="BF276">
        <v>0</v>
      </c>
      <c r="BG276">
        <v>0</v>
      </c>
      <c r="BI276" t="s">
        <v>287</v>
      </c>
      <c r="BK276">
        <v>0.8</v>
      </c>
      <c r="BL276">
        <v>0.797560975609756</v>
      </c>
      <c r="BM276">
        <v>0.785365853658536</v>
      </c>
      <c r="BN276">
        <v>0.773170731707317</v>
      </c>
      <c r="BO276">
        <v>0.760975609756097</v>
      </c>
      <c r="BP276">
        <v>0.748780487804878</v>
      </c>
      <c r="BQ276">
        <v>0.736585365853658</v>
      </c>
      <c r="BR276">
        <v>0.724390243902439</v>
      </c>
      <c r="BS276">
        <v>0.71219512195122</v>
      </c>
      <c r="BT276">
        <v>0.699999999999999</v>
      </c>
      <c r="BU276">
        <v>0.687499999999999</v>
      </c>
      <c r="BV276">
        <v>0.675</v>
      </c>
      <c r="BW276">
        <v>0.6625</v>
      </c>
      <c r="BX276">
        <v>0.649999999999999</v>
      </c>
      <c r="BY276">
        <v>0.637499999999999</v>
      </c>
      <c r="BZ276">
        <v>0.625</v>
      </c>
      <c r="CA276">
        <v>0.6125</v>
      </c>
      <c r="CB276">
        <v>0.6</v>
      </c>
      <c r="CC276" t="e">
        <v>#VALUE!</v>
      </c>
      <c r="CD276" t="e">
        <v>#VALUE!</v>
      </c>
      <c r="CE276" t="e">
        <v>#VALUE!</v>
      </c>
      <c r="CF276" t="e">
        <v>#VALUE!</v>
      </c>
      <c r="CG276" t="e">
        <v>#VALUE!</v>
      </c>
      <c r="CH276" t="e">
        <v>#VALUE!</v>
      </c>
      <c r="CI276" t="e">
        <v>#VALUE!</v>
      </c>
      <c r="CJ276" t="e">
        <v>#VALUE!</v>
      </c>
    </row>
    <row r="277" spans="1:88">
      <c r="A277" t="s">
        <v>26</v>
      </c>
      <c r="B277" t="s">
        <v>285</v>
      </c>
      <c r="C277" t="s">
        <v>285</v>
      </c>
      <c r="D277">
        <v>9.5</v>
      </c>
      <c r="E277">
        <v>9.56356149330794</v>
      </c>
      <c r="F277">
        <v>10.3996610765552</v>
      </c>
      <c r="G277">
        <v>11.1361017845004</v>
      </c>
      <c r="H277">
        <v>11.842904364326</v>
      </c>
      <c r="I277">
        <v>12.5494251580668</v>
      </c>
      <c r="J277">
        <v>13.2584372545531</v>
      </c>
      <c r="K277">
        <v>13.964075338883</v>
      </c>
      <c r="L277">
        <v>14.6462963013933</v>
      </c>
      <c r="M277">
        <v>15.316134697541</v>
      </c>
      <c r="N277">
        <v>15.9759713560398</v>
      </c>
      <c r="O277">
        <v>16.5876089958359</v>
      </c>
      <c r="P277">
        <v>17.1521841376815</v>
      </c>
      <c r="Q277">
        <v>17.6663178165446</v>
      </c>
      <c r="R277">
        <v>18.1263517965966</v>
      </c>
      <c r="S277">
        <v>18.5344473979954</v>
      </c>
      <c r="T277">
        <v>18.8939581650872</v>
      </c>
      <c r="U277">
        <v>19.2012652018143</v>
      </c>
      <c r="V277">
        <v>5</v>
      </c>
      <c r="AF277" s="99" t="s">
        <v>272</v>
      </c>
      <c r="AH277">
        <v>1</v>
      </c>
      <c r="AI277">
        <v>1.00838893038991</v>
      </c>
      <c r="AJ277">
        <v>1.12064101290293</v>
      </c>
      <c r="AK277">
        <v>1.22327937382933</v>
      </c>
      <c r="AL277">
        <v>1.32530748576188</v>
      </c>
      <c r="AM277">
        <v>1.43089896116608</v>
      </c>
      <c r="AN277">
        <v>1.54065178272437</v>
      </c>
      <c r="AO277">
        <v>1.65384530463998</v>
      </c>
      <c r="AP277">
        <v>1.7672964190957</v>
      </c>
      <c r="AQ277">
        <v>1.88276227520451</v>
      </c>
      <c r="AR277">
        <v>2.00074272515735</v>
      </c>
      <c r="AS277">
        <v>2.1142214388138</v>
      </c>
      <c r="AT277">
        <v>2.22283962656441</v>
      </c>
      <c r="AU277">
        <v>2.3253461246429</v>
      </c>
      <c r="AV277">
        <v>2.4203303072343</v>
      </c>
      <c r="AW277">
        <v>2.50751618233136</v>
      </c>
      <c r="AX277">
        <v>2.58692521597908</v>
      </c>
      <c r="AY277">
        <v>2.6570517184489</v>
      </c>
      <c r="AZ277">
        <v>0</v>
      </c>
      <c r="BA277">
        <v>0</v>
      </c>
      <c r="BB277">
        <v>0</v>
      </c>
      <c r="BC277">
        <v>0</v>
      </c>
      <c r="BD277">
        <v>0</v>
      </c>
      <c r="BE277">
        <v>0</v>
      </c>
      <c r="BF277">
        <v>0</v>
      </c>
      <c r="BG277">
        <v>0</v>
      </c>
      <c r="BI277" t="s">
        <v>287</v>
      </c>
      <c r="BK277">
        <v>0.8</v>
      </c>
      <c r="BL277">
        <v>0.797560975609756</v>
      </c>
      <c r="BM277">
        <v>0.785365853658536</v>
      </c>
      <c r="BN277">
        <v>0.773170731707317</v>
      </c>
      <c r="BO277">
        <v>0.760975609756097</v>
      </c>
      <c r="BP277">
        <v>0.748780487804878</v>
      </c>
      <c r="BQ277">
        <v>0.736585365853658</v>
      </c>
      <c r="BR277">
        <v>0.724390243902439</v>
      </c>
      <c r="BS277">
        <v>0.71219512195122</v>
      </c>
      <c r="BT277">
        <v>0.699999999999999</v>
      </c>
      <c r="BU277">
        <v>0.687499999999999</v>
      </c>
      <c r="BV277">
        <v>0.675</v>
      </c>
      <c r="BW277">
        <v>0.6625</v>
      </c>
      <c r="BX277">
        <v>0.649999999999999</v>
      </c>
      <c r="BY277">
        <v>0.637499999999999</v>
      </c>
      <c r="BZ277">
        <v>0.625</v>
      </c>
      <c r="CA277">
        <v>0.6125</v>
      </c>
      <c r="CB277">
        <v>0.6</v>
      </c>
      <c r="CC277" t="e">
        <v>#VALUE!</v>
      </c>
      <c r="CD277" t="e">
        <v>#VALUE!</v>
      </c>
      <c r="CE277" t="e">
        <v>#VALUE!</v>
      </c>
      <c r="CF277" t="e">
        <v>#VALUE!</v>
      </c>
      <c r="CG277" t="e">
        <v>#VALUE!</v>
      </c>
      <c r="CH277" t="e">
        <v>#VALUE!</v>
      </c>
      <c r="CI277" t="e">
        <v>#VALUE!</v>
      </c>
      <c r="CJ277" t="e">
        <v>#VALUE!</v>
      </c>
    </row>
    <row r="278" spans="1:88">
      <c r="A278" t="s">
        <v>26</v>
      </c>
      <c r="B278" t="s">
        <v>286</v>
      </c>
      <c r="C278" t="s">
        <v>286</v>
      </c>
      <c r="D278">
        <v>5.16</v>
      </c>
      <c r="E278">
        <v>5.19452392689147</v>
      </c>
      <c r="F278">
        <v>5.64865801631842</v>
      </c>
      <c r="G278">
        <v>6.04866160084444</v>
      </c>
      <c r="H278">
        <v>6.43256700209709</v>
      </c>
      <c r="I278">
        <v>6.8163193490131</v>
      </c>
      <c r="J278">
        <v>7.2014248666836</v>
      </c>
      <c r="K278">
        <v>7.58469776301432</v>
      </c>
      <c r="L278">
        <v>7.9552514647568</v>
      </c>
      <c r="M278">
        <v>8.31907947782227</v>
      </c>
      <c r="N278">
        <v>8.67747496812266</v>
      </c>
      <c r="O278">
        <v>9.00969078089616</v>
      </c>
      <c r="P278">
        <v>9.31634422636175</v>
      </c>
      <c r="Q278">
        <v>9.59559999298634</v>
      </c>
      <c r="R278">
        <v>9.84547108109876</v>
      </c>
      <c r="S278">
        <v>10.0671314288059</v>
      </c>
      <c r="T278">
        <v>10.2624025401947</v>
      </c>
      <c r="U278">
        <v>10.4293187833012</v>
      </c>
      <c r="V278">
        <v>5</v>
      </c>
      <c r="AF278" s="99" t="s">
        <v>272</v>
      </c>
      <c r="AH278">
        <v>1</v>
      </c>
      <c r="AI278">
        <v>1.00838893038991</v>
      </c>
      <c r="AJ278">
        <v>1.12064101290293</v>
      </c>
      <c r="AK278">
        <v>1.22327937382933</v>
      </c>
      <c r="AL278">
        <v>1.32530748576188</v>
      </c>
      <c r="AM278">
        <v>1.43089896116608</v>
      </c>
      <c r="AN278">
        <v>1.54065178272437</v>
      </c>
      <c r="AO278">
        <v>1.65384530463998</v>
      </c>
      <c r="AP278">
        <v>1.7672964190957</v>
      </c>
      <c r="AQ278">
        <v>1.88276227520451</v>
      </c>
      <c r="AR278">
        <v>2.00074272515735</v>
      </c>
      <c r="AS278">
        <v>2.1142214388138</v>
      </c>
      <c r="AT278">
        <v>2.22283962656441</v>
      </c>
      <c r="AU278">
        <v>2.3253461246429</v>
      </c>
      <c r="AV278">
        <v>2.4203303072343</v>
      </c>
      <c r="AW278">
        <v>2.50751618233136</v>
      </c>
      <c r="AX278">
        <v>2.58692521597908</v>
      </c>
      <c r="AY278">
        <v>2.6570517184489</v>
      </c>
      <c r="AZ278">
        <v>0</v>
      </c>
      <c r="BA278">
        <v>0</v>
      </c>
      <c r="BB278">
        <v>0</v>
      </c>
      <c r="BC278">
        <v>0</v>
      </c>
      <c r="BD278">
        <v>0</v>
      </c>
      <c r="BE278">
        <v>0</v>
      </c>
      <c r="BF278">
        <v>0</v>
      </c>
      <c r="BG278">
        <v>0</v>
      </c>
      <c r="BI278" t="s">
        <v>287</v>
      </c>
      <c r="BK278">
        <v>0.8</v>
      </c>
      <c r="BL278">
        <v>0.797560975609756</v>
      </c>
      <c r="BM278">
        <v>0.785365853658536</v>
      </c>
      <c r="BN278">
        <v>0.773170731707317</v>
      </c>
      <c r="BO278">
        <v>0.760975609756097</v>
      </c>
      <c r="BP278">
        <v>0.748780487804878</v>
      </c>
      <c r="BQ278">
        <v>0.736585365853658</v>
      </c>
      <c r="BR278">
        <v>0.724390243902439</v>
      </c>
      <c r="BS278">
        <v>0.71219512195122</v>
      </c>
      <c r="BT278">
        <v>0.699999999999999</v>
      </c>
      <c r="BU278">
        <v>0.687499999999999</v>
      </c>
      <c r="BV278">
        <v>0.675</v>
      </c>
      <c r="BW278">
        <v>0.6625</v>
      </c>
      <c r="BX278">
        <v>0.649999999999999</v>
      </c>
      <c r="BY278">
        <v>0.637499999999999</v>
      </c>
      <c r="BZ278">
        <v>0.625</v>
      </c>
      <c r="CA278">
        <v>0.6125</v>
      </c>
      <c r="CB278">
        <v>0.6</v>
      </c>
      <c r="CC278" t="e">
        <v>#VALUE!</v>
      </c>
      <c r="CD278" t="e">
        <v>#VALUE!</v>
      </c>
      <c r="CE278" t="e">
        <v>#VALUE!</v>
      </c>
      <c r="CF278" t="e">
        <v>#VALUE!</v>
      </c>
      <c r="CG278" t="e">
        <v>#VALUE!</v>
      </c>
      <c r="CH278" t="e">
        <v>#VALUE!</v>
      </c>
      <c r="CI278" t="e">
        <v>#VALUE!</v>
      </c>
      <c r="CJ278" t="e">
        <v>#VALUE!</v>
      </c>
    </row>
    <row r="279" spans="1:88">
      <c r="A279" t="s">
        <v>27</v>
      </c>
      <c r="B279" t="s">
        <v>271</v>
      </c>
      <c r="C279" t="s">
        <v>271</v>
      </c>
      <c r="D279">
        <v>1.416206034</v>
      </c>
      <c r="E279">
        <v>1.45078903816604</v>
      </c>
      <c r="F279">
        <v>1.67358946692635</v>
      </c>
      <c r="G279">
        <v>1.89977644138347</v>
      </c>
      <c r="H279">
        <v>2.06659834572433</v>
      </c>
      <c r="I279">
        <v>2.19885507254172</v>
      </c>
      <c r="J279">
        <v>2.28407391248981</v>
      </c>
      <c r="K279">
        <v>2.34843398536991</v>
      </c>
      <c r="L279">
        <v>2.39793034741891</v>
      </c>
      <c r="M279">
        <v>2.44043590923484</v>
      </c>
      <c r="N279">
        <v>2.476956489541</v>
      </c>
      <c r="O279">
        <v>2.50268399169638</v>
      </c>
      <c r="P279">
        <v>2.51667886800804</v>
      </c>
      <c r="Q279">
        <v>2.52202763143716</v>
      </c>
      <c r="R279">
        <v>2.5245495873275</v>
      </c>
      <c r="S279">
        <v>2.5292101114614</v>
      </c>
      <c r="T279">
        <v>2.53752622646111</v>
      </c>
      <c r="U279">
        <v>2.54719345980053</v>
      </c>
      <c r="V279">
        <v>5</v>
      </c>
      <c r="AF279" s="99" t="s">
        <v>272</v>
      </c>
      <c r="AH279">
        <v>1</v>
      </c>
      <c r="AI279">
        <v>1.0306176871124</v>
      </c>
      <c r="AJ279">
        <v>1.2321465865568</v>
      </c>
      <c r="AK279">
        <v>1.44752671431604</v>
      </c>
      <c r="AL279">
        <v>1.61456130872964</v>
      </c>
      <c r="AM279">
        <v>1.75255578895043</v>
      </c>
      <c r="AN279">
        <v>1.84476786031748</v>
      </c>
      <c r="AO279">
        <v>1.91652671604205</v>
      </c>
      <c r="AP279">
        <v>1.97324339671817</v>
      </c>
      <c r="AQ279">
        <v>2.02321137923714</v>
      </c>
      <c r="AR279">
        <v>2.06725051823443</v>
      </c>
      <c r="AS279">
        <v>2.0990608780902</v>
      </c>
      <c r="AT279">
        <v>2.11677836826489</v>
      </c>
      <c r="AU279">
        <v>2.12369966739792</v>
      </c>
      <c r="AV279">
        <v>2.12703086623252</v>
      </c>
      <c r="AW279">
        <v>2.13331354175477</v>
      </c>
      <c r="AX279">
        <v>2.1447656165048</v>
      </c>
      <c r="AY279">
        <v>2.15838383350219</v>
      </c>
      <c r="AZ279">
        <v>0</v>
      </c>
      <c r="BA279">
        <v>0</v>
      </c>
      <c r="BB279">
        <v>0</v>
      </c>
      <c r="BC279">
        <v>0</v>
      </c>
      <c r="BD279">
        <v>0</v>
      </c>
      <c r="BE279">
        <v>0</v>
      </c>
      <c r="BF279">
        <v>0</v>
      </c>
      <c r="BG279">
        <v>0</v>
      </c>
      <c r="BI279" t="s">
        <v>287</v>
      </c>
      <c r="BK279">
        <v>0.8</v>
      </c>
      <c r="BL279">
        <v>0.797560975609756</v>
      </c>
      <c r="BM279">
        <v>0.785365853658536</v>
      </c>
      <c r="BN279">
        <v>0.773170731707317</v>
      </c>
      <c r="BO279">
        <v>0.760975609756097</v>
      </c>
      <c r="BP279">
        <v>0.748780487804878</v>
      </c>
      <c r="BQ279">
        <v>0.736585365853658</v>
      </c>
      <c r="BR279">
        <v>0.724390243902439</v>
      </c>
      <c r="BS279">
        <v>0.71219512195122</v>
      </c>
      <c r="BT279">
        <v>0.699999999999999</v>
      </c>
      <c r="BU279">
        <v>0.687499999999999</v>
      </c>
      <c r="BV279">
        <v>0.675</v>
      </c>
      <c r="BW279">
        <v>0.6625</v>
      </c>
      <c r="BX279">
        <v>0.649999999999999</v>
      </c>
      <c r="BY279">
        <v>0.637499999999999</v>
      </c>
      <c r="BZ279">
        <v>0.625</v>
      </c>
      <c r="CA279">
        <v>0.6125</v>
      </c>
      <c r="CB279">
        <v>0.6</v>
      </c>
      <c r="CC279" t="e">
        <v>#VALUE!</v>
      </c>
      <c r="CD279" t="e">
        <v>#VALUE!</v>
      </c>
      <c r="CE279" t="e">
        <v>#VALUE!</v>
      </c>
      <c r="CF279" t="e">
        <v>#VALUE!</v>
      </c>
      <c r="CG279" t="e">
        <v>#VALUE!</v>
      </c>
      <c r="CH279" t="e">
        <v>#VALUE!</v>
      </c>
      <c r="CI279" t="e">
        <v>#VALUE!</v>
      </c>
      <c r="CJ279" t="e">
        <v>#VALUE!</v>
      </c>
    </row>
    <row r="280" spans="1:88">
      <c r="A280" t="s">
        <v>27</v>
      </c>
      <c r="B280" t="s">
        <v>274</v>
      </c>
      <c r="C280" t="s">
        <v>274</v>
      </c>
      <c r="D280">
        <v>45.0546614028</v>
      </c>
      <c r="E280">
        <v>46.1548724636098</v>
      </c>
      <c r="F280">
        <v>53.242963911605</v>
      </c>
      <c r="G280">
        <v>60.4387936872386</v>
      </c>
      <c r="H280">
        <v>65.7460048092101</v>
      </c>
      <c r="I280">
        <v>69.9535720006657</v>
      </c>
      <c r="J280">
        <v>72.6646930429594</v>
      </c>
      <c r="K280">
        <v>74.7122208897957</v>
      </c>
      <c r="L280">
        <v>76.2868800702042</v>
      </c>
      <c r="M280">
        <v>77.6391364858497</v>
      </c>
      <c r="N280">
        <v>78.8009888861538</v>
      </c>
      <c r="O280">
        <v>79.6194742410541</v>
      </c>
      <c r="P280">
        <v>80.0647021234795</v>
      </c>
      <c r="Q280">
        <v>80.234865729224</v>
      </c>
      <c r="R280">
        <v>80.3150983126081</v>
      </c>
      <c r="S280">
        <v>80.4633665248395</v>
      </c>
      <c r="T280">
        <v>80.7279323694296</v>
      </c>
      <c r="U280">
        <v>81.0354821992938</v>
      </c>
      <c r="V280">
        <v>5</v>
      </c>
      <c r="AF280" s="99" t="s">
        <v>272</v>
      </c>
      <c r="AH280">
        <v>1</v>
      </c>
      <c r="AI280">
        <v>1.0306176871124</v>
      </c>
      <c r="AJ280">
        <v>1.2321465865568</v>
      </c>
      <c r="AK280">
        <v>1.44752671431604</v>
      </c>
      <c r="AL280">
        <v>1.61456130872964</v>
      </c>
      <c r="AM280">
        <v>1.75255578895043</v>
      </c>
      <c r="AN280">
        <v>1.84476786031748</v>
      </c>
      <c r="AO280">
        <v>1.91652671604205</v>
      </c>
      <c r="AP280">
        <v>1.97324339671817</v>
      </c>
      <c r="AQ280">
        <v>2.02321137923714</v>
      </c>
      <c r="AR280">
        <v>2.06725051823443</v>
      </c>
      <c r="AS280">
        <v>2.0990608780902</v>
      </c>
      <c r="AT280">
        <v>2.11677836826489</v>
      </c>
      <c r="AU280">
        <v>2.12369966739792</v>
      </c>
      <c r="AV280">
        <v>2.12703086623252</v>
      </c>
      <c r="AW280">
        <v>2.13331354175477</v>
      </c>
      <c r="AX280">
        <v>2.1447656165048</v>
      </c>
      <c r="AY280">
        <v>2.15838383350219</v>
      </c>
      <c r="AZ280">
        <v>0</v>
      </c>
      <c r="BA280">
        <v>0</v>
      </c>
      <c r="BB280">
        <v>0</v>
      </c>
      <c r="BC280">
        <v>0</v>
      </c>
      <c r="BD280">
        <v>0</v>
      </c>
      <c r="BE280">
        <v>0</v>
      </c>
      <c r="BF280">
        <v>0</v>
      </c>
      <c r="BG280">
        <v>0</v>
      </c>
      <c r="BI280" t="s">
        <v>287</v>
      </c>
      <c r="BK280">
        <v>0.8</v>
      </c>
      <c r="BL280">
        <v>0.797560975609756</v>
      </c>
      <c r="BM280">
        <v>0.785365853658536</v>
      </c>
      <c r="BN280">
        <v>0.773170731707317</v>
      </c>
      <c r="BO280">
        <v>0.760975609756097</v>
      </c>
      <c r="BP280">
        <v>0.748780487804878</v>
      </c>
      <c r="BQ280">
        <v>0.736585365853658</v>
      </c>
      <c r="BR280">
        <v>0.724390243902439</v>
      </c>
      <c r="BS280">
        <v>0.71219512195122</v>
      </c>
      <c r="BT280">
        <v>0.699999999999999</v>
      </c>
      <c r="BU280">
        <v>0.687499999999999</v>
      </c>
      <c r="BV280">
        <v>0.675</v>
      </c>
      <c r="BW280">
        <v>0.6625</v>
      </c>
      <c r="BX280">
        <v>0.649999999999999</v>
      </c>
      <c r="BY280">
        <v>0.637499999999999</v>
      </c>
      <c r="BZ280">
        <v>0.625</v>
      </c>
      <c r="CA280">
        <v>0.6125</v>
      </c>
      <c r="CB280">
        <v>0.6</v>
      </c>
      <c r="CC280" t="e">
        <v>#VALUE!</v>
      </c>
      <c r="CD280" t="e">
        <v>#VALUE!</v>
      </c>
      <c r="CE280" t="e">
        <v>#VALUE!</v>
      </c>
      <c r="CF280" t="e">
        <v>#VALUE!</v>
      </c>
      <c r="CG280" t="e">
        <v>#VALUE!</v>
      </c>
      <c r="CH280" t="e">
        <v>#VALUE!</v>
      </c>
      <c r="CI280" t="e">
        <v>#VALUE!</v>
      </c>
      <c r="CJ280" t="e">
        <v>#VALUE!</v>
      </c>
    </row>
    <row r="281" spans="1:88">
      <c r="A281" t="s">
        <v>27</v>
      </c>
      <c r="B281" t="s">
        <v>275</v>
      </c>
      <c r="C281" t="s">
        <v>275</v>
      </c>
      <c r="D281">
        <v>4.3567505856</v>
      </c>
      <c r="E281">
        <v>4.46314013629739</v>
      </c>
      <c r="F281">
        <v>5.14855304597958</v>
      </c>
      <c r="G281">
        <v>5.84438416783818</v>
      </c>
      <c r="H281">
        <v>6.35758734024323</v>
      </c>
      <c r="I281">
        <v>6.76445580300758</v>
      </c>
      <c r="J281">
        <v>7.02661909135296</v>
      </c>
      <c r="K281">
        <v>7.22461343573354</v>
      </c>
      <c r="L281">
        <v>7.37688174921682</v>
      </c>
      <c r="M281">
        <v>7.50764388896689</v>
      </c>
      <c r="N281">
        <v>7.61999410907289</v>
      </c>
      <c r="O281">
        <v>7.69914100393881</v>
      </c>
      <c r="P281">
        <v>7.74219419260092</v>
      </c>
      <c r="Q281">
        <v>7.7586488804377</v>
      </c>
      <c r="R281">
        <v>7.76640730861715</v>
      </c>
      <c r="S281">
        <v>7.78074472899392</v>
      </c>
      <c r="T281">
        <v>7.8063280396317</v>
      </c>
      <c r="U281">
        <v>7.83606786808991</v>
      </c>
      <c r="V281">
        <v>5</v>
      </c>
      <c r="AF281" s="99" t="s">
        <v>272</v>
      </c>
      <c r="AH281">
        <v>1</v>
      </c>
      <c r="AI281">
        <v>1.0306176871124</v>
      </c>
      <c r="AJ281">
        <v>1.2321465865568</v>
      </c>
      <c r="AK281">
        <v>1.44752671431604</v>
      </c>
      <c r="AL281">
        <v>1.61456130872964</v>
      </c>
      <c r="AM281">
        <v>1.75255578895043</v>
      </c>
      <c r="AN281">
        <v>1.84476786031748</v>
      </c>
      <c r="AO281">
        <v>1.91652671604205</v>
      </c>
      <c r="AP281">
        <v>1.97324339671817</v>
      </c>
      <c r="AQ281">
        <v>2.02321137923714</v>
      </c>
      <c r="AR281">
        <v>2.06725051823443</v>
      </c>
      <c r="AS281">
        <v>2.0990608780902</v>
      </c>
      <c r="AT281">
        <v>2.11677836826489</v>
      </c>
      <c r="AU281">
        <v>2.12369966739792</v>
      </c>
      <c r="AV281">
        <v>2.12703086623252</v>
      </c>
      <c r="AW281">
        <v>2.13331354175477</v>
      </c>
      <c r="AX281">
        <v>2.1447656165048</v>
      </c>
      <c r="AY281">
        <v>2.15838383350219</v>
      </c>
      <c r="AZ281">
        <v>0</v>
      </c>
      <c r="BA281">
        <v>0</v>
      </c>
      <c r="BB281">
        <v>0</v>
      </c>
      <c r="BC281">
        <v>0</v>
      </c>
      <c r="BD281">
        <v>0</v>
      </c>
      <c r="BE281">
        <v>0</v>
      </c>
      <c r="BF281">
        <v>0</v>
      </c>
      <c r="BG281">
        <v>0</v>
      </c>
      <c r="BI281" t="s">
        <v>287</v>
      </c>
      <c r="BK281">
        <v>0.8</v>
      </c>
      <c r="BL281">
        <v>0.797560975609756</v>
      </c>
      <c r="BM281">
        <v>0.785365853658536</v>
      </c>
      <c r="BN281">
        <v>0.773170731707317</v>
      </c>
      <c r="BO281">
        <v>0.760975609756097</v>
      </c>
      <c r="BP281">
        <v>0.748780487804878</v>
      </c>
      <c r="BQ281">
        <v>0.736585365853658</v>
      </c>
      <c r="BR281">
        <v>0.724390243902439</v>
      </c>
      <c r="BS281">
        <v>0.71219512195122</v>
      </c>
      <c r="BT281">
        <v>0.699999999999999</v>
      </c>
      <c r="BU281">
        <v>0.687499999999999</v>
      </c>
      <c r="BV281">
        <v>0.675</v>
      </c>
      <c r="BW281">
        <v>0.6625</v>
      </c>
      <c r="BX281">
        <v>0.649999999999999</v>
      </c>
      <c r="BY281">
        <v>0.637499999999999</v>
      </c>
      <c r="BZ281">
        <v>0.625</v>
      </c>
      <c r="CA281">
        <v>0.6125</v>
      </c>
      <c r="CB281">
        <v>0.6</v>
      </c>
      <c r="CC281" t="e">
        <v>#VALUE!</v>
      </c>
      <c r="CD281" t="e">
        <v>#VALUE!</v>
      </c>
      <c r="CE281" t="e">
        <v>#VALUE!</v>
      </c>
      <c r="CF281" t="e">
        <v>#VALUE!</v>
      </c>
      <c r="CG281" t="e">
        <v>#VALUE!</v>
      </c>
      <c r="CH281" t="e">
        <v>#VALUE!</v>
      </c>
      <c r="CI281" t="e">
        <v>#VALUE!</v>
      </c>
      <c r="CJ281" t="e">
        <v>#VALUE!</v>
      </c>
    </row>
    <row r="282" spans="1:88">
      <c r="A282" t="s">
        <v>27</v>
      </c>
      <c r="B282" t="s">
        <v>276</v>
      </c>
      <c r="C282" t="s">
        <v>276</v>
      </c>
      <c r="D282">
        <v>10.5532145856</v>
      </c>
      <c r="E282">
        <v>10.5765290940029</v>
      </c>
      <c r="F282">
        <v>10.6912549901357</v>
      </c>
      <c r="G282">
        <v>10.5213143652996</v>
      </c>
      <c r="H282">
        <v>10.347440240102</v>
      </c>
      <c r="I282">
        <v>10.1800295633949</v>
      </c>
      <c r="J282">
        <v>10.0216774073118</v>
      </c>
      <c r="K282">
        <v>9.87991671494312</v>
      </c>
      <c r="L282">
        <v>9.73582876601084</v>
      </c>
      <c r="M282">
        <v>9.58730388792046</v>
      </c>
      <c r="N282">
        <v>9.43120438960828</v>
      </c>
      <c r="O282">
        <v>9.2653713666302</v>
      </c>
      <c r="P282">
        <v>9.09508633082815</v>
      </c>
      <c r="Q282">
        <v>8.93098144463285</v>
      </c>
      <c r="R282">
        <v>8.7825672397026</v>
      </c>
      <c r="S282">
        <v>8.65573998207745</v>
      </c>
      <c r="T282">
        <v>8.54975539732566</v>
      </c>
      <c r="U282">
        <v>8.4582264030971</v>
      </c>
      <c r="V282">
        <v>5</v>
      </c>
      <c r="AF282" s="99" t="s">
        <v>277</v>
      </c>
      <c r="AH282">
        <v>1</v>
      </c>
      <c r="AI282">
        <v>1.0027699861502</v>
      </c>
      <c r="AJ282">
        <v>1.0166199169012</v>
      </c>
      <c r="AK282">
        <v>0.995719654853716</v>
      </c>
      <c r="AL282">
        <v>0.974095890322423</v>
      </c>
      <c r="AM282">
        <v>0.953048540600472</v>
      </c>
      <c r="AN282">
        <v>0.932922104619262</v>
      </c>
      <c r="AO282">
        <v>0.914704628977335</v>
      </c>
      <c r="AP282">
        <v>0.895973831945608</v>
      </c>
      <c r="AQ282">
        <v>0.876447369820111</v>
      </c>
      <c r="AR282">
        <v>0.855690677226679</v>
      </c>
      <c r="AS282">
        <v>0.833400327199711</v>
      </c>
      <c r="AT282">
        <v>0.810280667467396</v>
      </c>
      <c r="AU282">
        <v>0.787788215222939</v>
      </c>
      <c r="AV282">
        <v>0.767252701419943</v>
      </c>
      <c r="AW282">
        <v>0.749525118425906</v>
      </c>
      <c r="AX282">
        <v>0.734541434629171</v>
      </c>
      <c r="AY282">
        <v>0.721435438101316</v>
      </c>
      <c r="AZ282">
        <v>0</v>
      </c>
      <c r="BA282">
        <v>0</v>
      </c>
      <c r="BB282">
        <v>0</v>
      </c>
      <c r="BC282">
        <v>0</v>
      </c>
      <c r="BD282">
        <v>0</v>
      </c>
      <c r="BE282">
        <v>0</v>
      </c>
      <c r="BF282">
        <v>0</v>
      </c>
      <c r="BG282">
        <v>0</v>
      </c>
      <c r="BI282" t="s">
        <v>287</v>
      </c>
      <c r="BK282">
        <v>0.8</v>
      </c>
      <c r="BL282">
        <v>0.797560975609756</v>
      </c>
      <c r="BM282">
        <v>0.785365853658536</v>
      </c>
      <c r="BN282">
        <v>0.773170731707317</v>
      </c>
      <c r="BO282">
        <v>0.760975609756097</v>
      </c>
      <c r="BP282">
        <v>0.748780487804878</v>
      </c>
      <c r="BQ282">
        <v>0.736585365853658</v>
      </c>
      <c r="BR282">
        <v>0.724390243902439</v>
      </c>
      <c r="BS282">
        <v>0.71219512195122</v>
      </c>
      <c r="BT282">
        <v>0.699999999999999</v>
      </c>
      <c r="BU282">
        <v>0.687499999999999</v>
      </c>
      <c r="BV282">
        <v>0.675</v>
      </c>
      <c r="BW282">
        <v>0.6625</v>
      </c>
      <c r="BX282">
        <v>0.649999999999999</v>
      </c>
      <c r="BY282">
        <v>0.637499999999999</v>
      </c>
      <c r="BZ282">
        <v>0.625</v>
      </c>
      <c r="CA282">
        <v>0.6125</v>
      </c>
      <c r="CB282">
        <v>0.6</v>
      </c>
      <c r="CC282" t="e">
        <v>#VALUE!</v>
      </c>
      <c r="CD282" t="e">
        <v>#VALUE!</v>
      </c>
      <c r="CE282" t="e">
        <v>#VALUE!</v>
      </c>
      <c r="CF282" t="e">
        <v>#VALUE!</v>
      </c>
      <c r="CG282" t="e">
        <v>#VALUE!</v>
      </c>
      <c r="CH282" t="e">
        <v>#VALUE!</v>
      </c>
      <c r="CI282" t="e">
        <v>#VALUE!</v>
      </c>
      <c r="CJ282" t="e">
        <v>#VALUE!</v>
      </c>
    </row>
    <row r="283" spans="1:88">
      <c r="A283" t="s">
        <v>27</v>
      </c>
      <c r="B283" t="s">
        <v>278</v>
      </c>
      <c r="C283" t="s">
        <v>278</v>
      </c>
      <c r="D283">
        <v>0.077958216</v>
      </c>
      <c r="E283">
        <v>0.0798619145042989</v>
      </c>
      <c r="F283">
        <v>0.092126460434195</v>
      </c>
      <c r="G283">
        <v>0.104577426316123</v>
      </c>
      <c r="H283">
        <v>0.113760509666929</v>
      </c>
      <c r="I283">
        <v>0.121040875820688</v>
      </c>
      <c r="J283">
        <v>0.125731936706213</v>
      </c>
      <c r="K283">
        <v>0.129274780291755</v>
      </c>
      <c r="L283">
        <v>0.131999417802959</v>
      </c>
      <c r="M283">
        <v>0.134339231142046</v>
      </c>
      <c r="N283">
        <v>0.136349587841284</v>
      </c>
      <c r="O283">
        <v>0.137765815510152</v>
      </c>
      <c r="P283">
        <v>0.138536194652879</v>
      </c>
      <c r="Q283">
        <v>0.138830629251186</v>
      </c>
      <c r="R283">
        <v>0.138969455931288</v>
      </c>
      <c r="S283">
        <v>0.139226004864411</v>
      </c>
      <c r="T283">
        <v>0.13968378394024</v>
      </c>
      <c r="U283">
        <v>0.140215938334942</v>
      </c>
      <c r="V283">
        <v>5</v>
      </c>
      <c r="AF283" s="99" t="s">
        <v>272</v>
      </c>
      <c r="AH283">
        <v>1</v>
      </c>
      <c r="AI283">
        <v>1.0306176871124</v>
      </c>
      <c r="AJ283">
        <v>1.2321465865568</v>
      </c>
      <c r="AK283">
        <v>1.44752671431604</v>
      </c>
      <c r="AL283">
        <v>1.61456130872964</v>
      </c>
      <c r="AM283">
        <v>1.75255578895043</v>
      </c>
      <c r="AN283">
        <v>1.84476786031748</v>
      </c>
      <c r="AO283">
        <v>1.91652671604205</v>
      </c>
      <c r="AP283">
        <v>1.97324339671817</v>
      </c>
      <c r="AQ283">
        <v>2.02321137923714</v>
      </c>
      <c r="AR283">
        <v>2.06725051823443</v>
      </c>
      <c r="AS283">
        <v>2.0990608780902</v>
      </c>
      <c r="AT283">
        <v>2.11677836826489</v>
      </c>
      <c r="AU283">
        <v>2.12369966739792</v>
      </c>
      <c r="AV283">
        <v>2.12703086623252</v>
      </c>
      <c r="AW283">
        <v>2.13331354175477</v>
      </c>
      <c r="AX283">
        <v>2.1447656165048</v>
      </c>
      <c r="AY283">
        <v>2.15838383350219</v>
      </c>
      <c r="AZ283">
        <v>0</v>
      </c>
      <c r="BA283">
        <v>0</v>
      </c>
      <c r="BB283">
        <v>0</v>
      </c>
      <c r="BC283">
        <v>0</v>
      </c>
      <c r="BD283">
        <v>0</v>
      </c>
      <c r="BE283">
        <v>0</v>
      </c>
      <c r="BF283">
        <v>0</v>
      </c>
      <c r="BG283">
        <v>0</v>
      </c>
      <c r="BI283" t="s">
        <v>287</v>
      </c>
      <c r="BK283">
        <v>0.8</v>
      </c>
      <c r="BL283">
        <v>0.797560975609756</v>
      </c>
      <c r="BM283">
        <v>0.785365853658536</v>
      </c>
      <c r="BN283">
        <v>0.773170731707317</v>
      </c>
      <c r="BO283">
        <v>0.760975609756097</v>
      </c>
      <c r="BP283">
        <v>0.748780487804878</v>
      </c>
      <c r="BQ283">
        <v>0.736585365853658</v>
      </c>
      <c r="BR283">
        <v>0.724390243902439</v>
      </c>
      <c r="BS283">
        <v>0.71219512195122</v>
      </c>
      <c r="BT283">
        <v>0.699999999999999</v>
      </c>
      <c r="BU283">
        <v>0.687499999999999</v>
      </c>
      <c r="BV283">
        <v>0.675</v>
      </c>
      <c r="BW283">
        <v>0.6625</v>
      </c>
      <c r="BX283">
        <v>0.649999999999999</v>
      </c>
      <c r="BY283">
        <v>0.637499999999999</v>
      </c>
      <c r="BZ283">
        <v>0.625</v>
      </c>
      <c r="CA283">
        <v>0.6125</v>
      </c>
      <c r="CB283">
        <v>0.6</v>
      </c>
      <c r="CC283" t="e">
        <v>#VALUE!</v>
      </c>
      <c r="CD283" t="e">
        <v>#VALUE!</v>
      </c>
      <c r="CE283" t="e">
        <v>#VALUE!</v>
      </c>
      <c r="CF283" t="e">
        <v>#VALUE!</v>
      </c>
      <c r="CG283" t="e">
        <v>#VALUE!</v>
      </c>
      <c r="CH283" t="e">
        <v>#VALUE!</v>
      </c>
      <c r="CI283" t="e">
        <v>#VALUE!</v>
      </c>
      <c r="CJ283" t="e">
        <v>#VALUE!</v>
      </c>
    </row>
    <row r="284" spans="1:88">
      <c r="A284" t="s">
        <v>27</v>
      </c>
      <c r="B284" t="s">
        <v>279</v>
      </c>
      <c r="C284" t="s">
        <v>279</v>
      </c>
      <c r="D284">
        <v>11.40212178</v>
      </c>
      <c r="E284">
        <v>11.6805555781569</v>
      </c>
      <c r="F284">
        <v>13.4743606886931</v>
      </c>
      <c r="G284">
        <v>15.295431469281</v>
      </c>
      <c r="H284">
        <v>16.6385437165108</v>
      </c>
      <c r="I284">
        <v>17.7033656909919</v>
      </c>
      <c r="J284">
        <v>18.3894774344182</v>
      </c>
      <c r="K284">
        <v>18.9076516062058</v>
      </c>
      <c r="L284">
        <v>19.3061554497148</v>
      </c>
      <c r="M284">
        <v>19.648375141283</v>
      </c>
      <c r="N284">
        <v>19.9424087028765</v>
      </c>
      <c r="O284">
        <v>20.149545309859</v>
      </c>
      <c r="P284">
        <v>20.2622204998883</v>
      </c>
      <c r="Q284">
        <v>20.305284327133</v>
      </c>
      <c r="R284">
        <v>20.3255890338601</v>
      </c>
      <c r="S284">
        <v>20.3631117265034</v>
      </c>
      <c r="T284">
        <v>20.4300662187783</v>
      </c>
      <c r="U284">
        <v>20.5078988004546</v>
      </c>
      <c r="V284">
        <v>5</v>
      </c>
      <c r="AF284" s="99" t="s">
        <v>272</v>
      </c>
      <c r="AH284">
        <v>1</v>
      </c>
      <c r="AI284">
        <v>1.0306176871124</v>
      </c>
      <c r="AJ284">
        <v>1.2321465865568</v>
      </c>
      <c r="AK284">
        <v>1.44752671431604</v>
      </c>
      <c r="AL284">
        <v>1.61456130872964</v>
      </c>
      <c r="AM284">
        <v>1.75255578895043</v>
      </c>
      <c r="AN284">
        <v>1.84476786031748</v>
      </c>
      <c r="AO284">
        <v>1.91652671604205</v>
      </c>
      <c r="AP284">
        <v>1.97324339671817</v>
      </c>
      <c r="AQ284">
        <v>2.02321137923714</v>
      </c>
      <c r="AR284">
        <v>2.06725051823443</v>
      </c>
      <c r="AS284">
        <v>2.0990608780902</v>
      </c>
      <c r="AT284">
        <v>2.11677836826489</v>
      </c>
      <c r="AU284">
        <v>2.12369966739792</v>
      </c>
      <c r="AV284">
        <v>2.12703086623252</v>
      </c>
      <c r="AW284">
        <v>2.13331354175477</v>
      </c>
      <c r="AX284">
        <v>2.1447656165048</v>
      </c>
      <c r="AY284">
        <v>2.15838383350219</v>
      </c>
      <c r="AZ284">
        <v>0</v>
      </c>
      <c r="BA284">
        <v>0</v>
      </c>
      <c r="BB284">
        <v>0</v>
      </c>
      <c r="BC284">
        <v>0</v>
      </c>
      <c r="BD284">
        <v>0</v>
      </c>
      <c r="BE284">
        <v>0</v>
      </c>
      <c r="BF284">
        <v>0</v>
      </c>
      <c r="BG284">
        <v>0</v>
      </c>
      <c r="BI284" t="s">
        <v>287</v>
      </c>
      <c r="BK284">
        <v>0.8</v>
      </c>
      <c r="BL284">
        <v>0.797560975609756</v>
      </c>
      <c r="BM284">
        <v>0.785365853658536</v>
      </c>
      <c r="BN284">
        <v>0.773170731707317</v>
      </c>
      <c r="BO284">
        <v>0.760975609756097</v>
      </c>
      <c r="BP284">
        <v>0.748780487804878</v>
      </c>
      <c r="BQ284">
        <v>0.736585365853658</v>
      </c>
      <c r="BR284">
        <v>0.724390243902439</v>
      </c>
      <c r="BS284">
        <v>0.71219512195122</v>
      </c>
      <c r="BT284">
        <v>0.699999999999999</v>
      </c>
      <c r="BU284">
        <v>0.687499999999999</v>
      </c>
      <c r="BV284">
        <v>0.675</v>
      </c>
      <c r="BW284">
        <v>0.6625</v>
      </c>
      <c r="BX284">
        <v>0.649999999999999</v>
      </c>
      <c r="BY284">
        <v>0.637499999999999</v>
      </c>
      <c r="BZ284">
        <v>0.625</v>
      </c>
      <c r="CA284">
        <v>0.6125</v>
      </c>
      <c r="CB284">
        <v>0.6</v>
      </c>
      <c r="CC284" t="e">
        <v>#VALUE!</v>
      </c>
      <c r="CD284" t="e">
        <v>#VALUE!</v>
      </c>
      <c r="CE284" t="e">
        <v>#VALUE!</v>
      </c>
      <c r="CF284" t="e">
        <v>#VALUE!</v>
      </c>
      <c r="CG284" t="e">
        <v>#VALUE!</v>
      </c>
      <c r="CH284" t="e">
        <v>#VALUE!</v>
      </c>
      <c r="CI284" t="e">
        <v>#VALUE!</v>
      </c>
      <c r="CJ284" t="e">
        <v>#VALUE!</v>
      </c>
    </row>
    <row r="285" spans="1:88">
      <c r="A285" t="s">
        <v>27</v>
      </c>
      <c r="B285" t="s">
        <v>280</v>
      </c>
      <c r="C285" t="s">
        <v>280</v>
      </c>
      <c r="D285">
        <v>2.597</v>
      </c>
      <c r="E285">
        <v>2.60273737772802</v>
      </c>
      <c r="F285">
        <v>2.63096983238342</v>
      </c>
      <c r="G285">
        <v>2.58914979744341</v>
      </c>
      <c r="H285">
        <v>2.54636178252382</v>
      </c>
      <c r="I285">
        <v>2.50516433279116</v>
      </c>
      <c r="J285">
        <v>2.46619605956861</v>
      </c>
      <c r="K285">
        <v>2.43131071585696</v>
      </c>
      <c r="L285">
        <v>2.39585266652593</v>
      </c>
      <c r="M285">
        <v>2.35930275035849</v>
      </c>
      <c r="N285">
        <v>2.32088882502527</v>
      </c>
      <c r="O285">
        <v>2.28007961403265</v>
      </c>
      <c r="P285">
        <v>2.23817482432229</v>
      </c>
      <c r="Q285">
        <v>2.19779088386582</v>
      </c>
      <c r="R285">
        <v>2.16126820283082</v>
      </c>
      <c r="S285">
        <v>2.13005777065577</v>
      </c>
      <c r="T285">
        <v>2.10397643170755</v>
      </c>
      <c r="U285">
        <v>2.08145241344908</v>
      </c>
      <c r="V285">
        <v>5</v>
      </c>
      <c r="AF285" s="99" t="s">
        <v>277</v>
      </c>
      <c r="AH285">
        <v>1</v>
      </c>
      <c r="AI285">
        <v>1.0027699861502</v>
      </c>
      <c r="AJ285">
        <v>1.0166199169012</v>
      </c>
      <c r="AK285">
        <v>0.995719654853716</v>
      </c>
      <c r="AL285">
        <v>0.974095890322423</v>
      </c>
      <c r="AM285">
        <v>0.953048540600472</v>
      </c>
      <c r="AN285">
        <v>0.932922104619262</v>
      </c>
      <c r="AO285">
        <v>0.914704628977335</v>
      </c>
      <c r="AP285">
        <v>0.895973831945608</v>
      </c>
      <c r="AQ285">
        <v>0.876447369820111</v>
      </c>
      <c r="AR285">
        <v>0.855690677226679</v>
      </c>
      <c r="AS285">
        <v>0.833400327199711</v>
      </c>
      <c r="AT285">
        <v>0.810280667467396</v>
      </c>
      <c r="AU285">
        <v>0.787788215222939</v>
      </c>
      <c r="AV285">
        <v>0.767252701419943</v>
      </c>
      <c r="AW285">
        <v>0.749525118425906</v>
      </c>
      <c r="AX285">
        <v>0.734541434629171</v>
      </c>
      <c r="AY285">
        <v>0.721435438101316</v>
      </c>
      <c r="AZ285">
        <v>0</v>
      </c>
      <c r="BA285">
        <v>0</v>
      </c>
      <c r="BB285">
        <v>0</v>
      </c>
      <c r="BC285">
        <v>0</v>
      </c>
      <c r="BD285">
        <v>0</v>
      </c>
      <c r="BE285">
        <v>0</v>
      </c>
      <c r="BF285">
        <v>0</v>
      </c>
      <c r="BG285">
        <v>0</v>
      </c>
      <c r="BI285" t="s">
        <v>287</v>
      </c>
      <c r="BK285">
        <v>0.8</v>
      </c>
      <c r="BL285">
        <v>0.797560975609756</v>
      </c>
      <c r="BM285">
        <v>0.785365853658536</v>
      </c>
      <c r="BN285">
        <v>0.773170731707317</v>
      </c>
      <c r="BO285">
        <v>0.760975609756097</v>
      </c>
      <c r="BP285">
        <v>0.748780487804878</v>
      </c>
      <c r="BQ285">
        <v>0.736585365853658</v>
      </c>
      <c r="BR285">
        <v>0.724390243902439</v>
      </c>
      <c r="BS285">
        <v>0.71219512195122</v>
      </c>
      <c r="BT285">
        <v>0.699999999999999</v>
      </c>
      <c r="BU285">
        <v>0.687499999999999</v>
      </c>
      <c r="BV285">
        <v>0.675</v>
      </c>
      <c r="BW285">
        <v>0.6625</v>
      </c>
      <c r="BX285">
        <v>0.649999999999999</v>
      </c>
      <c r="BY285">
        <v>0.637499999999999</v>
      </c>
      <c r="BZ285">
        <v>0.625</v>
      </c>
      <c r="CA285">
        <v>0.6125</v>
      </c>
      <c r="CB285">
        <v>0.6</v>
      </c>
      <c r="CC285" t="e">
        <v>#VALUE!</v>
      </c>
      <c r="CD285" t="e">
        <v>#VALUE!</v>
      </c>
      <c r="CE285" t="e">
        <v>#VALUE!</v>
      </c>
      <c r="CF285" t="e">
        <v>#VALUE!</v>
      </c>
      <c r="CG285" t="e">
        <v>#VALUE!</v>
      </c>
      <c r="CH285" t="e">
        <v>#VALUE!</v>
      </c>
      <c r="CI285" t="e">
        <v>#VALUE!</v>
      </c>
      <c r="CJ285" t="e">
        <v>#VALUE!</v>
      </c>
    </row>
    <row r="286" spans="1:88">
      <c r="A286" t="s">
        <v>27</v>
      </c>
      <c r="B286" t="s">
        <v>281</v>
      </c>
      <c r="C286" t="s">
        <v>281</v>
      </c>
      <c r="D286">
        <v>0.51</v>
      </c>
      <c r="E286">
        <v>0.511126708756753</v>
      </c>
      <c r="F286">
        <v>0.516671010595127</v>
      </c>
      <c r="G286">
        <v>0.50845837377595</v>
      </c>
      <c r="H286">
        <v>0.500055644623469</v>
      </c>
      <c r="I286">
        <v>0.491965271360604</v>
      </c>
      <c r="J286">
        <v>0.484312664759334</v>
      </c>
      <c r="K286">
        <v>0.47746186564769</v>
      </c>
      <c r="L286">
        <v>0.470498598355112</v>
      </c>
      <c r="M286">
        <v>0.463320909773905</v>
      </c>
      <c r="N286">
        <v>0.455777166254481</v>
      </c>
      <c r="O286">
        <v>0.447763035485812</v>
      </c>
      <c r="P286">
        <v>0.439533754487627</v>
      </c>
      <c r="Q286">
        <v>0.431603138533527</v>
      </c>
      <c r="R286">
        <v>0.424430798399583</v>
      </c>
      <c r="S286">
        <v>0.418301680028665</v>
      </c>
      <c r="T286">
        <v>0.413179815237139</v>
      </c>
      <c r="U286">
        <v>0.408756538644217</v>
      </c>
      <c r="V286">
        <v>5</v>
      </c>
      <c r="AF286" s="99" t="s">
        <v>277</v>
      </c>
      <c r="AH286">
        <v>1</v>
      </c>
      <c r="AI286">
        <v>1.0027699861502</v>
      </c>
      <c r="AJ286">
        <v>1.0166199169012</v>
      </c>
      <c r="AK286">
        <v>0.995719654853716</v>
      </c>
      <c r="AL286">
        <v>0.974095890322423</v>
      </c>
      <c r="AM286">
        <v>0.953048540600472</v>
      </c>
      <c r="AN286">
        <v>0.932922104619262</v>
      </c>
      <c r="AO286">
        <v>0.914704628977335</v>
      </c>
      <c r="AP286">
        <v>0.895973831945608</v>
      </c>
      <c r="AQ286">
        <v>0.876447369820111</v>
      </c>
      <c r="AR286">
        <v>0.855690677226679</v>
      </c>
      <c r="AS286">
        <v>0.833400327199711</v>
      </c>
      <c r="AT286">
        <v>0.810280667467396</v>
      </c>
      <c r="AU286">
        <v>0.787788215222939</v>
      </c>
      <c r="AV286">
        <v>0.767252701419943</v>
      </c>
      <c r="AW286">
        <v>0.749525118425906</v>
      </c>
      <c r="AX286">
        <v>0.734541434629171</v>
      </c>
      <c r="AY286">
        <v>0.721435438101316</v>
      </c>
      <c r="AZ286">
        <v>0</v>
      </c>
      <c r="BA286">
        <v>0</v>
      </c>
      <c r="BB286">
        <v>0</v>
      </c>
      <c r="BC286">
        <v>0</v>
      </c>
      <c r="BD286">
        <v>0</v>
      </c>
      <c r="BE286">
        <v>0</v>
      </c>
      <c r="BF286">
        <v>0</v>
      </c>
      <c r="BG286">
        <v>0</v>
      </c>
      <c r="BI286" t="s">
        <v>287</v>
      </c>
      <c r="BK286">
        <v>0.8</v>
      </c>
      <c r="BL286">
        <v>0.797560975609756</v>
      </c>
      <c r="BM286">
        <v>0.785365853658536</v>
      </c>
      <c r="BN286">
        <v>0.773170731707317</v>
      </c>
      <c r="BO286">
        <v>0.760975609756097</v>
      </c>
      <c r="BP286">
        <v>0.748780487804878</v>
      </c>
      <c r="BQ286">
        <v>0.736585365853658</v>
      </c>
      <c r="BR286">
        <v>0.724390243902439</v>
      </c>
      <c r="BS286">
        <v>0.71219512195122</v>
      </c>
      <c r="BT286">
        <v>0.699999999999999</v>
      </c>
      <c r="BU286">
        <v>0.687499999999999</v>
      </c>
      <c r="BV286">
        <v>0.675</v>
      </c>
      <c r="BW286">
        <v>0.6625</v>
      </c>
      <c r="BX286">
        <v>0.649999999999999</v>
      </c>
      <c r="BY286">
        <v>0.637499999999999</v>
      </c>
      <c r="BZ286">
        <v>0.625</v>
      </c>
      <c r="CA286">
        <v>0.6125</v>
      </c>
      <c r="CB286">
        <v>0.6</v>
      </c>
      <c r="CC286" t="e">
        <v>#VALUE!</v>
      </c>
      <c r="CD286" t="e">
        <v>#VALUE!</v>
      </c>
      <c r="CE286" t="e">
        <v>#VALUE!</v>
      </c>
      <c r="CF286" t="e">
        <v>#VALUE!</v>
      </c>
      <c r="CG286" t="e">
        <v>#VALUE!</v>
      </c>
      <c r="CH286" t="e">
        <v>#VALUE!</v>
      </c>
      <c r="CI286" t="e">
        <v>#VALUE!</v>
      </c>
      <c r="CJ286" t="e">
        <v>#VALUE!</v>
      </c>
    </row>
    <row r="287" spans="1:88">
      <c r="A287" t="s">
        <v>27</v>
      </c>
      <c r="B287" t="s">
        <v>282</v>
      </c>
      <c r="C287" t="s">
        <v>282</v>
      </c>
      <c r="D287">
        <v>3.85</v>
      </c>
      <c r="E287">
        <v>3.85850554649706</v>
      </c>
      <c r="F287">
        <v>3.90035958978674</v>
      </c>
      <c r="G287">
        <v>3.83836223340668</v>
      </c>
      <c r="H287">
        <v>3.7749298662752</v>
      </c>
      <c r="I287">
        <v>3.71385547987907</v>
      </c>
      <c r="J287">
        <v>3.65608580259497</v>
      </c>
      <c r="K287">
        <v>3.60436898577178</v>
      </c>
      <c r="L287">
        <v>3.55180314444545</v>
      </c>
      <c r="M287">
        <v>3.49761863260693</v>
      </c>
      <c r="N287">
        <v>3.44067076486226</v>
      </c>
      <c r="O287">
        <v>3.38017193454976</v>
      </c>
      <c r="P287">
        <v>3.31804893093601</v>
      </c>
      <c r="Q287">
        <v>3.25818055559623</v>
      </c>
      <c r="R287">
        <v>3.20403641929097</v>
      </c>
      <c r="S287">
        <v>3.15776758453012</v>
      </c>
      <c r="T287">
        <v>3.11910252679017</v>
      </c>
      <c r="U287">
        <v>3.08571112505928</v>
      </c>
      <c r="V287">
        <v>5</v>
      </c>
      <c r="AF287" s="99" t="s">
        <v>277</v>
      </c>
      <c r="AH287">
        <v>1</v>
      </c>
      <c r="AI287">
        <v>1.0027699861502</v>
      </c>
      <c r="AJ287">
        <v>1.0166199169012</v>
      </c>
      <c r="AK287">
        <v>0.995719654853716</v>
      </c>
      <c r="AL287">
        <v>0.974095890322423</v>
      </c>
      <c r="AM287">
        <v>0.953048540600472</v>
      </c>
      <c r="AN287">
        <v>0.932922104619262</v>
      </c>
      <c r="AO287">
        <v>0.914704628977335</v>
      </c>
      <c r="AP287">
        <v>0.895973831945608</v>
      </c>
      <c r="AQ287">
        <v>0.876447369820111</v>
      </c>
      <c r="AR287">
        <v>0.855690677226679</v>
      </c>
      <c r="AS287">
        <v>0.833400327199711</v>
      </c>
      <c r="AT287">
        <v>0.810280667467396</v>
      </c>
      <c r="AU287">
        <v>0.787788215222939</v>
      </c>
      <c r="AV287">
        <v>0.767252701419943</v>
      </c>
      <c r="AW287">
        <v>0.749525118425906</v>
      </c>
      <c r="AX287">
        <v>0.734541434629171</v>
      </c>
      <c r="AY287">
        <v>0.721435438101316</v>
      </c>
      <c r="AZ287">
        <v>0</v>
      </c>
      <c r="BA287">
        <v>0</v>
      </c>
      <c r="BB287">
        <v>0</v>
      </c>
      <c r="BC287">
        <v>0</v>
      </c>
      <c r="BD287">
        <v>0</v>
      </c>
      <c r="BE287">
        <v>0</v>
      </c>
      <c r="BF287">
        <v>0</v>
      </c>
      <c r="BG287">
        <v>0</v>
      </c>
      <c r="BI287" t="s">
        <v>287</v>
      </c>
      <c r="BK287">
        <v>0.8</v>
      </c>
      <c r="BL287">
        <v>0.797560975609756</v>
      </c>
      <c r="BM287">
        <v>0.785365853658536</v>
      </c>
      <c r="BN287">
        <v>0.773170731707317</v>
      </c>
      <c r="BO287">
        <v>0.760975609756097</v>
      </c>
      <c r="BP287">
        <v>0.748780487804878</v>
      </c>
      <c r="BQ287">
        <v>0.736585365853658</v>
      </c>
      <c r="BR287">
        <v>0.724390243902439</v>
      </c>
      <c r="BS287">
        <v>0.71219512195122</v>
      </c>
      <c r="BT287">
        <v>0.699999999999999</v>
      </c>
      <c r="BU287">
        <v>0.687499999999999</v>
      </c>
      <c r="BV287">
        <v>0.675</v>
      </c>
      <c r="BW287">
        <v>0.6625</v>
      </c>
      <c r="BX287">
        <v>0.649999999999999</v>
      </c>
      <c r="BY287">
        <v>0.637499999999999</v>
      </c>
      <c r="BZ287">
        <v>0.625</v>
      </c>
      <c r="CA287">
        <v>0.6125</v>
      </c>
      <c r="CB287">
        <v>0.6</v>
      </c>
      <c r="CC287" t="e">
        <v>#VALUE!</v>
      </c>
      <c r="CD287" t="e">
        <v>#VALUE!</v>
      </c>
      <c r="CE287" t="e">
        <v>#VALUE!</v>
      </c>
      <c r="CF287" t="e">
        <v>#VALUE!</v>
      </c>
      <c r="CG287" t="e">
        <v>#VALUE!</v>
      </c>
      <c r="CH287" t="e">
        <v>#VALUE!</v>
      </c>
      <c r="CI287" t="e">
        <v>#VALUE!</v>
      </c>
      <c r="CJ287" t="e">
        <v>#VALUE!</v>
      </c>
    </row>
    <row r="288" spans="1:88">
      <c r="A288" t="s">
        <v>27</v>
      </c>
      <c r="B288" t="s">
        <v>283</v>
      </c>
      <c r="C288" t="s">
        <v>283</v>
      </c>
      <c r="D288">
        <v>170.28</v>
      </c>
      <c r="E288">
        <v>174.051512552681</v>
      </c>
      <c r="F288">
        <v>198.554531951465</v>
      </c>
      <c r="G288">
        <v>229.174932368978</v>
      </c>
      <c r="H288">
        <v>253.617215826135</v>
      </c>
      <c r="I288">
        <v>274.400356233659</v>
      </c>
      <c r="J288">
        <v>289.62487468192</v>
      </c>
      <c r="K288">
        <v>302.126844565749</v>
      </c>
      <c r="L288">
        <v>313.125997788353</v>
      </c>
      <c r="M288">
        <v>323.683425203372</v>
      </c>
      <c r="N288">
        <v>334.042794406226</v>
      </c>
      <c r="O288">
        <v>343.635928345194</v>
      </c>
      <c r="P288">
        <v>352.108117448637</v>
      </c>
      <c r="Q288">
        <v>359.412393909531</v>
      </c>
      <c r="R288">
        <v>365.913955418781</v>
      </c>
      <c r="S288">
        <v>372.014505869673</v>
      </c>
      <c r="T288">
        <v>377.910674738123</v>
      </c>
      <c r="U288">
        <v>383.49575990878</v>
      </c>
      <c r="V288">
        <v>5</v>
      </c>
      <c r="AF288" s="99" t="s">
        <v>284</v>
      </c>
      <c r="AH288">
        <v>1</v>
      </c>
      <c r="AI288">
        <v>1.02777077629648</v>
      </c>
      <c r="AJ288">
        <v>1.21200319418545</v>
      </c>
      <c r="AK288">
        <v>1.45374926291748</v>
      </c>
      <c r="AL288">
        <v>1.65749730059452</v>
      </c>
      <c r="AM288">
        <v>1.8388945728265</v>
      </c>
      <c r="AN288">
        <v>1.97740824360717</v>
      </c>
      <c r="AO288">
        <v>2.09524108146777</v>
      </c>
      <c r="AP288">
        <v>2.20234489709734</v>
      </c>
      <c r="AQ288">
        <v>2.30842312830763</v>
      </c>
      <c r="AR288">
        <v>2.41588528805111</v>
      </c>
      <c r="AS288">
        <v>2.51867057113261</v>
      </c>
      <c r="AT288">
        <v>2.61240142243683</v>
      </c>
      <c r="AU288">
        <v>2.69577486227936</v>
      </c>
      <c r="AV288">
        <v>2.77226898295184</v>
      </c>
      <c r="AW288">
        <v>2.84622021238592</v>
      </c>
      <c r="AX288">
        <v>2.91987016033693</v>
      </c>
      <c r="AY288">
        <v>2.99179069880828</v>
      </c>
      <c r="AZ288">
        <v>0</v>
      </c>
      <c r="BA288">
        <v>0</v>
      </c>
      <c r="BB288">
        <v>0</v>
      </c>
      <c r="BC288">
        <v>0</v>
      </c>
      <c r="BD288">
        <v>0</v>
      </c>
      <c r="BE288">
        <v>0</v>
      </c>
      <c r="BF288">
        <v>0</v>
      </c>
      <c r="BG288">
        <v>0</v>
      </c>
      <c r="BI288" t="s">
        <v>287</v>
      </c>
      <c r="BK288">
        <v>0.8</v>
      </c>
      <c r="BL288">
        <v>0.797560975609756</v>
      </c>
      <c r="BM288">
        <v>0.785365853658536</v>
      </c>
      <c r="BN288">
        <v>0.773170731707317</v>
      </c>
      <c r="BO288">
        <v>0.760975609756097</v>
      </c>
      <c r="BP288">
        <v>0.748780487804878</v>
      </c>
      <c r="BQ288">
        <v>0.736585365853658</v>
      </c>
      <c r="BR288">
        <v>0.724390243902439</v>
      </c>
      <c r="BS288">
        <v>0.71219512195122</v>
      </c>
      <c r="BT288">
        <v>0.699999999999999</v>
      </c>
      <c r="BU288">
        <v>0.687499999999999</v>
      </c>
      <c r="BV288">
        <v>0.675</v>
      </c>
      <c r="BW288">
        <v>0.6625</v>
      </c>
      <c r="BX288">
        <v>0.649999999999999</v>
      </c>
      <c r="BY288">
        <v>0.637499999999999</v>
      </c>
      <c r="BZ288">
        <v>0.625</v>
      </c>
      <c r="CA288">
        <v>0.6125</v>
      </c>
      <c r="CB288">
        <v>0.6</v>
      </c>
      <c r="CC288" t="e">
        <v>#VALUE!</v>
      </c>
      <c r="CD288" t="e">
        <v>#VALUE!</v>
      </c>
      <c r="CE288" t="e">
        <v>#VALUE!</v>
      </c>
      <c r="CF288" t="e">
        <v>#VALUE!</v>
      </c>
      <c r="CG288" t="e">
        <v>#VALUE!</v>
      </c>
      <c r="CH288" t="e">
        <v>#VALUE!</v>
      </c>
      <c r="CI288" t="e">
        <v>#VALUE!</v>
      </c>
      <c r="CJ288" t="e">
        <v>#VALUE!</v>
      </c>
    </row>
    <row r="289" spans="1:88">
      <c r="A289" t="s">
        <v>27</v>
      </c>
      <c r="B289" t="s">
        <v>285</v>
      </c>
      <c r="C289" t="s">
        <v>285</v>
      </c>
      <c r="D289">
        <v>53.6</v>
      </c>
      <c r="E289">
        <v>54.9088837208694</v>
      </c>
      <c r="F289">
        <v>63.341345308272</v>
      </c>
      <c r="G289">
        <v>71.9019795238026</v>
      </c>
      <c r="H289">
        <v>78.2157882903245</v>
      </c>
      <c r="I289">
        <v>83.2213880316202</v>
      </c>
      <c r="J289">
        <v>86.4467166289829</v>
      </c>
      <c r="K289">
        <v>88.8825909463872</v>
      </c>
      <c r="L289">
        <v>90.7559094764127</v>
      </c>
      <c r="M289">
        <v>92.3646429930316</v>
      </c>
      <c r="N289">
        <v>93.7468593213166</v>
      </c>
      <c r="O289">
        <v>94.7205835411135</v>
      </c>
      <c r="P289">
        <v>95.2502560268226</v>
      </c>
      <c r="Q289">
        <v>95.4526938874995</v>
      </c>
      <c r="R289">
        <v>95.5481438661585</v>
      </c>
      <c r="S289">
        <v>95.7245335210392</v>
      </c>
      <c r="T289">
        <v>96.0392785180829</v>
      </c>
      <c r="U289">
        <v>96.4051601020847</v>
      </c>
      <c r="V289">
        <v>5</v>
      </c>
      <c r="AF289" s="99" t="s">
        <v>272</v>
      </c>
      <c r="AH289">
        <v>1</v>
      </c>
      <c r="AI289">
        <v>1.0306176871124</v>
      </c>
      <c r="AJ289">
        <v>1.2321465865568</v>
      </c>
      <c r="AK289">
        <v>1.44752671431604</v>
      </c>
      <c r="AL289">
        <v>1.61456130872964</v>
      </c>
      <c r="AM289">
        <v>1.75255578895043</v>
      </c>
      <c r="AN289">
        <v>1.84476786031748</v>
      </c>
      <c r="AO289">
        <v>1.91652671604205</v>
      </c>
      <c r="AP289">
        <v>1.97324339671817</v>
      </c>
      <c r="AQ289">
        <v>2.02321137923714</v>
      </c>
      <c r="AR289">
        <v>2.06725051823443</v>
      </c>
      <c r="AS289">
        <v>2.0990608780902</v>
      </c>
      <c r="AT289">
        <v>2.11677836826489</v>
      </c>
      <c r="AU289">
        <v>2.12369966739792</v>
      </c>
      <c r="AV289">
        <v>2.12703086623252</v>
      </c>
      <c r="AW289">
        <v>2.13331354175477</v>
      </c>
      <c r="AX289">
        <v>2.1447656165048</v>
      </c>
      <c r="AY289">
        <v>2.15838383350219</v>
      </c>
      <c r="AZ289">
        <v>0</v>
      </c>
      <c r="BA289">
        <v>0</v>
      </c>
      <c r="BB289">
        <v>0</v>
      </c>
      <c r="BC289">
        <v>0</v>
      </c>
      <c r="BD289">
        <v>0</v>
      </c>
      <c r="BE289">
        <v>0</v>
      </c>
      <c r="BF289">
        <v>0</v>
      </c>
      <c r="BG289">
        <v>0</v>
      </c>
      <c r="BI289" t="s">
        <v>287</v>
      </c>
      <c r="BK289">
        <v>0.8</v>
      </c>
      <c r="BL289">
        <v>0.797560975609756</v>
      </c>
      <c r="BM289">
        <v>0.785365853658536</v>
      </c>
      <c r="BN289">
        <v>0.773170731707317</v>
      </c>
      <c r="BO289">
        <v>0.760975609756097</v>
      </c>
      <c r="BP289">
        <v>0.748780487804878</v>
      </c>
      <c r="BQ289">
        <v>0.736585365853658</v>
      </c>
      <c r="BR289">
        <v>0.724390243902439</v>
      </c>
      <c r="BS289">
        <v>0.71219512195122</v>
      </c>
      <c r="BT289">
        <v>0.699999999999999</v>
      </c>
      <c r="BU289">
        <v>0.687499999999999</v>
      </c>
      <c r="BV289">
        <v>0.675</v>
      </c>
      <c r="BW289">
        <v>0.6625</v>
      </c>
      <c r="BX289">
        <v>0.649999999999999</v>
      </c>
      <c r="BY289">
        <v>0.637499999999999</v>
      </c>
      <c r="BZ289">
        <v>0.625</v>
      </c>
      <c r="CA289">
        <v>0.6125</v>
      </c>
      <c r="CB289">
        <v>0.6</v>
      </c>
      <c r="CC289" t="e">
        <v>#VALUE!</v>
      </c>
      <c r="CD289" t="e">
        <v>#VALUE!</v>
      </c>
      <c r="CE289" t="e">
        <v>#VALUE!</v>
      </c>
      <c r="CF289" t="e">
        <v>#VALUE!</v>
      </c>
      <c r="CG289" t="e">
        <v>#VALUE!</v>
      </c>
      <c r="CH289" t="e">
        <v>#VALUE!</v>
      </c>
      <c r="CI289" t="e">
        <v>#VALUE!</v>
      </c>
      <c r="CJ289" t="e">
        <v>#VALUE!</v>
      </c>
    </row>
    <row r="290" spans="1:88">
      <c r="A290" t="s">
        <v>27</v>
      </c>
      <c r="B290" t="s">
        <v>286</v>
      </c>
      <c r="C290" t="s">
        <v>286</v>
      </c>
      <c r="D290">
        <v>49.12</v>
      </c>
      <c r="E290">
        <v>50.3194844844982</v>
      </c>
      <c r="F290">
        <v>58.0471433123567</v>
      </c>
      <c r="G290">
        <v>65.8922618322609</v>
      </c>
      <c r="H290">
        <v>71.6783492690437</v>
      </c>
      <c r="I290">
        <v>76.2655705244997</v>
      </c>
      <c r="J290">
        <v>79.2213194182022</v>
      </c>
      <c r="K290">
        <v>81.4535982702712</v>
      </c>
      <c r="L290">
        <v>83.1703409231603</v>
      </c>
      <c r="M290">
        <v>84.6446131309275</v>
      </c>
      <c r="N290">
        <v>85.9113009302812</v>
      </c>
      <c r="O290">
        <v>86.8036392451398</v>
      </c>
      <c r="P290">
        <v>87.289040597715</v>
      </c>
      <c r="Q290">
        <v>87.474558278992</v>
      </c>
      <c r="R290">
        <v>87.562030348987</v>
      </c>
      <c r="S290">
        <v>87.7236769879374</v>
      </c>
      <c r="T290">
        <v>88.0121149404521</v>
      </c>
      <c r="U290">
        <v>88.3474153771343</v>
      </c>
      <c r="V290">
        <v>5</v>
      </c>
      <c r="AF290" s="99" t="s">
        <v>272</v>
      </c>
      <c r="AH290">
        <v>1</v>
      </c>
      <c r="AI290">
        <v>1.0306176871124</v>
      </c>
      <c r="AJ290">
        <v>1.2321465865568</v>
      </c>
      <c r="AK290">
        <v>1.44752671431604</v>
      </c>
      <c r="AL290">
        <v>1.61456130872964</v>
      </c>
      <c r="AM290">
        <v>1.75255578895043</v>
      </c>
      <c r="AN290">
        <v>1.84476786031748</v>
      </c>
      <c r="AO290">
        <v>1.91652671604205</v>
      </c>
      <c r="AP290">
        <v>1.97324339671817</v>
      </c>
      <c r="AQ290">
        <v>2.02321137923714</v>
      </c>
      <c r="AR290">
        <v>2.06725051823443</v>
      </c>
      <c r="AS290">
        <v>2.0990608780902</v>
      </c>
      <c r="AT290">
        <v>2.11677836826489</v>
      </c>
      <c r="AU290">
        <v>2.12369966739792</v>
      </c>
      <c r="AV290">
        <v>2.12703086623252</v>
      </c>
      <c r="AW290">
        <v>2.13331354175477</v>
      </c>
      <c r="AX290">
        <v>2.1447656165048</v>
      </c>
      <c r="AY290">
        <v>2.15838383350219</v>
      </c>
      <c r="AZ290">
        <v>0</v>
      </c>
      <c r="BA290">
        <v>0</v>
      </c>
      <c r="BB290">
        <v>0</v>
      </c>
      <c r="BC290">
        <v>0</v>
      </c>
      <c r="BD290">
        <v>0</v>
      </c>
      <c r="BE290">
        <v>0</v>
      </c>
      <c r="BF290">
        <v>0</v>
      </c>
      <c r="BG290">
        <v>0</v>
      </c>
      <c r="BI290" t="s">
        <v>287</v>
      </c>
      <c r="BK290">
        <v>0.8</v>
      </c>
      <c r="BL290">
        <v>0.797560975609756</v>
      </c>
      <c r="BM290">
        <v>0.785365853658536</v>
      </c>
      <c r="BN290">
        <v>0.773170731707317</v>
      </c>
      <c r="BO290">
        <v>0.760975609756097</v>
      </c>
      <c r="BP290">
        <v>0.748780487804878</v>
      </c>
      <c r="BQ290">
        <v>0.736585365853658</v>
      </c>
      <c r="BR290">
        <v>0.724390243902439</v>
      </c>
      <c r="BS290">
        <v>0.71219512195122</v>
      </c>
      <c r="BT290">
        <v>0.699999999999999</v>
      </c>
      <c r="BU290">
        <v>0.687499999999999</v>
      </c>
      <c r="BV290">
        <v>0.675</v>
      </c>
      <c r="BW290">
        <v>0.6625</v>
      </c>
      <c r="BX290">
        <v>0.649999999999999</v>
      </c>
      <c r="BY290">
        <v>0.637499999999999</v>
      </c>
      <c r="BZ290">
        <v>0.625</v>
      </c>
      <c r="CA290">
        <v>0.6125</v>
      </c>
      <c r="CB290">
        <v>0.6</v>
      </c>
      <c r="CC290" t="e">
        <v>#VALUE!</v>
      </c>
      <c r="CD290" t="e">
        <v>#VALUE!</v>
      </c>
      <c r="CE290" t="e">
        <v>#VALUE!</v>
      </c>
      <c r="CF290" t="e">
        <v>#VALUE!</v>
      </c>
      <c r="CG290" t="e">
        <v>#VALUE!</v>
      </c>
      <c r="CH290" t="e">
        <v>#VALUE!</v>
      </c>
      <c r="CI290" t="e">
        <v>#VALUE!</v>
      </c>
      <c r="CJ290" t="e">
        <v>#VALUE!</v>
      </c>
    </row>
    <row r="291" spans="1:88">
      <c r="A291" t="s">
        <v>28</v>
      </c>
      <c r="B291" t="s">
        <v>271</v>
      </c>
      <c r="C291" t="s">
        <v>271</v>
      </c>
      <c r="D291">
        <v>364.155282666</v>
      </c>
      <c r="E291">
        <v>375.856107261349</v>
      </c>
      <c r="F291">
        <v>457.683094663076</v>
      </c>
      <c r="G291">
        <v>558.707009088872</v>
      </c>
      <c r="H291">
        <v>662.992563396579</v>
      </c>
      <c r="I291">
        <v>765.068543646119</v>
      </c>
      <c r="J291">
        <v>867.28358505332</v>
      </c>
      <c r="K291">
        <v>971.223813995609</v>
      </c>
      <c r="L291">
        <v>1079.47323802833</v>
      </c>
      <c r="M291">
        <v>1193.08775737672</v>
      </c>
      <c r="N291">
        <v>1312.77345515095</v>
      </c>
      <c r="O291">
        <v>1435.53516792468</v>
      </c>
      <c r="P291">
        <v>1560.38405760437</v>
      </c>
      <c r="Q291">
        <v>1685.40968002267</v>
      </c>
      <c r="R291">
        <v>1810.3004179829</v>
      </c>
      <c r="S291">
        <v>1935.38093201129</v>
      </c>
      <c r="T291">
        <v>2060.69813595408</v>
      </c>
      <c r="U291">
        <v>2186.26253130625</v>
      </c>
      <c r="V291">
        <v>5</v>
      </c>
      <c r="AF291" s="99" t="s">
        <v>272</v>
      </c>
      <c r="AH291">
        <v>1</v>
      </c>
      <c r="AI291">
        <v>1.03220997614691</v>
      </c>
      <c r="AJ291">
        <v>1.26026807229982</v>
      </c>
      <c r="AK291">
        <v>1.54611479417579</v>
      </c>
      <c r="AL291">
        <v>1.84642452510153</v>
      </c>
      <c r="AM291">
        <v>2.14605136752268</v>
      </c>
      <c r="AN291">
        <v>2.45218229566993</v>
      </c>
      <c r="AO291">
        <v>2.77010382709687</v>
      </c>
      <c r="AP291">
        <v>3.10856945656694</v>
      </c>
      <c r="AQ291">
        <v>3.47209926004162</v>
      </c>
      <c r="AR291">
        <v>3.86455766759287</v>
      </c>
      <c r="AS291">
        <v>4.27757178038053</v>
      </c>
      <c r="AT291">
        <v>4.70890116948649</v>
      </c>
      <c r="AU291">
        <v>5.15278382000685</v>
      </c>
      <c r="AV291">
        <v>5.608696692622</v>
      </c>
      <c r="AW291">
        <v>6.0784253017179</v>
      </c>
      <c r="AX291">
        <v>6.56283402216059</v>
      </c>
      <c r="AY291">
        <v>7.06269998470226</v>
      </c>
      <c r="AZ291">
        <v>0</v>
      </c>
      <c r="BA291">
        <v>0</v>
      </c>
      <c r="BB291">
        <v>0</v>
      </c>
      <c r="BC291">
        <v>0</v>
      </c>
      <c r="BD291">
        <v>0</v>
      </c>
      <c r="BE291">
        <v>0</v>
      </c>
      <c r="BF291">
        <v>0</v>
      </c>
      <c r="BG291">
        <v>0</v>
      </c>
      <c r="BI291" t="s">
        <v>273</v>
      </c>
      <c r="BK291">
        <v>1</v>
      </c>
      <c r="BL291">
        <v>0.997560975609757</v>
      </c>
      <c r="BM291">
        <v>0.985365853658537</v>
      </c>
      <c r="BN291">
        <v>0.973170731707317</v>
      </c>
      <c r="BO291">
        <v>0.960975609756098</v>
      </c>
      <c r="BP291">
        <v>0.948780487804878</v>
      </c>
      <c r="BQ291">
        <v>0.936585365853658</v>
      </c>
      <c r="BR291">
        <v>0.924390243902439</v>
      </c>
      <c r="BS291">
        <v>0.91219512195122</v>
      </c>
      <c r="BT291">
        <v>0.9</v>
      </c>
      <c r="BU291">
        <v>0.8875</v>
      </c>
      <c r="BV291">
        <v>0.875000000000001</v>
      </c>
      <c r="BW291">
        <v>0.862500000000001</v>
      </c>
      <c r="BX291">
        <v>0.850000000000001</v>
      </c>
      <c r="BY291">
        <v>0.8375</v>
      </c>
      <c r="BZ291">
        <v>0.825000000000001</v>
      </c>
      <c r="CA291">
        <v>0.812500000000001</v>
      </c>
      <c r="CB291">
        <v>0.800000000000001</v>
      </c>
      <c r="CC291" t="e">
        <v>#VALUE!</v>
      </c>
      <c r="CD291" t="e">
        <v>#VALUE!</v>
      </c>
      <c r="CE291" t="e">
        <v>#VALUE!</v>
      </c>
      <c r="CF291" t="e">
        <v>#VALUE!</v>
      </c>
      <c r="CG291" t="e">
        <v>#VALUE!</v>
      </c>
      <c r="CH291" t="e">
        <v>#VALUE!</v>
      </c>
      <c r="CI291" t="e">
        <v>#VALUE!</v>
      </c>
      <c r="CJ291" t="e">
        <v>#VALUE!</v>
      </c>
    </row>
    <row r="292" spans="1:88">
      <c r="A292" t="s">
        <v>28</v>
      </c>
      <c r="B292" t="s">
        <v>274</v>
      </c>
      <c r="C292" t="s">
        <v>274</v>
      </c>
      <c r="D292">
        <v>1737.5925643272</v>
      </c>
      <c r="E292">
        <v>1793.42387251125</v>
      </c>
      <c r="F292">
        <v>2183.86710274428</v>
      </c>
      <c r="G292">
        <v>2665.90982155469</v>
      </c>
      <c r="H292">
        <v>3163.51568465022</v>
      </c>
      <c r="I292">
        <v>3650.5784095941</v>
      </c>
      <c r="J292">
        <v>4138.30467464035</v>
      </c>
      <c r="K292">
        <v>4634.26279344715</v>
      </c>
      <c r="L292">
        <v>5150.78253995451</v>
      </c>
      <c r="M292">
        <v>5692.90221641256</v>
      </c>
      <c r="N292">
        <v>6263.99094808297</v>
      </c>
      <c r="O292">
        <v>6849.75710184589</v>
      </c>
      <c r="P292">
        <v>7445.48236713308</v>
      </c>
      <c r="Q292">
        <v>8042.05092512283</v>
      </c>
      <c r="R292">
        <v>8637.97587242638</v>
      </c>
      <c r="S292">
        <v>9234.80634959756</v>
      </c>
      <c r="T292">
        <v>9832.76620935601</v>
      </c>
      <c r="U292">
        <v>10431.9055603243</v>
      </c>
      <c r="V292">
        <v>5</v>
      </c>
      <c r="AF292" s="99" t="s">
        <v>272</v>
      </c>
      <c r="AH292">
        <v>1</v>
      </c>
      <c r="AI292">
        <v>1.03220997614691</v>
      </c>
      <c r="AJ292">
        <v>1.26026807229982</v>
      </c>
      <c r="AK292">
        <v>1.54611479417579</v>
      </c>
      <c r="AL292">
        <v>1.84642452510153</v>
      </c>
      <c r="AM292">
        <v>2.14605136752268</v>
      </c>
      <c r="AN292">
        <v>2.45218229566993</v>
      </c>
      <c r="AO292">
        <v>2.77010382709687</v>
      </c>
      <c r="AP292">
        <v>3.10856945656694</v>
      </c>
      <c r="AQ292">
        <v>3.47209926004162</v>
      </c>
      <c r="AR292">
        <v>3.86455766759287</v>
      </c>
      <c r="AS292">
        <v>4.27757178038053</v>
      </c>
      <c r="AT292">
        <v>4.70890116948649</v>
      </c>
      <c r="AU292">
        <v>5.15278382000685</v>
      </c>
      <c r="AV292">
        <v>5.608696692622</v>
      </c>
      <c r="AW292">
        <v>6.0784253017179</v>
      </c>
      <c r="AX292">
        <v>6.56283402216059</v>
      </c>
      <c r="AY292">
        <v>7.06269998470226</v>
      </c>
      <c r="AZ292">
        <v>0</v>
      </c>
      <c r="BA292">
        <v>0</v>
      </c>
      <c r="BB292">
        <v>0</v>
      </c>
      <c r="BC292">
        <v>0</v>
      </c>
      <c r="BD292">
        <v>0</v>
      </c>
      <c r="BE292">
        <v>0</v>
      </c>
      <c r="BF292">
        <v>0</v>
      </c>
      <c r="BG292">
        <v>0</v>
      </c>
      <c r="BI292" t="s">
        <v>273</v>
      </c>
      <c r="BK292">
        <v>1</v>
      </c>
      <c r="BL292">
        <v>0.997560975609757</v>
      </c>
      <c r="BM292">
        <v>0.985365853658537</v>
      </c>
      <c r="BN292">
        <v>0.973170731707317</v>
      </c>
      <c r="BO292">
        <v>0.960975609756098</v>
      </c>
      <c r="BP292">
        <v>0.948780487804878</v>
      </c>
      <c r="BQ292">
        <v>0.936585365853658</v>
      </c>
      <c r="BR292">
        <v>0.924390243902439</v>
      </c>
      <c r="BS292">
        <v>0.91219512195122</v>
      </c>
      <c r="BT292">
        <v>0.9</v>
      </c>
      <c r="BU292">
        <v>0.8875</v>
      </c>
      <c r="BV292">
        <v>0.875000000000001</v>
      </c>
      <c r="BW292">
        <v>0.862500000000001</v>
      </c>
      <c r="BX292">
        <v>0.850000000000001</v>
      </c>
      <c r="BY292">
        <v>0.8375</v>
      </c>
      <c r="BZ292">
        <v>0.825000000000001</v>
      </c>
      <c r="CA292">
        <v>0.812500000000001</v>
      </c>
      <c r="CB292">
        <v>0.800000000000001</v>
      </c>
      <c r="CC292" t="e">
        <v>#VALUE!</v>
      </c>
      <c r="CD292" t="e">
        <v>#VALUE!</v>
      </c>
      <c r="CE292" t="e">
        <v>#VALUE!</v>
      </c>
      <c r="CF292" t="e">
        <v>#VALUE!</v>
      </c>
      <c r="CG292" t="e">
        <v>#VALUE!</v>
      </c>
      <c r="CH292" t="e">
        <v>#VALUE!</v>
      </c>
      <c r="CI292" t="e">
        <v>#VALUE!</v>
      </c>
      <c r="CJ292" t="e">
        <v>#VALUE!</v>
      </c>
    </row>
    <row r="293" spans="1:88">
      <c r="A293" t="s">
        <v>28</v>
      </c>
      <c r="B293" t="s">
        <v>275</v>
      </c>
      <c r="C293" t="s">
        <v>275</v>
      </c>
      <c r="D293">
        <v>66.02657162076</v>
      </c>
      <c r="E293">
        <v>68.1480988096855</v>
      </c>
      <c r="F293">
        <v>82.9845043250394</v>
      </c>
      <c r="G293">
        <v>101.301587829667</v>
      </c>
      <c r="H293">
        <v>120.210053388916</v>
      </c>
      <c r="I293">
        <v>138.717891505017</v>
      </c>
      <c r="J293">
        <v>157.250943401951</v>
      </c>
      <c r="K293">
        <v>176.096796523436</v>
      </c>
      <c r="L293">
        <v>195.723968471832</v>
      </c>
      <c r="M293">
        <v>216.323909090558</v>
      </c>
      <c r="N293">
        <v>238.02464136668</v>
      </c>
      <c r="O293">
        <v>260.283099245971</v>
      </c>
      <c r="P293">
        <v>282.919992210583</v>
      </c>
      <c r="Q293">
        <v>305.58892935354</v>
      </c>
      <c r="R293">
        <v>328.233410011163</v>
      </c>
      <c r="S293">
        <v>350.912299789707</v>
      </c>
      <c r="T293">
        <v>373.634104841842</v>
      </c>
      <c r="U293">
        <v>396.400729239108</v>
      </c>
      <c r="V293">
        <v>5</v>
      </c>
      <c r="AF293" s="99" t="s">
        <v>272</v>
      </c>
      <c r="AH293">
        <v>1</v>
      </c>
      <c r="AI293">
        <v>1.03220997614691</v>
      </c>
      <c r="AJ293">
        <v>1.26026807229982</v>
      </c>
      <c r="AK293">
        <v>1.54611479417579</v>
      </c>
      <c r="AL293">
        <v>1.84642452510153</v>
      </c>
      <c r="AM293">
        <v>2.14605136752268</v>
      </c>
      <c r="AN293">
        <v>2.45218229566993</v>
      </c>
      <c r="AO293">
        <v>2.77010382709687</v>
      </c>
      <c r="AP293">
        <v>3.10856945656694</v>
      </c>
      <c r="AQ293">
        <v>3.47209926004162</v>
      </c>
      <c r="AR293">
        <v>3.86455766759287</v>
      </c>
      <c r="AS293">
        <v>4.27757178038053</v>
      </c>
      <c r="AT293">
        <v>4.70890116948649</v>
      </c>
      <c r="AU293">
        <v>5.15278382000685</v>
      </c>
      <c r="AV293">
        <v>5.608696692622</v>
      </c>
      <c r="AW293">
        <v>6.0784253017179</v>
      </c>
      <c r="AX293">
        <v>6.56283402216059</v>
      </c>
      <c r="AY293">
        <v>7.06269998470226</v>
      </c>
      <c r="AZ293">
        <v>0</v>
      </c>
      <c r="BA293">
        <v>0</v>
      </c>
      <c r="BB293">
        <v>0</v>
      </c>
      <c r="BC293">
        <v>0</v>
      </c>
      <c r="BD293">
        <v>0</v>
      </c>
      <c r="BE293">
        <v>0</v>
      </c>
      <c r="BF293">
        <v>0</v>
      </c>
      <c r="BG293">
        <v>0</v>
      </c>
      <c r="BI293" t="s">
        <v>273</v>
      </c>
      <c r="BK293">
        <v>1</v>
      </c>
      <c r="BL293">
        <v>0.997560975609757</v>
      </c>
      <c r="BM293">
        <v>0.985365853658537</v>
      </c>
      <c r="BN293">
        <v>0.973170731707317</v>
      </c>
      <c r="BO293">
        <v>0.960975609756098</v>
      </c>
      <c r="BP293">
        <v>0.948780487804878</v>
      </c>
      <c r="BQ293">
        <v>0.936585365853658</v>
      </c>
      <c r="BR293">
        <v>0.924390243902439</v>
      </c>
      <c r="BS293">
        <v>0.91219512195122</v>
      </c>
      <c r="BT293">
        <v>0.9</v>
      </c>
      <c r="BU293">
        <v>0.8875</v>
      </c>
      <c r="BV293">
        <v>0.875000000000001</v>
      </c>
      <c r="BW293">
        <v>0.862500000000001</v>
      </c>
      <c r="BX293">
        <v>0.850000000000001</v>
      </c>
      <c r="BY293">
        <v>0.8375</v>
      </c>
      <c r="BZ293">
        <v>0.825000000000001</v>
      </c>
      <c r="CA293">
        <v>0.812500000000001</v>
      </c>
      <c r="CB293">
        <v>0.800000000000001</v>
      </c>
      <c r="CC293" t="e">
        <v>#VALUE!</v>
      </c>
      <c r="CD293" t="e">
        <v>#VALUE!</v>
      </c>
      <c r="CE293" t="e">
        <v>#VALUE!</v>
      </c>
      <c r="CF293" t="e">
        <v>#VALUE!</v>
      </c>
      <c r="CG293" t="e">
        <v>#VALUE!</v>
      </c>
      <c r="CH293" t="e">
        <v>#VALUE!</v>
      </c>
      <c r="CI293" t="e">
        <v>#VALUE!</v>
      </c>
      <c r="CJ293" t="e">
        <v>#VALUE!</v>
      </c>
    </row>
    <row r="294" spans="1:88">
      <c r="A294" t="s">
        <v>28</v>
      </c>
      <c r="B294" t="s">
        <v>276</v>
      </c>
      <c r="C294" t="s">
        <v>276</v>
      </c>
      <c r="D294">
        <v>64.30092171084</v>
      </c>
      <c r="E294">
        <v>65.0197081639144</v>
      </c>
      <c r="F294">
        <v>68.5695986845849</v>
      </c>
      <c r="G294">
        <v>71.9171982622095</v>
      </c>
      <c r="H294">
        <v>74.8789879038112</v>
      </c>
      <c r="I294">
        <v>77.4311006071278</v>
      </c>
      <c r="J294">
        <v>79.5793408676826</v>
      </c>
      <c r="K294">
        <v>81.3506404193642</v>
      </c>
      <c r="L294">
        <v>82.7303204528698</v>
      </c>
      <c r="M294">
        <v>83.7302842441121</v>
      </c>
      <c r="N294">
        <v>84.3838431658448</v>
      </c>
      <c r="O294">
        <v>84.7326076142616</v>
      </c>
      <c r="P294">
        <v>84.7980467449544</v>
      </c>
      <c r="Q294">
        <v>84.6010678467398</v>
      </c>
      <c r="R294">
        <v>84.1847724851281</v>
      </c>
      <c r="S294">
        <v>83.6045699738533</v>
      </c>
      <c r="T294">
        <v>82.8975952743953</v>
      </c>
      <c r="U294">
        <v>82.103251456904</v>
      </c>
      <c r="V294">
        <v>5</v>
      </c>
      <c r="AF294" s="99" t="s">
        <v>277</v>
      </c>
      <c r="AH294">
        <v>1</v>
      </c>
      <c r="AI294">
        <v>1.01120580946577</v>
      </c>
      <c r="AJ294">
        <v>1.06723469593436</v>
      </c>
      <c r="AK294">
        <v>1.12077400885434</v>
      </c>
      <c r="AL294">
        <v>1.16880561792711</v>
      </c>
      <c r="AM294">
        <v>1.21079277109316</v>
      </c>
      <c r="AN294">
        <v>1.24665934313804</v>
      </c>
      <c r="AO294">
        <v>1.27667750658545</v>
      </c>
      <c r="AP294">
        <v>1.30041368864225</v>
      </c>
      <c r="AQ294">
        <v>1.31787828653574</v>
      </c>
      <c r="AR294">
        <v>1.32946897206222</v>
      </c>
      <c r="AS294">
        <v>1.33574873226726</v>
      </c>
      <c r="AT294">
        <v>1.3369447913035</v>
      </c>
      <c r="AU294">
        <v>1.33329112901134</v>
      </c>
      <c r="AV294">
        <v>1.3254574476754</v>
      </c>
      <c r="AW294">
        <v>1.31438463627204</v>
      </c>
      <c r="AX294">
        <v>1.30070505011852</v>
      </c>
      <c r="AY294">
        <v>1.28512548156286</v>
      </c>
      <c r="AZ294">
        <v>0</v>
      </c>
      <c r="BA294">
        <v>0</v>
      </c>
      <c r="BB294">
        <v>0</v>
      </c>
      <c r="BC294">
        <v>0</v>
      </c>
      <c r="BD294">
        <v>0</v>
      </c>
      <c r="BE294">
        <v>0</v>
      </c>
      <c r="BF294">
        <v>0</v>
      </c>
      <c r="BG294">
        <v>0</v>
      </c>
      <c r="BI294" t="s">
        <v>273</v>
      </c>
      <c r="BK294">
        <v>1</v>
      </c>
      <c r="BL294">
        <v>0.997560975609757</v>
      </c>
      <c r="BM294">
        <v>0.985365853658537</v>
      </c>
      <c r="BN294">
        <v>0.973170731707317</v>
      </c>
      <c r="BO294">
        <v>0.960975609756098</v>
      </c>
      <c r="BP294">
        <v>0.948780487804878</v>
      </c>
      <c r="BQ294">
        <v>0.936585365853658</v>
      </c>
      <c r="BR294">
        <v>0.924390243902439</v>
      </c>
      <c r="BS294">
        <v>0.91219512195122</v>
      </c>
      <c r="BT294">
        <v>0.9</v>
      </c>
      <c r="BU294">
        <v>0.8875</v>
      </c>
      <c r="BV294">
        <v>0.875000000000001</v>
      </c>
      <c r="BW294">
        <v>0.862500000000001</v>
      </c>
      <c r="BX294">
        <v>0.850000000000001</v>
      </c>
      <c r="BY294">
        <v>0.8375</v>
      </c>
      <c r="BZ294">
        <v>0.825000000000001</v>
      </c>
      <c r="CA294">
        <v>0.812500000000001</v>
      </c>
      <c r="CB294">
        <v>0.800000000000001</v>
      </c>
      <c r="CC294" t="e">
        <v>#VALUE!</v>
      </c>
      <c r="CD294" t="e">
        <v>#VALUE!</v>
      </c>
      <c r="CE294" t="e">
        <v>#VALUE!</v>
      </c>
      <c r="CF294" t="e">
        <v>#VALUE!</v>
      </c>
      <c r="CG294" t="e">
        <v>#VALUE!</v>
      </c>
      <c r="CH294" t="e">
        <v>#VALUE!</v>
      </c>
      <c r="CI294" t="e">
        <v>#VALUE!</v>
      </c>
      <c r="CJ294" t="e">
        <v>#VALUE!</v>
      </c>
    </row>
    <row r="295" spans="1:88">
      <c r="A295" t="s">
        <v>28</v>
      </c>
      <c r="B295" t="s">
        <v>278</v>
      </c>
      <c r="C295" t="s">
        <v>278</v>
      </c>
      <c r="D295">
        <v>280.9286320068</v>
      </c>
      <c r="E295">
        <v>289.95526653166</v>
      </c>
      <c r="F295">
        <v>353.080929473336</v>
      </c>
      <c r="G295">
        <v>431.016116550222</v>
      </c>
      <c r="H295">
        <v>511.467505021787</v>
      </c>
      <c r="I295">
        <v>590.214311280692</v>
      </c>
      <c r="J295">
        <v>669.068396666516</v>
      </c>
      <c r="K295">
        <v>749.25338289947</v>
      </c>
      <c r="L295">
        <v>832.762709982138</v>
      </c>
      <c r="M295">
        <v>920.410955156517</v>
      </c>
      <c r="N295">
        <v>1012.74282825289</v>
      </c>
      <c r="O295">
        <v>1107.4477018987</v>
      </c>
      <c r="P295">
        <v>1203.76273412481</v>
      </c>
      <c r="Q295">
        <v>1300.21410732646</v>
      </c>
      <c r="R295">
        <v>1396.56142352801</v>
      </c>
      <c r="S295">
        <v>1493.05514301892</v>
      </c>
      <c r="T295">
        <v>1589.73145761972</v>
      </c>
      <c r="U295">
        <v>1686.59846873871</v>
      </c>
      <c r="V295">
        <v>5</v>
      </c>
      <c r="AF295" s="99" t="s">
        <v>272</v>
      </c>
      <c r="AH295">
        <v>1</v>
      </c>
      <c r="AI295">
        <v>1.03220997614691</v>
      </c>
      <c r="AJ295">
        <v>1.26026807229982</v>
      </c>
      <c r="AK295">
        <v>1.54611479417579</v>
      </c>
      <c r="AL295">
        <v>1.84642452510153</v>
      </c>
      <c r="AM295">
        <v>2.14605136752268</v>
      </c>
      <c r="AN295">
        <v>2.45218229566993</v>
      </c>
      <c r="AO295">
        <v>2.77010382709687</v>
      </c>
      <c r="AP295">
        <v>3.10856945656694</v>
      </c>
      <c r="AQ295">
        <v>3.47209926004162</v>
      </c>
      <c r="AR295">
        <v>3.86455766759287</v>
      </c>
      <c r="AS295">
        <v>4.27757178038053</v>
      </c>
      <c r="AT295">
        <v>4.70890116948649</v>
      </c>
      <c r="AU295">
        <v>5.15278382000685</v>
      </c>
      <c r="AV295">
        <v>5.608696692622</v>
      </c>
      <c r="AW295">
        <v>6.0784253017179</v>
      </c>
      <c r="AX295">
        <v>6.56283402216059</v>
      </c>
      <c r="AY295">
        <v>7.06269998470226</v>
      </c>
      <c r="AZ295">
        <v>0</v>
      </c>
      <c r="BA295">
        <v>0</v>
      </c>
      <c r="BB295">
        <v>0</v>
      </c>
      <c r="BC295">
        <v>0</v>
      </c>
      <c r="BD295">
        <v>0</v>
      </c>
      <c r="BE295">
        <v>0</v>
      </c>
      <c r="BF295">
        <v>0</v>
      </c>
      <c r="BG295">
        <v>0</v>
      </c>
      <c r="BI295" t="s">
        <v>273</v>
      </c>
      <c r="BK295">
        <v>1</v>
      </c>
      <c r="BL295">
        <v>0.997560975609757</v>
      </c>
      <c r="BM295">
        <v>0.985365853658537</v>
      </c>
      <c r="BN295">
        <v>0.973170731707317</v>
      </c>
      <c r="BO295">
        <v>0.960975609756098</v>
      </c>
      <c r="BP295">
        <v>0.948780487804878</v>
      </c>
      <c r="BQ295">
        <v>0.936585365853658</v>
      </c>
      <c r="BR295">
        <v>0.924390243902439</v>
      </c>
      <c r="BS295">
        <v>0.91219512195122</v>
      </c>
      <c r="BT295">
        <v>0.9</v>
      </c>
      <c r="BU295">
        <v>0.8875</v>
      </c>
      <c r="BV295">
        <v>0.875000000000001</v>
      </c>
      <c r="BW295">
        <v>0.862500000000001</v>
      </c>
      <c r="BX295">
        <v>0.850000000000001</v>
      </c>
      <c r="BY295">
        <v>0.8375</v>
      </c>
      <c r="BZ295">
        <v>0.825000000000001</v>
      </c>
      <c r="CA295">
        <v>0.812500000000001</v>
      </c>
      <c r="CB295">
        <v>0.800000000000001</v>
      </c>
      <c r="CC295" t="e">
        <v>#VALUE!</v>
      </c>
      <c r="CD295" t="e">
        <v>#VALUE!</v>
      </c>
      <c r="CE295" t="e">
        <v>#VALUE!</v>
      </c>
      <c r="CF295" t="e">
        <v>#VALUE!</v>
      </c>
      <c r="CG295" t="e">
        <v>#VALUE!</v>
      </c>
      <c r="CH295" t="e">
        <v>#VALUE!</v>
      </c>
      <c r="CI295" t="e">
        <v>#VALUE!</v>
      </c>
      <c r="CJ295" t="e">
        <v>#VALUE!</v>
      </c>
    </row>
    <row r="296" spans="1:88">
      <c r="A296" t="s">
        <v>28</v>
      </c>
      <c r="B296" t="s">
        <v>279</v>
      </c>
      <c r="C296" t="s">
        <v>279</v>
      </c>
      <c r="D296">
        <v>2875.1642824788</v>
      </c>
      <c r="E296">
        <v>2967.54737989209</v>
      </c>
      <c r="F296">
        <v>3613.60702180609</v>
      </c>
      <c r="G296">
        <v>4411.23474893055</v>
      </c>
      <c r="H296">
        <v>5234.61454100411</v>
      </c>
      <c r="I296">
        <v>6040.54878521957</v>
      </c>
      <c r="J296">
        <v>6847.58097773516</v>
      </c>
      <c r="K296">
        <v>7668.23427590971</v>
      </c>
      <c r="L296">
        <v>8522.91054285609</v>
      </c>
      <c r="M296">
        <v>9419.94656993224</v>
      </c>
      <c r="N296">
        <v>10364.9171902806</v>
      </c>
      <c r="O296">
        <v>11334.1742864262</v>
      </c>
      <c r="P296">
        <v>12319.910551698</v>
      </c>
      <c r="Q296">
        <v>13307.0421987802</v>
      </c>
      <c r="R296">
        <v>14293.1088744215</v>
      </c>
      <c r="S296">
        <v>15280.6739146309</v>
      </c>
      <c r="T296">
        <v>16270.1077246215</v>
      </c>
      <c r="U296">
        <v>17261.4932182619</v>
      </c>
      <c r="V296">
        <v>5</v>
      </c>
      <c r="AF296" s="99" t="s">
        <v>272</v>
      </c>
      <c r="AH296">
        <v>1</v>
      </c>
      <c r="AI296">
        <v>1.03220997614691</v>
      </c>
      <c r="AJ296">
        <v>1.26026807229982</v>
      </c>
      <c r="AK296">
        <v>1.54611479417579</v>
      </c>
      <c r="AL296">
        <v>1.84642452510153</v>
      </c>
      <c r="AM296">
        <v>2.14605136752268</v>
      </c>
      <c r="AN296">
        <v>2.45218229566993</v>
      </c>
      <c r="AO296">
        <v>2.77010382709687</v>
      </c>
      <c r="AP296">
        <v>3.10856945656694</v>
      </c>
      <c r="AQ296">
        <v>3.47209926004162</v>
      </c>
      <c r="AR296">
        <v>3.86455766759287</v>
      </c>
      <c r="AS296">
        <v>4.27757178038053</v>
      </c>
      <c r="AT296">
        <v>4.70890116948649</v>
      </c>
      <c r="AU296">
        <v>5.15278382000685</v>
      </c>
      <c r="AV296">
        <v>5.608696692622</v>
      </c>
      <c r="AW296">
        <v>6.0784253017179</v>
      </c>
      <c r="AX296">
        <v>6.56283402216059</v>
      </c>
      <c r="AY296">
        <v>7.06269998470226</v>
      </c>
      <c r="AZ296">
        <v>0</v>
      </c>
      <c r="BA296">
        <v>0</v>
      </c>
      <c r="BB296">
        <v>0</v>
      </c>
      <c r="BC296">
        <v>0</v>
      </c>
      <c r="BD296">
        <v>0</v>
      </c>
      <c r="BE296">
        <v>0</v>
      </c>
      <c r="BF296">
        <v>0</v>
      </c>
      <c r="BG296">
        <v>0</v>
      </c>
      <c r="BI296" t="s">
        <v>273</v>
      </c>
      <c r="BK296">
        <v>1</v>
      </c>
      <c r="BL296">
        <v>0.997560975609757</v>
      </c>
      <c r="BM296">
        <v>0.985365853658537</v>
      </c>
      <c r="BN296">
        <v>0.973170731707317</v>
      </c>
      <c r="BO296">
        <v>0.960975609756098</v>
      </c>
      <c r="BP296">
        <v>0.948780487804878</v>
      </c>
      <c r="BQ296">
        <v>0.936585365853658</v>
      </c>
      <c r="BR296">
        <v>0.924390243902439</v>
      </c>
      <c r="BS296">
        <v>0.91219512195122</v>
      </c>
      <c r="BT296">
        <v>0.9</v>
      </c>
      <c r="BU296">
        <v>0.8875</v>
      </c>
      <c r="BV296">
        <v>0.875000000000001</v>
      </c>
      <c r="BW296">
        <v>0.862500000000001</v>
      </c>
      <c r="BX296">
        <v>0.850000000000001</v>
      </c>
      <c r="BY296">
        <v>0.8375</v>
      </c>
      <c r="BZ296">
        <v>0.825000000000001</v>
      </c>
      <c r="CA296">
        <v>0.812500000000001</v>
      </c>
      <c r="CB296">
        <v>0.800000000000001</v>
      </c>
      <c r="CC296" t="e">
        <v>#VALUE!</v>
      </c>
      <c r="CD296" t="e">
        <v>#VALUE!</v>
      </c>
      <c r="CE296" t="e">
        <v>#VALUE!</v>
      </c>
      <c r="CF296" t="e">
        <v>#VALUE!</v>
      </c>
      <c r="CG296" t="e">
        <v>#VALUE!</v>
      </c>
      <c r="CH296" t="e">
        <v>#VALUE!</v>
      </c>
      <c r="CI296" t="e">
        <v>#VALUE!</v>
      </c>
      <c r="CJ296" t="e">
        <v>#VALUE!</v>
      </c>
    </row>
    <row r="297" spans="1:88">
      <c r="A297" t="s">
        <v>28</v>
      </c>
      <c r="B297" t="s">
        <v>280</v>
      </c>
      <c r="C297" t="s">
        <v>280</v>
      </c>
      <c r="D297">
        <v>1567.223</v>
      </c>
      <c r="E297">
        <v>1584.74216817635</v>
      </c>
      <c r="F297">
        <v>1671.26456822056</v>
      </c>
      <c r="G297">
        <v>1752.8564787757</v>
      </c>
      <c r="H297">
        <v>1825.04494394815</v>
      </c>
      <c r="I297">
        <v>1887.24824711722</v>
      </c>
      <c r="J297">
        <v>1939.60786275396</v>
      </c>
      <c r="K297">
        <v>1982.78020497588</v>
      </c>
      <c r="L297">
        <v>2016.40750336632</v>
      </c>
      <c r="M297">
        <v>2040.77987954857</v>
      </c>
      <c r="N297">
        <v>2056.70924022867</v>
      </c>
      <c r="O297">
        <v>2065.20976635797</v>
      </c>
      <c r="P297">
        <v>2066.80473121995</v>
      </c>
      <c r="Q297">
        <v>2062.00371357381</v>
      </c>
      <c r="R297">
        <v>2051.85723902645</v>
      </c>
      <c r="S297">
        <v>2037.7158131163</v>
      </c>
      <c r="T297">
        <v>2020.48453586664</v>
      </c>
      <c r="U297">
        <v>2001.12378850008</v>
      </c>
      <c r="V297">
        <v>5</v>
      </c>
      <c r="AF297" s="99" t="s">
        <v>277</v>
      </c>
      <c r="AH297">
        <v>1</v>
      </c>
      <c r="AI297">
        <v>1.01120580946577</v>
      </c>
      <c r="AJ297">
        <v>1.06723469593436</v>
      </c>
      <c r="AK297">
        <v>1.12077400885434</v>
      </c>
      <c r="AL297">
        <v>1.16880561792711</v>
      </c>
      <c r="AM297">
        <v>1.21079277109316</v>
      </c>
      <c r="AN297">
        <v>1.24665934313804</v>
      </c>
      <c r="AO297">
        <v>1.27667750658545</v>
      </c>
      <c r="AP297">
        <v>1.30041368864225</v>
      </c>
      <c r="AQ297">
        <v>1.31787828653574</v>
      </c>
      <c r="AR297">
        <v>1.32946897206222</v>
      </c>
      <c r="AS297">
        <v>1.33574873226726</v>
      </c>
      <c r="AT297">
        <v>1.3369447913035</v>
      </c>
      <c r="AU297">
        <v>1.33329112901134</v>
      </c>
      <c r="AV297">
        <v>1.3254574476754</v>
      </c>
      <c r="AW297">
        <v>1.31438463627204</v>
      </c>
      <c r="AX297">
        <v>1.30070505011852</v>
      </c>
      <c r="AY297">
        <v>1.28512548156286</v>
      </c>
      <c r="AZ297">
        <v>0</v>
      </c>
      <c r="BA297">
        <v>0</v>
      </c>
      <c r="BB297">
        <v>0</v>
      </c>
      <c r="BC297">
        <v>0</v>
      </c>
      <c r="BD297">
        <v>0</v>
      </c>
      <c r="BE297">
        <v>0</v>
      </c>
      <c r="BF297">
        <v>0</v>
      </c>
      <c r="BG297">
        <v>0</v>
      </c>
      <c r="BI297" t="s">
        <v>273</v>
      </c>
      <c r="BK297">
        <v>1</v>
      </c>
      <c r="BL297">
        <v>0.997560975609757</v>
      </c>
      <c r="BM297">
        <v>0.985365853658537</v>
      </c>
      <c r="BN297">
        <v>0.973170731707317</v>
      </c>
      <c r="BO297">
        <v>0.960975609756098</v>
      </c>
      <c r="BP297">
        <v>0.948780487804878</v>
      </c>
      <c r="BQ297">
        <v>0.936585365853658</v>
      </c>
      <c r="BR297">
        <v>0.924390243902439</v>
      </c>
      <c r="BS297">
        <v>0.91219512195122</v>
      </c>
      <c r="BT297">
        <v>0.9</v>
      </c>
      <c r="BU297">
        <v>0.8875</v>
      </c>
      <c r="BV297">
        <v>0.875000000000001</v>
      </c>
      <c r="BW297">
        <v>0.862500000000001</v>
      </c>
      <c r="BX297">
        <v>0.850000000000001</v>
      </c>
      <c r="BY297">
        <v>0.8375</v>
      </c>
      <c r="BZ297">
        <v>0.825000000000001</v>
      </c>
      <c r="CA297">
        <v>0.812500000000001</v>
      </c>
      <c r="CB297">
        <v>0.800000000000001</v>
      </c>
      <c r="CC297" t="e">
        <v>#VALUE!</v>
      </c>
      <c r="CD297" t="e">
        <v>#VALUE!</v>
      </c>
      <c r="CE297" t="e">
        <v>#VALUE!</v>
      </c>
      <c r="CF297" t="e">
        <v>#VALUE!</v>
      </c>
      <c r="CG297" t="e">
        <v>#VALUE!</v>
      </c>
      <c r="CH297" t="e">
        <v>#VALUE!</v>
      </c>
      <c r="CI297" t="e">
        <v>#VALUE!</v>
      </c>
      <c r="CJ297" t="e">
        <v>#VALUE!</v>
      </c>
    </row>
    <row r="298" spans="1:88">
      <c r="A298" t="s">
        <v>28</v>
      </c>
      <c r="B298" t="s">
        <v>281</v>
      </c>
      <c r="C298" t="s">
        <v>281</v>
      </c>
      <c r="D298">
        <v>265.485</v>
      </c>
      <c r="E298">
        <v>268.452718291078</v>
      </c>
      <c r="F298">
        <v>283.109470633111</v>
      </c>
      <c r="G298">
        <v>296.931006160429</v>
      </c>
      <c r="H298">
        <v>309.159613497298</v>
      </c>
      <c r="I298">
        <v>319.696750804395</v>
      </c>
      <c r="J298">
        <v>328.566383624561</v>
      </c>
      <c r="K298">
        <v>335.87970743029</v>
      </c>
      <c r="L298">
        <v>341.576116501102</v>
      </c>
      <c r="M298">
        <v>345.704756963082</v>
      </c>
      <c r="N298">
        <v>348.403164477619</v>
      </c>
      <c r="O298">
        <v>349.843139630764</v>
      </c>
      <c r="P298">
        <v>350.113324056582</v>
      </c>
      <c r="Q298">
        <v>349.300039559235</v>
      </c>
      <c r="R298">
        <v>347.581243449679</v>
      </c>
      <c r="S298">
        <v>345.185709146166</v>
      </c>
      <c r="T298">
        <v>342.266759104834</v>
      </c>
      <c r="U298">
        <v>338.987080326121</v>
      </c>
      <c r="V298">
        <v>5</v>
      </c>
      <c r="AF298" s="99" t="s">
        <v>277</v>
      </c>
      <c r="AH298">
        <v>1</v>
      </c>
      <c r="AI298">
        <v>1.01120580946577</v>
      </c>
      <c r="AJ298">
        <v>1.06723469593436</v>
      </c>
      <c r="AK298">
        <v>1.12077400885434</v>
      </c>
      <c r="AL298">
        <v>1.16880561792711</v>
      </c>
      <c r="AM298">
        <v>1.21079277109316</v>
      </c>
      <c r="AN298">
        <v>1.24665934313804</v>
      </c>
      <c r="AO298">
        <v>1.27667750658545</v>
      </c>
      <c r="AP298">
        <v>1.30041368864225</v>
      </c>
      <c r="AQ298">
        <v>1.31787828653574</v>
      </c>
      <c r="AR298">
        <v>1.32946897206222</v>
      </c>
      <c r="AS298">
        <v>1.33574873226726</v>
      </c>
      <c r="AT298">
        <v>1.3369447913035</v>
      </c>
      <c r="AU298">
        <v>1.33329112901134</v>
      </c>
      <c r="AV298">
        <v>1.3254574476754</v>
      </c>
      <c r="AW298">
        <v>1.31438463627204</v>
      </c>
      <c r="AX298">
        <v>1.30070505011852</v>
      </c>
      <c r="AY298">
        <v>1.28512548156286</v>
      </c>
      <c r="AZ298">
        <v>0</v>
      </c>
      <c r="BA298">
        <v>0</v>
      </c>
      <c r="BB298">
        <v>0</v>
      </c>
      <c r="BC298">
        <v>0</v>
      </c>
      <c r="BD298">
        <v>0</v>
      </c>
      <c r="BE298">
        <v>0</v>
      </c>
      <c r="BF298">
        <v>0</v>
      </c>
      <c r="BG298">
        <v>0</v>
      </c>
      <c r="BI298" t="s">
        <v>273</v>
      </c>
      <c r="BK298">
        <v>1</v>
      </c>
      <c r="BL298">
        <v>0.997560975609757</v>
      </c>
      <c r="BM298">
        <v>0.985365853658537</v>
      </c>
      <c r="BN298">
        <v>0.973170731707317</v>
      </c>
      <c r="BO298">
        <v>0.960975609756098</v>
      </c>
      <c r="BP298">
        <v>0.948780487804878</v>
      </c>
      <c r="BQ298">
        <v>0.936585365853658</v>
      </c>
      <c r="BR298">
        <v>0.924390243902439</v>
      </c>
      <c r="BS298">
        <v>0.91219512195122</v>
      </c>
      <c r="BT298">
        <v>0.9</v>
      </c>
      <c r="BU298">
        <v>0.8875</v>
      </c>
      <c r="BV298">
        <v>0.875000000000001</v>
      </c>
      <c r="BW298">
        <v>0.862500000000001</v>
      </c>
      <c r="BX298">
        <v>0.850000000000001</v>
      </c>
      <c r="BY298">
        <v>0.8375</v>
      </c>
      <c r="BZ298">
        <v>0.825000000000001</v>
      </c>
      <c r="CA298">
        <v>0.812500000000001</v>
      </c>
      <c r="CB298">
        <v>0.800000000000001</v>
      </c>
      <c r="CC298" t="e">
        <v>#VALUE!</v>
      </c>
      <c r="CD298" t="e">
        <v>#VALUE!</v>
      </c>
      <c r="CE298" t="e">
        <v>#VALUE!</v>
      </c>
      <c r="CF298" t="e">
        <v>#VALUE!</v>
      </c>
      <c r="CG298" t="e">
        <v>#VALUE!</v>
      </c>
      <c r="CH298" t="e">
        <v>#VALUE!</v>
      </c>
      <c r="CI298" t="e">
        <v>#VALUE!</v>
      </c>
      <c r="CJ298" t="e">
        <v>#VALUE!</v>
      </c>
    </row>
    <row r="299" spans="1:88">
      <c r="A299" t="s">
        <v>28</v>
      </c>
      <c r="B299" t="s">
        <v>282</v>
      </c>
      <c r="C299" t="s">
        <v>282</v>
      </c>
      <c r="D299">
        <v>48.055</v>
      </c>
      <c r="E299">
        <v>48.5921817710145</v>
      </c>
      <c r="F299">
        <v>51.2451762294448</v>
      </c>
      <c r="G299">
        <v>53.7469894760133</v>
      </c>
      <c r="H299">
        <v>55.9604694299589</v>
      </c>
      <c r="I299">
        <v>57.8677791962077</v>
      </c>
      <c r="J299">
        <v>59.4732567379636</v>
      </c>
      <c r="K299">
        <v>60.7970293634765</v>
      </c>
      <c r="L299">
        <v>61.8281269316928</v>
      </c>
      <c r="M299">
        <v>62.5754453014705</v>
      </c>
      <c r="N299">
        <v>63.0638795750117</v>
      </c>
      <c r="O299">
        <v>63.3245270917618</v>
      </c>
      <c r="P299">
        <v>63.3734327270431</v>
      </c>
      <c r="Q299">
        <v>63.2262214476112</v>
      </c>
      <c r="R299">
        <v>62.9151050114858</v>
      </c>
      <c r="S299">
        <v>62.4814933160782</v>
      </c>
      <c r="T299">
        <v>61.953139005152</v>
      </c>
      <c r="U299">
        <v>61.3594897831205</v>
      </c>
      <c r="V299">
        <v>5</v>
      </c>
      <c r="AF299" s="99" t="s">
        <v>277</v>
      </c>
      <c r="AH299">
        <v>1</v>
      </c>
      <c r="AI299">
        <v>1.01120580946577</v>
      </c>
      <c r="AJ299">
        <v>1.06723469593436</v>
      </c>
      <c r="AK299">
        <v>1.12077400885434</v>
      </c>
      <c r="AL299">
        <v>1.16880561792711</v>
      </c>
      <c r="AM299">
        <v>1.21079277109316</v>
      </c>
      <c r="AN299">
        <v>1.24665934313804</v>
      </c>
      <c r="AO299">
        <v>1.27667750658545</v>
      </c>
      <c r="AP299">
        <v>1.30041368864225</v>
      </c>
      <c r="AQ299">
        <v>1.31787828653574</v>
      </c>
      <c r="AR299">
        <v>1.32946897206222</v>
      </c>
      <c r="AS299">
        <v>1.33574873226726</v>
      </c>
      <c r="AT299">
        <v>1.3369447913035</v>
      </c>
      <c r="AU299">
        <v>1.33329112901134</v>
      </c>
      <c r="AV299">
        <v>1.3254574476754</v>
      </c>
      <c r="AW299">
        <v>1.31438463627204</v>
      </c>
      <c r="AX299">
        <v>1.30070505011852</v>
      </c>
      <c r="AY299">
        <v>1.28512548156286</v>
      </c>
      <c r="AZ299">
        <v>0</v>
      </c>
      <c r="BA299">
        <v>0</v>
      </c>
      <c r="BB299">
        <v>0</v>
      </c>
      <c r="BC299">
        <v>0</v>
      </c>
      <c r="BD299">
        <v>0</v>
      </c>
      <c r="BE299">
        <v>0</v>
      </c>
      <c r="BF299">
        <v>0</v>
      </c>
      <c r="BG299">
        <v>0</v>
      </c>
      <c r="BI299" t="s">
        <v>273</v>
      </c>
      <c r="BK299">
        <v>1</v>
      </c>
      <c r="BL299">
        <v>0.997560975609757</v>
      </c>
      <c r="BM299">
        <v>0.985365853658537</v>
      </c>
      <c r="BN299">
        <v>0.973170731707317</v>
      </c>
      <c r="BO299">
        <v>0.960975609756098</v>
      </c>
      <c r="BP299">
        <v>0.948780487804878</v>
      </c>
      <c r="BQ299">
        <v>0.936585365853658</v>
      </c>
      <c r="BR299">
        <v>0.924390243902439</v>
      </c>
      <c r="BS299">
        <v>0.91219512195122</v>
      </c>
      <c r="BT299">
        <v>0.9</v>
      </c>
      <c r="BU299">
        <v>0.8875</v>
      </c>
      <c r="BV299">
        <v>0.875000000000001</v>
      </c>
      <c r="BW299">
        <v>0.862500000000001</v>
      </c>
      <c r="BX299">
        <v>0.850000000000001</v>
      </c>
      <c r="BY299">
        <v>0.8375</v>
      </c>
      <c r="BZ299">
        <v>0.825000000000001</v>
      </c>
      <c r="CA299">
        <v>0.812500000000001</v>
      </c>
      <c r="CB299">
        <v>0.800000000000001</v>
      </c>
      <c r="CC299" t="e">
        <v>#VALUE!</v>
      </c>
      <c r="CD299" t="e">
        <v>#VALUE!</v>
      </c>
      <c r="CE299" t="e">
        <v>#VALUE!</v>
      </c>
      <c r="CF299" t="e">
        <v>#VALUE!</v>
      </c>
      <c r="CG299" t="e">
        <v>#VALUE!</v>
      </c>
      <c r="CH299" t="e">
        <v>#VALUE!</v>
      </c>
      <c r="CI299" t="e">
        <v>#VALUE!</v>
      </c>
      <c r="CJ299" t="e">
        <v>#VALUE!</v>
      </c>
    </row>
    <row r="300" spans="1:88">
      <c r="A300" t="s">
        <v>28</v>
      </c>
      <c r="B300" t="s">
        <v>283</v>
      </c>
      <c r="C300" t="s">
        <v>283</v>
      </c>
      <c r="D300">
        <v>1561.308</v>
      </c>
      <c r="E300">
        <v>1593.6594638318</v>
      </c>
      <c r="F300">
        <v>1839.95625738685</v>
      </c>
      <c r="G300">
        <v>2141.15054492959</v>
      </c>
      <c r="H300">
        <v>2439.82763587405</v>
      </c>
      <c r="I300">
        <v>2722.16989459966</v>
      </c>
      <c r="J300">
        <v>3002.04435286517</v>
      </c>
      <c r="K300">
        <v>3288.11784599765</v>
      </c>
      <c r="L300">
        <v>3593.16383179804</v>
      </c>
      <c r="M300">
        <v>3923.47739774159</v>
      </c>
      <c r="N300">
        <v>4283.27543391547</v>
      </c>
      <c r="O300">
        <v>4664.31551205876</v>
      </c>
      <c r="P300">
        <v>5066.01037428092</v>
      </c>
      <c r="Q300">
        <v>5484.83648056032</v>
      </c>
      <c r="R300">
        <v>5920.81974330456</v>
      </c>
      <c r="S300">
        <v>6374.50806567048</v>
      </c>
      <c r="T300">
        <v>6846.07351285994</v>
      </c>
      <c r="U300">
        <v>7334.67794819029</v>
      </c>
      <c r="V300">
        <v>5</v>
      </c>
      <c r="AF300" s="99" t="s">
        <v>284</v>
      </c>
      <c r="AH300">
        <v>1</v>
      </c>
      <c r="AI300">
        <v>1.02077140626025</v>
      </c>
      <c r="AJ300">
        <v>1.18087247078906</v>
      </c>
      <c r="AK300">
        <v>1.37950628936892</v>
      </c>
      <c r="AL300">
        <v>1.5797532941159</v>
      </c>
      <c r="AM300">
        <v>1.77243490278285</v>
      </c>
      <c r="AN300">
        <v>1.96700270139347</v>
      </c>
      <c r="AO300">
        <v>2.16977569731426</v>
      </c>
      <c r="AP300">
        <v>2.39044658151251</v>
      </c>
      <c r="AQ300">
        <v>2.63461299538412</v>
      </c>
      <c r="AR300">
        <v>2.90684306952897</v>
      </c>
      <c r="AS300">
        <v>3.20237757075758</v>
      </c>
      <c r="AT300">
        <v>3.52213584294337</v>
      </c>
      <c r="AU300">
        <v>3.86471019561026</v>
      </c>
      <c r="AV300">
        <v>4.23151773182804</v>
      </c>
      <c r="AW300">
        <v>4.62454074247095</v>
      </c>
      <c r="AX300">
        <v>5.04559740239542</v>
      </c>
      <c r="AY300">
        <v>5.49572791608893</v>
      </c>
      <c r="AZ300">
        <v>0</v>
      </c>
      <c r="BA300">
        <v>0</v>
      </c>
      <c r="BB300">
        <v>0</v>
      </c>
      <c r="BC300">
        <v>0</v>
      </c>
      <c r="BD300">
        <v>0</v>
      </c>
      <c r="BE300">
        <v>0</v>
      </c>
      <c r="BF300">
        <v>0</v>
      </c>
      <c r="BG300">
        <v>0</v>
      </c>
      <c r="BI300" t="s">
        <v>273</v>
      </c>
      <c r="BK300">
        <v>1</v>
      </c>
      <c r="BL300">
        <v>0.997560975609757</v>
      </c>
      <c r="BM300">
        <v>0.985365853658537</v>
      </c>
      <c r="BN300">
        <v>0.973170731707317</v>
      </c>
      <c r="BO300">
        <v>0.960975609756098</v>
      </c>
      <c r="BP300">
        <v>0.948780487804878</v>
      </c>
      <c r="BQ300">
        <v>0.936585365853658</v>
      </c>
      <c r="BR300">
        <v>0.924390243902439</v>
      </c>
      <c r="BS300">
        <v>0.91219512195122</v>
      </c>
      <c r="BT300">
        <v>0.9</v>
      </c>
      <c r="BU300">
        <v>0.8875</v>
      </c>
      <c r="BV300">
        <v>0.875000000000001</v>
      </c>
      <c r="BW300">
        <v>0.862500000000001</v>
      </c>
      <c r="BX300">
        <v>0.850000000000001</v>
      </c>
      <c r="BY300">
        <v>0.8375</v>
      </c>
      <c r="BZ300">
        <v>0.825000000000001</v>
      </c>
      <c r="CA300">
        <v>0.812500000000001</v>
      </c>
      <c r="CB300">
        <v>0.800000000000001</v>
      </c>
      <c r="CC300" t="e">
        <v>#VALUE!</v>
      </c>
      <c r="CD300" t="e">
        <v>#VALUE!</v>
      </c>
      <c r="CE300" t="e">
        <v>#VALUE!</v>
      </c>
      <c r="CF300" t="e">
        <v>#VALUE!</v>
      </c>
      <c r="CG300" t="e">
        <v>#VALUE!</v>
      </c>
      <c r="CH300" t="e">
        <v>#VALUE!</v>
      </c>
      <c r="CI300" t="e">
        <v>#VALUE!</v>
      </c>
      <c r="CJ300" t="e">
        <v>#VALUE!</v>
      </c>
    </row>
    <row r="301" spans="1:88">
      <c r="A301" t="s">
        <v>28</v>
      </c>
      <c r="B301" t="s">
        <v>285</v>
      </c>
      <c r="C301" t="s">
        <v>285</v>
      </c>
      <c r="D301">
        <v>413.5</v>
      </c>
      <c r="E301">
        <v>426.786340197389</v>
      </c>
      <c r="F301">
        <v>519.701261114924</v>
      </c>
      <c r="G301">
        <v>634.414381048931</v>
      </c>
      <c r="H301">
        <v>752.831108085094</v>
      </c>
      <c r="I301">
        <v>868.738853605562</v>
      </c>
      <c r="J301">
        <v>984.804503710777</v>
      </c>
      <c r="K301">
        <v>1102.82911220467</v>
      </c>
      <c r="L301">
        <v>1225.74683156283</v>
      </c>
      <c r="M301">
        <v>1354.75664135227</v>
      </c>
      <c r="N301">
        <v>1490.66030219531</v>
      </c>
      <c r="O301">
        <v>1630.05679223194</v>
      </c>
      <c r="P301">
        <v>1771.82328125444</v>
      </c>
      <c r="Q301">
        <v>1913.79045111527</v>
      </c>
      <c r="R301">
        <v>2055.60445905299</v>
      </c>
      <c r="S301">
        <v>2197.6339585898</v>
      </c>
      <c r="T301">
        <v>2339.93222061411</v>
      </c>
      <c r="U301">
        <v>2482.51116962181</v>
      </c>
      <c r="V301">
        <v>5</v>
      </c>
      <c r="AF301" s="99" t="s">
        <v>272</v>
      </c>
      <c r="AH301">
        <v>1</v>
      </c>
      <c r="AI301">
        <v>1.03220997614691</v>
      </c>
      <c r="AJ301">
        <v>1.26026807229982</v>
      </c>
      <c r="AK301">
        <v>1.54611479417579</v>
      </c>
      <c r="AL301">
        <v>1.84642452510153</v>
      </c>
      <c r="AM301">
        <v>2.14605136752268</v>
      </c>
      <c r="AN301">
        <v>2.45218229566993</v>
      </c>
      <c r="AO301">
        <v>2.77010382709687</v>
      </c>
      <c r="AP301">
        <v>3.10856945656694</v>
      </c>
      <c r="AQ301">
        <v>3.47209926004162</v>
      </c>
      <c r="AR301">
        <v>3.86455766759287</v>
      </c>
      <c r="AS301">
        <v>4.27757178038053</v>
      </c>
      <c r="AT301">
        <v>4.70890116948649</v>
      </c>
      <c r="AU301">
        <v>5.15278382000685</v>
      </c>
      <c r="AV301">
        <v>5.608696692622</v>
      </c>
      <c r="AW301">
        <v>6.0784253017179</v>
      </c>
      <c r="AX301">
        <v>6.56283402216059</v>
      </c>
      <c r="AY301">
        <v>7.06269998470226</v>
      </c>
      <c r="AZ301">
        <v>0</v>
      </c>
      <c r="BA301">
        <v>0</v>
      </c>
      <c r="BB301">
        <v>0</v>
      </c>
      <c r="BC301">
        <v>0</v>
      </c>
      <c r="BD301">
        <v>0</v>
      </c>
      <c r="BE301">
        <v>0</v>
      </c>
      <c r="BF301">
        <v>0</v>
      </c>
      <c r="BG301">
        <v>0</v>
      </c>
      <c r="BI301" t="s">
        <v>273</v>
      </c>
      <c r="BK301">
        <v>1</v>
      </c>
      <c r="BL301">
        <v>0.997560975609757</v>
      </c>
      <c r="BM301">
        <v>0.985365853658537</v>
      </c>
      <c r="BN301">
        <v>0.973170731707317</v>
      </c>
      <c r="BO301">
        <v>0.960975609756098</v>
      </c>
      <c r="BP301">
        <v>0.948780487804878</v>
      </c>
      <c r="BQ301">
        <v>0.936585365853658</v>
      </c>
      <c r="BR301">
        <v>0.924390243902439</v>
      </c>
      <c r="BS301">
        <v>0.91219512195122</v>
      </c>
      <c r="BT301">
        <v>0.9</v>
      </c>
      <c r="BU301">
        <v>0.8875</v>
      </c>
      <c r="BV301">
        <v>0.875000000000001</v>
      </c>
      <c r="BW301">
        <v>0.862500000000001</v>
      </c>
      <c r="BX301">
        <v>0.850000000000001</v>
      </c>
      <c r="BY301">
        <v>0.8375</v>
      </c>
      <c r="BZ301">
        <v>0.825000000000001</v>
      </c>
      <c r="CA301">
        <v>0.812500000000001</v>
      </c>
      <c r="CB301">
        <v>0.800000000000001</v>
      </c>
      <c r="CC301" t="e">
        <v>#VALUE!</v>
      </c>
      <c r="CD301" t="e">
        <v>#VALUE!</v>
      </c>
      <c r="CE301" t="e">
        <v>#VALUE!</v>
      </c>
      <c r="CF301" t="e">
        <v>#VALUE!</v>
      </c>
      <c r="CG301" t="e">
        <v>#VALUE!</v>
      </c>
      <c r="CH301" t="e">
        <v>#VALUE!</v>
      </c>
      <c r="CI301" t="e">
        <v>#VALUE!</v>
      </c>
      <c r="CJ301" t="e">
        <v>#VALUE!</v>
      </c>
    </row>
    <row r="302" spans="1:88">
      <c r="A302" t="s">
        <v>28</v>
      </c>
      <c r="B302" t="s">
        <v>286</v>
      </c>
      <c r="C302" t="s">
        <v>286</v>
      </c>
      <c r="D302">
        <v>163</v>
      </c>
      <c r="E302">
        <v>168.237420682405</v>
      </c>
      <c r="F302">
        <v>204.86410051205</v>
      </c>
      <c r="G302">
        <v>250.083540776241</v>
      </c>
      <c r="H302">
        <v>296.762927733665</v>
      </c>
      <c r="I302">
        <v>342.45328449264</v>
      </c>
      <c r="J302">
        <v>388.205886589738</v>
      </c>
      <c r="K302">
        <v>434.730702029893</v>
      </c>
      <c r="L302">
        <v>483.184361655963</v>
      </c>
      <c r="M302">
        <v>534.039498283965</v>
      </c>
      <c r="N302">
        <v>587.612162654983</v>
      </c>
      <c r="O302">
        <v>642.561685934237</v>
      </c>
      <c r="P302">
        <v>698.445453070068</v>
      </c>
      <c r="Q302">
        <v>754.408327767325</v>
      </c>
      <c r="R302">
        <v>810.310826664177</v>
      </c>
      <c r="S302">
        <v>866.298271463453</v>
      </c>
      <c r="T302">
        <v>922.391661330351</v>
      </c>
      <c r="U302">
        <v>978.595696852129</v>
      </c>
      <c r="V302">
        <v>5</v>
      </c>
      <c r="AF302" s="99" t="s">
        <v>272</v>
      </c>
      <c r="AH302">
        <v>1</v>
      </c>
      <c r="AI302">
        <v>1.03220997614691</v>
      </c>
      <c r="AJ302">
        <v>1.26026807229982</v>
      </c>
      <c r="AK302">
        <v>1.54611479417579</v>
      </c>
      <c r="AL302">
        <v>1.84642452510153</v>
      </c>
      <c r="AM302">
        <v>2.14605136752268</v>
      </c>
      <c r="AN302">
        <v>2.45218229566993</v>
      </c>
      <c r="AO302">
        <v>2.77010382709687</v>
      </c>
      <c r="AP302">
        <v>3.10856945656694</v>
      </c>
      <c r="AQ302">
        <v>3.47209926004162</v>
      </c>
      <c r="AR302">
        <v>3.86455766759287</v>
      </c>
      <c r="AS302">
        <v>4.27757178038053</v>
      </c>
      <c r="AT302">
        <v>4.70890116948649</v>
      </c>
      <c r="AU302">
        <v>5.15278382000685</v>
      </c>
      <c r="AV302">
        <v>5.608696692622</v>
      </c>
      <c r="AW302">
        <v>6.0784253017179</v>
      </c>
      <c r="AX302">
        <v>6.56283402216059</v>
      </c>
      <c r="AY302">
        <v>7.06269998470226</v>
      </c>
      <c r="AZ302">
        <v>0</v>
      </c>
      <c r="BA302">
        <v>0</v>
      </c>
      <c r="BB302">
        <v>0</v>
      </c>
      <c r="BC302">
        <v>0</v>
      </c>
      <c r="BD302">
        <v>0</v>
      </c>
      <c r="BE302">
        <v>0</v>
      </c>
      <c r="BF302">
        <v>0</v>
      </c>
      <c r="BG302">
        <v>0</v>
      </c>
      <c r="BI302" t="s">
        <v>273</v>
      </c>
      <c r="BK302">
        <v>1</v>
      </c>
      <c r="BL302">
        <v>0.997560975609757</v>
      </c>
      <c r="BM302">
        <v>0.985365853658537</v>
      </c>
      <c r="BN302">
        <v>0.973170731707317</v>
      </c>
      <c r="BO302">
        <v>0.960975609756098</v>
      </c>
      <c r="BP302">
        <v>0.948780487804878</v>
      </c>
      <c r="BQ302">
        <v>0.936585365853658</v>
      </c>
      <c r="BR302">
        <v>0.924390243902439</v>
      </c>
      <c r="BS302">
        <v>0.91219512195122</v>
      </c>
      <c r="BT302">
        <v>0.9</v>
      </c>
      <c r="BU302">
        <v>0.8875</v>
      </c>
      <c r="BV302">
        <v>0.875000000000001</v>
      </c>
      <c r="BW302">
        <v>0.862500000000001</v>
      </c>
      <c r="BX302">
        <v>0.850000000000001</v>
      </c>
      <c r="BY302">
        <v>0.8375</v>
      </c>
      <c r="BZ302">
        <v>0.825000000000001</v>
      </c>
      <c r="CA302">
        <v>0.812500000000001</v>
      </c>
      <c r="CB302">
        <v>0.800000000000001</v>
      </c>
      <c r="CC302" t="e">
        <v>#VALUE!</v>
      </c>
      <c r="CD302" t="e">
        <v>#VALUE!</v>
      </c>
      <c r="CE302" t="e">
        <v>#VALUE!</v>
      </c>
      <c r="CF302" t="e">
        <v>#VALUE!</v>
      </c>
      <c r="CG302" t="e">
        <v>#VALUE!</v>
      </c>
      <c r="CH302" t="e">
        <v>#VALUE!</v>
      </c>
      <c r="CI302" t="e">
        <v>#VALUE!</v>
      </c>
      <c r="CJ302" t="e">
        <v>#VALUE!</v>
      </c>
    </row>
    <row r="303" spans="1:88">
      <c r="A303" t="s">
        <v>29</v>
      </c>
      <c r="B303" t="s">
        <v>271</v>
      </c>
      <c r="C303" t="s">
        <v>271</v>
      </c>
      <c r="D303">
        <v>245.790197064</v>
      </c>
      <c r="E303">
        <v>247.424732991695</v>
      </c>
      <c r="F303">
        <v>260.586415193295</v>
      </c>
      <c r="G303">
        <v>275.371740753859</v>
      </c>
      <c r="H303">
        <v>295.333937301176</v>
      </c>
      <c r="I303">
        <v>315.298950033039</v>
      </c>
      <c r="J303">
        <v>334.846828568271</v>
      </c>
      <c r="K303">
        <v>353.846728995071</v>
      </c>
      <c r="L303">
        <v>373.987482773737</v>
      </c>
      <c r="M303">
        <v>396.397084697632</v>
      </c>
      <c r="N303">
        <v>419.257305883373</v>
      </c>
      <c r="O303">
        <v>442.109323789419</v>
      </c>
      <c r="P303">
        <v>464.292293095274</v>
      </c>
      <c r="Q303">
        <v>485.912307763911</v>
      </c>
      <c r="R303">
        <v>507.626152233422</v>
      </c>
      <c r="S303">
        <v>529.927878884711</v>
      </c>
      <c r="T303">
        <v>552.54809389151</v>
      </c>
      <c r="U303">
        <v>574.535914520099</v>
      </c>
      <c r="V303">
        <v>5</v>
      </c>
      <c r="AF303" s="99" t="s">
        <v>272</v>
      </c>
      <c r="AH303">
        <v>1</v>
      </c>
      <c r="AI303">
        <v>1.00833807922416</v>
      </c>
      <c r="AJ303">
        <v>1.0766352075424</v>
      </c>
      <c r="AK303">
        <v>1.15564343027581</v>
      </c>
      <c r="AL303">
        <v>1.2657319608088</v>
      </c>
      <c r="AM303">
        <v>1.3800049173744</v>
      </c>
      <c r="AN303">
        <v>1.49615904702163</v>
      </c>
      <c r="AO303">
        <v>1.61335437679292</v>
      </c>
      <c r="AP303">
        <v>1.74229545925796</v>
      </c>
      <c r="AQ303">
        <v>1.89143776051591</v>
      </c>
      <c r="AR303">
        <v>2.05009844692402</v>
      </c>
      <c r="AS303">
        <v>2.21564298647701</v>
      </c>
      <c r="AT303">
        <v>2.38344760280091</v>
      </c>
      <c r="AU303">
        <v>2.55419604958363</v>
      </c>
      <c r="AV303">
        <v>2.73323720135036</v>
      </c>
      <c r="AW303">
        <v>2.92536570747861</v>
      </c>
      <c r="AX303">
        <v>3.12923604119332</v>
      </c>
      <c r="AY303">
        <v>3.33677478017044</v>
      </c>
      <c r="AZ303">
        <v>0</v>
      </c>
      <c r="BA303">
        <v>0</v>
      </c>
      <c r="BB303">
        <v>0</v>
      </c>
      <c r="BC303">
        <v>0</v>
      </c>
      <c r="BD303">
        <v>0</v>
      </c>
      <c r="BE303">
        <v>0</v>
      </c>
      <c r="BF303">
        <v>0</v>
      </c>
      <c r="BG303">
        <v>0</v>
      </c>
      <c r="BI303" t="s">
        <v>287</v>
      </c>
      <c r="BK303">
        <v>0.8</v>
      </c>
      <c r="BL303">
        <v>0.797560975609756</v>
      </c>
      <c r="BM303">
        <v>0.785365853658536</v>
      </c>
      <c r="BN303">
        <v>0.773170731707317</v>
      </c>
      <c r="BO303">
        <v>0.760975609756097</v>
      </c>
      <c r="BP303">
        <v>0.748780487804878</v>
      </c>
      <c r="BQ303">
        <v>0.736585365853658</v>
      </c>
      <c r="BR303">
        <v>0.724390243902439</v>
      </c>
      <c r="BS303">
        <v>0.71219512195122</v>
      </c>
      <c r="BT303">
        <v>0.699999999999999</v>
      </c>
      <c r="BU303">
        <v>0.687499999999999</v>
      </c>
      <c r="BV303">
        <v>0.675</v>
      </c>
      <c r="BW303">
        <v>0.6625</v>
      </c>
      <c r="BX303">
        <v>0.649999999999999</v>
      </c>
      <c r="BY303">
        <v>0.637499999999999</v>
      </c>
      <c r="BZ303">
        <v>0.625</v>
      </c>
      <c r="CA303">
        <v>0.6125</v>
      </c>
      <c r="CB303">
        <v>0.6</v>
      </c>
      <c r="CC303" t="e">
        <v>#VALUE!</v>
      </c>
      <c r="CD303" t="e">
        <v>#VALUE!</v>
      </c>
      <c r="CE303" t="e">
        <v>#VALUE!</v>
      </c>
      <c r="CF303" t="e">
        <v>#VALUE!</v>
      </c>
      <c r="CG303" t="e">
        <v>#VALUE!</v>
      </c>
      <c r="CH303" t="e">
        <v>#VALUE!</v>
      </c>
      <c r="CI303" t="e">
        <v>#VALUE!</v>
      </c>
      <c r="CJ303" t="e">
        <v>#VALUE!</v>
      </c>
    </row>
    <row r="304" spans="1:88">
      <c r="A304" t="s">
        <v>29</v>
      </c>
      <c r="B304" t="s">
        <v>274</v>
      </c>
      <c r="C304" t="s">
        <v>274</v>
      </c>
      <c r="D304">
        <v>253.1128809564</v>
      </c>
      <c r="E304">
        <v>254.796113659036</v>
      </c>
      <c r="F304">
        <v>268.349914177013</v>
      </c>
      <c r="G304">
        <v>283.575730312952</v>
      </c>
      <c r="H304">
        <v>304.132648931612</v>
      </c>
      <c r="I304">
        <v>324.692467635762</v>
      </c>
      <c r="J304">
        <v>344.822724707609</v>
      </c>
      <c r="K304">
        <v>364.388678079054</v>
      </c>
      <c r="L304">
        <v>385.129473580447</v>
      </c>
      <c r="M304">
        <v>408.206711695709</v>
      </c>
      <c r="N304">
        <v>431.747994109493</v>
      </c>
      <c r="O304">
        <v>455.280828848059</v>
      </c>
      <c r="P304">
        <v>478.12468241196</v>
      </c>
      <c r="Q304">
        <v>500.38880955969</v>
      </c>
      <c r="R304">
        <v>522.749561924788</v>
      </c>
      <c r="S304">
        <v>545.715710902406</v>
      </c>
      <c r="T304">
        <v>569.009836773233</v>
      </c>
      <c r="U304">
        <v>591.652727709219</v>
      </c>
      <c r="V304">
        <v>5</v>
      </c>
      <c r="AF304" s="99" t="s">
        <v>272</v>
      </c>
      <c r="AH304">
        <v>1</v>
      </c>
      <c r="AI304">
        <v>1.00833807922416</v>
      </c>
      <c r="AJ304">
        <v>1.0766352075424</v>
      </c>
      <c r="AK304">
        <v>1.15564343027581</v>
      </c>
      <c r="AL304">
        <v>1.2657319608088</v>
      </c>
      <c r="AM304">
        <v>1.3800049173744</v>
      </c>
      <c r="AN304">
        <v>1.49615904702163</v>
      </c>
      <c r="AO304">
        <v>1.61335437679292</v>
      </c>
      <c r="AP304">
        <v>1.74229545925796</v>
      </c>
      <c r="AQ304">
        <v>1.89143776051591</v>
      </c>
      <c r="AR304">
        <v>2.05009844692402</v>
      </c>
      <c r="AS304">
        <v>2.21564298647701</v>
      </c>
      <c r="AT304">
        <v>2.38344760280091</v>
      </c>
      <c r="AU304">
        <v>2.55419604958363</v>
      </c>
      <c r="AV304">
        <v>2.73323720135036</v>
      </c>
      <c r="AW304">
        <v>2.92536570747861</v>
      </c>
      <c r="AX304">
        <v>3.12923604119332</v>
      </c>
      <c r="AY304">
        <v>3.33677478017044</v>
      </c>
      <c r="AZ304">
        <v>0</v>
      </c>
      <c r="BA304">
        <v>0</v>
      </c>
      <c r="BB304">
        <v>0</v>
      </c>
      <c r="BC304">
        <v>0</v>
      </c>
      <c r="BD304">
        <v>0</v>
      </c>
      <c r="BE304">
        <v>0</v>
      </c>
      <c r="BF304">
        <v>0</v>
      </c>
      <c r="BG304">
        <v>0</v>
      </c>
      <c r="BI304" t="s">
        <v>287</v>
      </c>
      <c r="BK304">
        <v>0.8</v>
      </c>
      <c r="BL304">
        <v>0.797560975609756</v>
      </c>
      <c r="BM304">
        <v>0.785365853658536</v>
      </c>
      <c r="BN304">
        <v>0.773170731707317</v>
      </c>
      <c r="BO304">
        <v>0.760975609756097</v>
      </c>
      <c r="BP304">
        <v>0.748780487804878</v>
      </c>
      <c r="BQ304">
        <v>0.736585365853658</v>
      </c>
      <c r="BR304">
        <v>0.724390243902439</v>
      </c>
      <c r="BS304">
        <v>0.71219512195122</v>
      </c>
      <c r="BT304">
        <v>0.699999999999999</v>
      </c>
      <c r="BU304">
        <v>0.687499999999999</v>
      </c>
      <c r="BV304">
        <v>0.675</v>
      </c>
      <c r="BW304">
        <v>0.6625</v>
      </c>
      <c r="BX304">
        <v>0.649999999999999</v>
      </c>
      <c r="BY304">
        <v>0.637499999999999</v>
      </c>
      <c r="BZ304">
        <v>0.625</v>
      </c>
      <c r="CA304">
        <v>0.6125</v>
      </c>
      <c r="CB304">
        <v>0.6</v>
      </c>
      <c r="CC304" t="e">
        <v>#VALUE!</v>
      </c>
      <c r="CD304" t="e">
        <v>#VALUE!</v>
      </c>
      <c r="CE304" t="e">
        <v>#VALUE!</v>
      </c>
      <c r="CF304" t="e">
        <v>#VALUE!</v>
      </c>
      <c r="CG304" t="e">
        <v>#VALUE!</v>
      </c>
      <c r="CH304" t="e">
        <v>#VALUE!</v>
      </c>
      <c r="CI304" t="e">
        <v>#VALUE!</v>
      </c>
      <c r="CJ304" t="e">
        <v>#VALUE!</v>
      </c>
    </row>
    <row r="305" spans="1:88">
      <c r="A305" t="s">
        <v>29</v>
      </c>
      <c r="B305" t="s">
        <v>275</v>
      </c>
      <c r="C305" t="s">
        <v>275</v>
      </c>
      <c r="D305">
        <v>194.24876774148</v>
      </c>
      <c r="E305">
        <v>195.540546638997</v>
      </c>
      <c r="F305">
        <v>205.942265583061</v>
      </c>
      <c r="G305">
        <v>217.627154993229</v>
      </c>
      <c r="H305">
        <v>233.403341867434</v>
      </c>
      <c r="I305">
        <v>249.181754381167</v>
      </c>
      <c r="J305">
        <v>264.630504424035</v>
      </c>
      <c r="K305">
        <v>279.646185639978</v>
      </c>
      <c r="L305">
        <v>295.563486857128</v>
      </c>
      <c r="M305">
        <v>313.273865917364</v>
      </c>
      <c r="N305">
        <v>331.340370801087</v>
      </c>
      <c r="O305">
        <v>349.400392607001</v>
      </c>
      <c r="P305">
        <v>366.931663194605</v>
      </c>
      <c r="Q305">
        <v>384.018028957361</v>
      </c>
      <c r="R305">
        <v>401.178548707602</v>
      </c>
      <c r="S305">
        <v>418.803673599757</v>
      </c>
      <c r="T305">
        <v>436.680500843497</v>
      </c>
      <c r="U305">
        <v>454.057544816134</v>
      </c>
      <c r="V305">
        <v>5</v>
      </c>
      <c r="AF305" s="99" t="s">
        <v>272</v>
      </c>
      <c r="AH305">
        <v>1</v>
      </c>
      <c r="AI305">
        <v>1.00833807922416</v>
      </c>
      <c r="AJ305">
        <v>1.0766352075424</v>
      </c>
      <c r="AK305">
        <v>1.15564343027581</v>
      </c>
      <c r="AL305">
        <v>1.2657319608088</v>
      </c>
      <c r="AM305">
        <v>1.3800049173744</v>
      </c>
      <c r="AN305">
        <v>1.49615904702163</v>
      </c>
      <c r="AO305">
        <v>1.61335437679292</v>
      </c>
      <c r="AP305">
        <v>1.74229545925796</v>
      </c>
      <c r="AQ305">
        <v>1.89143776051591</v>
      </c>
      <c r="AR305">
        <v>2.05009844692402</v>
      </c>
      <c r="AS305">
        <v>2.21564298647701</v>
      </c>
      <c r="AT305">
        <v>2.38344760280091</v>
      </c>
      <c r="AU305">
        <v>2.55419604958363</v>
      </c>
      <c r="AV305">
        <v>2.73323720135036</v>
      </c>
      <c r="AW305">
        <v>2.92536570747861</v>
      </c>
      <c r="AX305">
        <v>3.12923604119332</v>
      </c>
      <c r="AY305">
        <v>3.33677478017044</v>
      </c>
      <c r="AZ305">
        <v>0</v>
      </c>
      <c r="BA305">
        <v>0</v>
      </c>
      <c r="BB305">
        <v>0</v>
      </c>
      <c r="BC305">
        <v>0</v>
      </c>
      <c r="BD305">
        <v>0</v>
      </c>
      <c r="BE305">
        <v>0</v>
      </c>
      <c r="BF305">
        <v>0</v>
      </c>
      <c r="BG305">
        <v>0</v>
      </c>
      <c r="BI305" t="s">
        <v>287</v>
      </c>
      <c r="BK305">
        <v>0.8</v>
      </c>
      <c r="BL305">
        <v>0.797560975609756</v>
      </c>
      <c r="BM305">
        <v>0.785365853658536</v>
      </c>
      <c r="BN305">
        <v>0.773170731707317</v>
      </c>
      <c r="BO305">
        <v>0.760975609756097</v>
      </c>
      <c r="BP305">
        <v>0.748780487804878</v>
      </c>
      <c r="BQ305">
        <v>0.736585365853658</v>
      </c>
      <c r="BR305">
        <v>0.724390243902439</v>
      </c>
      <c r="BS305">
        <v>0.71219512195122</v>
      </c>
      <c r="BT305">
        <v>0.699999999999999</v>
      </c>
      <c r="BU305">
        <v>0.687499999999999</v>
      </c>
      <c r="BV305">
        <v>0.675</v>
      </c>
      <c r="BW305">
        <v>0.6625</v>
      </c>
      <c r="BX305">
        <v>0.649999999999999</v>
      </c>
      <c r="BY305">
        <v>0.637499999999999</v>
      </c>
      <c r="BZ305">
        <v>0.625</v>
      </c>
      <c r="CA305">
        <v>0.6125</v>
      </c>
      <c r="CB305">
        <v>0.6</v>
      </c>
      <c r="CC305" t="e">
        <v>#VALUE!</v>
      </c>
      <c r="CD305" t="e">
        <v>#VALUE!</v>
      </c>
      <c r="CE305" t="e">
        <v>#VALUE!</v>
      </c>
      <c r="CF305" t="e">
        <v>#VALUE!</v>
      </c>
      <c r="CG305" t="e">
        <v>#VALUE!</v>
      </c>
      <c r="CH305" t="e">
        <v>#VALUE!</v>
      </c>
      <c r="CI305" t="e">
        <v>#VALUE!</v>
      </c>
      <c r="CJ305" t="e">
        <v>#VALUE!</v>
      </c>
    </row>
    <row r="306" spans="1:88">
      <c r="A306" t="s">
        <v>29</v>
      </c>
      <c r="B306" t="s">
        <v>276</v>
      </c>
      <c r="C306" t="s">
        <v>276</v>
      </c>
      <c r="D306">
        <v>172.11817527732</v>
      </c>
      <c r="E306">
        <v>172.001941684198</v>
      </c>
      <c r="F306">
        <v>171.429561901201</v>
      </c>
      <c r="G306">
        <v>169.590305192183</v>
      </c>
      <c r="H306">
        <v>167.898987057315</v>
      </c>
      <c r="I306">
        <v>166.624883992822</v>
      </c>
      <c r="J306">
        <v>165.813367268545</v>
      </c>
      <c r="K306">
        <v>165.248837367325</v>
      </c>
      <c r="L306">
        <v>164.516642855234</v>
      </c>
      <c r="M306">
        <v>163.603212923127</v>
      </c>
      <c r="N306">
        <v>162.473578350343</v>
      </c>
      <c r="O306">
        <v>161.266689954002</v>
      </c>
      <c r="P306">
        <v>160.079265772127</v>
      </c>
      <c r="Q306">
        <v>158.931723339581</v>
      </c>
      <c r="R306">
        <v>157.827793023805</v>
      </c>
      <c r="S306">
        <v>156.736614213722</v>
      </c>
      <c r="T306">
        <v>155.585652668273</v>
      </c>
      <c r="U306">
        <v>154.25511252623</v>
      </c>
      <c r="V306">
        <v>5</v>
      </c>
      <c r="AF306" s="99" t="s">
        <v>277</v>
      </c>
      <c r="AH306">
        <v>1</v>
      </c>
      <c r="AI306">
        <v>0.999153277629258</v>
      </c>
      <c r="AJ306">
        <v>0.994919665775547</v>
      </c>
      <c r="AK306">
        <v>0.981113622085295</v>
      </c>
      <c r="AL306">
        <v>0.968255638939726</v>
      </c>
      <c r="AM306">
        <v>0.958442860335364</v>
      </c>
      <c r="AN306">
        <v>0.952105611580232</v>
      </c>
      <c r="AO306">
        <v>0.947630746523464</v>
      </c>
      <c r="AP306">
        <v>0.941735143873907</v>
      </c>
      <c r="AQ306">
        <v>0.934265564647304</v>
      </c>
      <c r="AR306">
        <v>0.924882519918043</v>
      </c>
      <c r="AS306">
        <v>0.914704409340846</v>
      </c>
      <c r="AT306">
        <v>0.904538268851693</v>
      </c>
      <c r="AU306">
        <v>0.894562479762628</v>
      </c>
      <c r="AV306">
        <v>0.884815690929354</v>
      </c>
      <c r="AW306">
        <v>0.875027887508692</v>
      </c>
      <c r="AX306">
        <v>0.864537146774868</v>
      </c>
      <c r="AY306">
        <v>0.852214873283883</v>
      </c>
      <c r="AZ306">
        <v>0</v>
      </c>
      <c r="BA306">
        <v>0</v>
      </c>
      <c r="BB306">
        <v>0</v>
      </c>
      <c r="BC306">
        <v>0</v>
      </c>
      <c r="BD306">
        <v>0</v>
      </c>
      <c r="BE306">
        <v>0</v>
      </c>
      <c r="BF306">
        <v>0</v>
      </c>
      <c r="BG306">
        <v>0</v>
      </c>
      <c r="BI306" t="s">
        <v>287</v>
      </c>
      <c r="BK306">
        <v>0.8</v>
      </c>
      <c r="BL306">
        <v>0.797560975609756</v>
      </c>
      <c r="BM306">
        <v>0.785365853658536</v>
      </c>
      <c r="BN306">
        <v>0.773170731707317</v>
      </c>
      <c r="BO306">
        <v>0.760975609756097</v>
      </c>
      <c r="BP306">
        <v>0.748780487804878</v>
      </c>
      <c r="BQ306">
        <v>0.736585365853658</v>
      </c>
      <c r="BR306">
        <v>0.724390243902439</v>
      </c>
      <c r="BS306">
        <v>0.71219512195122</v>
      </c>
      <c r="BT306">
        <v>0.699999999999999</v>
      </c>
      <c r="BU306">
        <v>0.687499999999999</v>
      </c>
      <c r="BV306">
        <v>0.675</v>
      </c>
      <c r="BW306">
        <v>0.6625</v>
      </c>
      <c r="BX306">
        <v>0.649999999999999</v>
      </c>
      <c r="BY306">
        <v>0.637499999999999</v>
      </c>
      <c r="BZ306">
        <v>0.625</v>
      </c>
      <c r="CA306">
        <v>0.6125</v>
      </c>
      <c r="CB306">
        <v>0.6</v>
      </c>
      <c r="CC306" t="e">
        <v>#VALUE!</v>
      </c>
      <c r="CD306" t="e">
        <v>#VALUE!</v>
      </c>
      <c r="CE306" t="e">
        <v>#VALUE!</v>
      </c>
      <c r="CF306" t="e">
        <v>#VALUE!</v>
      </c>
      <c r="CG306" t="e">
        <v>#VALUE!</v>
      </c>
      <c r="CH306" t="e">
        <v>#VALUE!</v>
      </c>
      <c r="CI306" t="e">
        <v>#VALUE!</v>
      </c>
      <c r="CJ306" t="e">
        <v>#VALUE!</v>
      </c>
    </row>
    <row r="307" spans="1:88">
      <c r="A307" t="s">
        <v>29</v>
      </c>
      <c r="B307" t="s">
        <v>278</v>
      </c>
      <c r="C307" t="s">
        <v>278</v>
      </c>
      <c r="D307">
        <v>25.594159608</v>
      </c>
      <c r="E307">
        <v>25.7643640096326</v>
      </c>
      <c r="F307">
        <v>27.1348913903068</v>
      </c>
      <c r="G307">
        <v>28.6744889282623</v>
      </c>
      <c r="H307">
        <v>30.7531545978506</v>
      </c>
      <c r="I307">
        <v>32.8321135170381</v>
      </c>
      <c r="J307">
        <v>34.8676362075474</v>
      </c>
      <c r="K307">
        <v>36.8460978787955</v>
      </c>
      <c r="L307">
        <v>38.9433567320539</v>
      </c>
      <c r="M307">
        <v>41.2768709862557</v>
      </c>
      <c r="N307">
        <v>43.6573082725714</v>
      </c>
      <c r="O307">
        <v>46.0368913504918</v>
      </c>
      <c r="P307">
        <v>48.3468063258461</v>
      </c>
      <c r="Q307">
        <v>50.5981007743888</v>
      </c>
      <c r="R307">
        <v>52.8591657301699</v>
      </c>
      <c r="S307">
        <v>55.1814469206539</v>
      </c>
      <c r="T307">
        <v>57.5368923377897</v>
      </c>
      <c r="U307">
        <v>59.8264864604293</v>
      </c>
      <c r="V307">
        <v>5</v>
      </c>
      <c r="AF307" s="99" t="s">
        <v>272</v>
      </c>
      <c r="AH307">
        <v>1</v>
      </c>
      <c r="AI307">
        <v>1.00833807922416</v>
      </c>
      <c r="AJ307">
        <v>1.0766352075424</v>
      </c>
      <c r="AK307">
        <v>1.15564343027581</v>
      </c>
      <c r="AL307">
        <v>1.2657319608088</v>
      </c>
      <c r="AM307">
        <v>1.3800049173744</v>
      </c>
      <c r="AN307">
        <v>1.49615904702163</v>
      </c>
      <c r="AO307">
        <v>1.61335437679292</v>
      </c>
      <c r="AP307">
        <v>1.74229545925796</v>
      </c>
      <c r="AQ307">
        <v>1.89143776051591</v>
      </c>
      <c r="AR307">
        <v>2.05009844692402</v>
      </c>
      <c r="AS307">
        <v>2.21564298647701</v>
      </c>
      <c r="AT307">
        <v>2.38344760280091</v>
      </c>
      <c r="AU307">
        <v>2.55419604958363</v>
      </c>
      <c r="AV307">
        <v>2.73323720135036</v>
      </c>
      <c r="AW307">
        <v>2.92536570747861</v>
      </c>
      <c r="AX307">
        <v>3.12923604119332</v>
      </c>
      <c r="AY307">
        <v>3.33677478017044</v>
      </c>
      <c r="AZ307">
        <v>0</v>
      </c>
      <c r="BA307">
        <v>0</v>
      </c>
      <c r="BB307">
        <v>0</v>
      </c>
      <c r="BC307">
        <v>0</v>
      </c>
      <c r="BD307">
        <v>0</v>
      </c>
      <c r="BE307">
        <v>0</v>
      </c>
      <c r="BF307">
        <v>0</v>
      </c>
      <c r="BG307">
        <v>0</v>
      </c>
      <c r="BI307" t="s">
        <v>287</v>
      </c>
      <c r="BK307">
        <v>0.8</v>
      </c>
      <c r="BL307">
        <v>0.797560975609756</v>
      </c>
      <c r="BM307">
        <v>0.785365853658536</v>
      </c>
      <c r="BN307">
        <v>0.773170731707317</v>
      </c>
      <c r="BO307">
        <v>0.760975609756097</v>
      </c>
      <c r="BP307">
        <v>0.748780487804878</v>
      </c>
      <c r="BQ307">
        <v>0.736585365853658</v>
      </c>
      <c r="BR307">
        <v>0.724390243902439</v>
      </c>
      <c r="BS307">
        <v>0.71219512195122</v>
      </c>
      <c r="BT307">
        <v>0.699999999999999</v>
      </c>
      <c r="BU307">
        <v>0.687499999999999</v>
      </c>
      <c r="BV307">
        <v>0.675</v>
      </c>
      <c r="BW307">
        <v>0.6625</v>
      </c>
      <c r="BX307">
        <v>0.649999999999999</v>
      </c>
      <c r="BY307">
        <v>0.637499999999999</v>
      </c>
      <c r="BZ307">
        <v>0.625</v>
      </c>
      <c r="CA307">
        <v>0.6125</v>
      </c>
      <c r="CB307">
        <v>0.6</v>
      </c>
      <c r="CC307" t="e">
        <v>#VALUE!</v>
      </c>
      <c r="CD307" t="e">
        <v>#VALUE!</v>
      </c>
      <c r="CE307" t="e">
        <v>#VALUE!</v>
      </c>
      <c r="CF307" t="e">
        <v>#VALUE!</v>
      </c>
      <c r="CG307" t="e">
        <v>#VALUE!</v>
      </c>
      <c r="CH307" t="e">
        <v>#VALUE!</v>
      </c>
      <c r="CI307" t="e">
        <v>#VALUE!</v>
      </c>
      <c r="CJ307" t="e">
        <v>#VALUE!</v>
      </c>
    </row>
    <row r="308" spans="1:88">
      <c r="A308" t="s">
        <v>29</v>
      </c>
      <c r="B308" t="s">
        <v>279</v>
      </c>
      <c r="C308" t="s">
        <v>279</v>
      </c>
      <c r="D308">
        <v>452.4944431788</v>
      </c>
      <c r="E308">
        <v>455.503588512067</v>
      </c>
      <c r="F308">
        <v>479.733961123545</v>
      </c>
      <c r="G308">
        <v>506.953426084562</v>
      </c>
      <c r="H308">
        <v>543.703398700238</v>
      </c>
      <c r="I308">
        <v>580.45855585083</v>
      </c>
      <c r="J308">
        <v>616.445777956451</v>
      </c>
      <c r="K308">
        <v>651.424184201999</v>
      </c>
      <c r="L308">
        <v>688.502876823355</v>
      </c>
      <c r="M308">
        <v>729.758469867901</v>
      </c>
      <c r="N308">
        <v>771.843643239127</v>
      </c>
      <c r="O308">
        <v>813.913714549643</v>
      </c>
      <c r="P308">
        <v>854.752081840149</v>
      </c>
      <c r="Q308">
        <v>894.554061804611</v>
      </c>
      <c r="R308">
        <v>934.528780405547</v>
      </c>
      <c r="S308">
        <v>975.585777403573</v>
      </c>
      <c r="T308">
        <v>1017.22910458404</v>
      </c>
      <c r="U308">
        <v>1057.70820737534</v>
      </c>
      <c r="V308">
        <v>5</v>
      </c>
      <c r="AF308" s="99" t="s">
        <v>272</v>
      </c>
      <c r="AH308">
        <v>1</v>
      </c>
      <c r="AI308">
        <v>1.00833807922416</v>
      </c>
      <c r="AJ308">
        <v>1.0766352075424</v>
      </c>
      <c r="AK308">
        <v>1.15564343027581</v>
      </c>
      <c r="AL308">
        <v>1.2657319608088</v>
      </c>
      <c r="AM308">
        <v>1.3800049173744</v>
      </c>
      <c r="AN308">
        <v>1.49615904702163</v>
      </c>
      <c r="AO308">
        <v>1.61335437679292</v>
      </c>
      <c r="AP308">
        <v>1.74229545925796</v>
      </c>
      <c r="AQ308">
        <v>1.89143776051591</v>
      </c>
      <c r="AR308">
        <v>2.05009844692402</v>
      </c>
      <c r="AS308">
        <v>2.21564298647701</v>
      </c>
      <c r="AT308">
        <v>2.38344760280091</v>
      </c>
      <c r="AU308">
        <v>2.55419604958363</v>
      </c>
      <c r="AV308">
        <v>2.73323720135036</v>
      </c>
      <c r="AW308">
        <v>2.92536570747861</v>
      </c>
      <c r="AX308">
        <v>3.12923604119332</v>
      </c>
      <c r="AY308">
        <v>3.33677478017044</v>
      </c>
      <c r="AZ308">
        <v>0</v>
      </c>
      <c r="BA308">
        <v>0</v>
      </c>
      <c r="BB308">
        <v>0</v>
      </c>
      <c r="BC308">
        <v>0</v>
      </c>
      <c r="BD308">
        <v>0</v>
      </c>
      <c r="BE308">
        <v>0</v>
      </c>
      <c r="BF308">
        <v>0</v>
      </c>
      <c r="BG308">
        <v>0</v>
      </c>
      <c r="BI308" t="s">
        <v>287</v>
      </c>
      <c r="BK308">
        <v>0.8</v>
      </c>
      <c r="BL308">
        <v>0.797560975609756</v>
      </c>
      <c r="BM308">
        <v>0.785365853658536</v>
      </c>
      <c r="BN308">
        <v>0.773170731707317</v>
      </c>
      <c r="BO308">
        <v>0.760975609756097</v>
      </c>
      <c r="BP308">
        <v>0.748780487804878</v>
      </c>
      <c r="BQ308">
        <v>0.736585365853658</v>
      </c>
      <c r="BR308">
        <v>0.724390243902439</v>
      </c>
      <c r="BS308">
        <v>0.71219512195122</v>
      </c>
      <c r="BT308">
        <v>0.699999999999999</v>
      </c>
      <c r="BU308">
        <v>0.687499999999999</v>
      </c>
      <c r="BV308">
        <v>0.675</v>
      </c>
      <c r="BW308">
        <v>0.6625</v>
      </c>
      <c r="BX308">
        <v>0.649999999999999</v>
      </c>
      <c r="BY308">
        <v>0.637499999999999</v>
      </c>
      <c r="BZ308">
        <v>0.625</v>
      </c>
      <c r="CA308">
        <v>0.6125</v>
      </c>
      <c r="CB308">
        <v>0.6</v>
      </c>
      <c r="CC308" t="e">
        <v>#VALUE!</v>
      </c>
      <c r="CD308" t="e">
        <v>#VALUE!</v>
      </c>
      <c r="CE308" t="e">
        <v>#VALUE!</v>
      </c>
      <c r="CF308" t="e">
        <v>#VALUE!</v>
      </c>
      <c r="CG308" t="e">
        <v>#VALUE!</v>
      </c>
      <c r="CH308" t="e">
        <v>#VALUE!</v>
      </c>
      <c r="CI308" t="e">
        <v>#VALUE!</v>
      </c>
      <c r="CJ308" t="e">
        <v>#VALUE!</v>
      </c>
    </row>
    <row r="309" spans="1:88">
      <c r="A309" t="s">
        <v>29</v>
      </c>
      <c r="B309" t="s">
        <v>280</v>
      </c>
      <c r="C309" t="s">
        <v>280</v>
      </c>
      <c r="D309">
        <v>16.08</v>
      </c>
      <c r="E309">
        <v>16.0691409714611</v>
      </c>
      <c r="F309">
        <v>16.0156668575521</v>
      </c>
      <c r="G309">
        <v>15.8438358011668</v>
      </c>
      <c r="H309">
        <v>15.6858257852875</v>
      </c>
      <c r="I309">
        <v>15.5667937467243</v>
      </c>
      <c r="J309">
        <v>15.4909784593187</v>
      </c>
      <c r="K309">
        <v>15.4382377142057</v>
      </c>
      <c r="L309">
        <v>15.3698330397112</v>
      </c>
      <c r="M309">
        <v>15.2844965940708</v>
      </c>
      <c r="N309">
        <v>15.1789614063947</v>
      </c>
      <c r="O309">
        <v>15.0662088433263</v>
      </c>
      <c r="P309">
        <v>14.955274708603</v>
      </c>
      <c r="Q309">
        <v>14.8480664937494</v>
      </c>
      <c r="R309">
        <v>14.7449327052981</v>
      </c>
      <c r="S309">
        <v>14.6429902158552</v>
      </c>
      <c r="T309">
        <v>14.5354625731701</v>
      </c>
      <c r="U309">
        <v>14.4111579467146</v>
      </c>
      <c r="V309">
        <v>5</v>
      </c>
      <c r="AF309" s="99" t="s">
        <v>277</v>
      </c>
      <c r="AH309">
        <v>1</v>
      </c>
      <c r="AI309">
        <v>0.999153277629258</v>
      </c>
      <c r="AJ309">
        <v>0.994919665775547</v>
      </c>
      <c r="AK309">
        <v>0.981113622085295</v>
      </c>
      <c r="AL309">
        <v>0.968255638939726</v>
      </c>
      <c r="AM309">
        <v>0.958442860335364</v>
      </c>
      <c r="AN309">
        <v>0.952105611580232</v>
      </c>
      <c r="AO309">
        <v>0.947630746523464</v>
      </c>
      <c r="AP309">
        <v>0.941735143873907</v>
      </c>
      <c r="AQ309">
        <v>0.934265564647304</v>
      </c>
      <c r="AR309">
        <v>0.924882519918043</v>
      </c>
      <c r="AS309">
        <v>0.914704409340846</v>
      </c>
      <c r="AT309">
        <v>0.904538268851693</v>
      </c>
      <c r="AU309">
        <v>0.894562479762628</v>
      </c>
      <c r="AV309">
        <v>0.884815690929354</v>
      </c>
      <c r="AW309">
        <v>0.875027887508692</v>
      </c>
      <c r="AX309">
        <v>0.864537146774868</v>
      </c>
      <c r="AY309">
        <v>0.852214873283883</v>
      </c>
      <c r="AZ309">
        <v>0</v>
      </c>
      <c r="BA309">
        <v>0</v>
      </c>
      <c r="BB309">
        <v>0</v>
      </c>
      <c r="BC309">
        <v>0</v>
      </c>
      <c r="BD309">
        <v>0</v>
      </c>
      <c r="BE309">
        <v>0</v>
      </c>
      <c r="BF309">
        <v>0</v>
      </c>
      <c r="BG309">
        <v>0</v>
      </c>
      <c r="BI309" t="s">
        <v>287</v>
      </c>
      <c r="BK309">
        <v>0.8</v>
      </c>
      <c r="BL309">
        <v>0.797560975609756</v>
      </c>
      <c r="BM309">
        <v>0.785365853658536</v>
      </c>
      <c r="BN309">
        <v>0.773170731707317</v>
      </c>
      <c r="BO309">
        <v>0.760975609756097</v>
      </c>
      <c r="BP309">
        <v>0.748780487804878</v>
      </c>
      <c r="BQ309">
        <v>0.736585365853658</v>
      </c>
      <c r="BR309">
        <v>0.724390243902439</v>
      </c>
      <c r="BS309">
        <v>0.71219512195122</v>
      </c>
      <c r="BT309">
        <v>0.699999999999999</v>
      </c>
      <c r="BU309">
        <v>0.687499999999999</v>
      </c>
      <c r="BV309">
        <v>0.675</v>
      </c>
      <c r="BW309">
        <v>0.6625</v>
      </c>
      <c r="BX309">
        <v>0.649999999999999</v>
      </c>
      <c r="BY309">
        <v>0.637499999999999</v>
      </c>
      <c r="BZ309">
        <v>0.625</v>
      </c>
      <c r="CA309">
        <v>0.6125</v>
      </c>
      <c r="CB309">
        <v>0.6</v>
      </c>
      <c r="CC309" t="e">
        <v>#VALUE!</v>
      </c>
      <c r="CD309" t="e">
        <v>#VALUE!</v>
      </c>
      <c r="CE309" t="e">
        <v>#VALUE!</v>
      </c>
      <c r="CF309" t="e">
        <v>#VALUE!</v>
      </c>
      <c r="CG309" t="e">
        <v>#VALUE!</v>
      </c>
      <c r="CH309" t="e">
        <v>#VALUE!</v>
      </c>
      <c r="CI309" t="e">
        <v>#VALUE!</v>
      </c>
      <c r="CJ309" t="e">
        <v>#VALUE!</v>
      </c>
    </row>
    <row r="310" spans="1:88">
      <c r="A310" t="s">
        <v>29</v>
      </c>
      <c r="B310" t="s">
        <v>281</v>
      </c>
      <c r="C310" t="s">
        <v>281</v>
      </c>
      <c r="D310">
        <v>3.18</v>
      </c>
      <c r="E310">
        <v>3.17785250555015</v>
      </c>
      <c r="F310">
        <v>3.1672774009338</v>
      </c>
      <c r="G310">
        <v>3.13329588605165</v>
      </c>
      <c r="H310">
        <v>3.10204763664269</v>
      </c>
      <c r="I310">
        <v>3.0785077185686</v>
      </c>
      <c r="J310">
        <v>3.06351439680557</v>
      </c>
      <c r="K310">
        <v>3.05308432407799</v>
      </c>
      <c r="L310">
        <v>3.03955653397274</v>
      </c>
      <c r="M310">
        <v>3.02268029658863</v>
      </c>
      <c r="N310">
        <v>3.00180953186164</v>
      </c>
      <c r="O310">
        <v>2.97951145035931</v>
      </c>
      <c r="P310">
        <v>2.95757298341775</v>
      </c>
      <c r="Q310">
        <v>2.9363713588385</v>
      </c>
      <c r="R310">
        <v>2.91597549768955</v>
      </c>
      <c r="S310">
        <v>2.89581522925495</v>
      </c>
      <c r="T310">
        <v>2.87455043424633</v>
      </c>
      <c r="U310">
        <v>2.84996780289506</v>
      </c>
      <c r="V310">
        <v>5</v>
      </c>
      <c r="AF310" s="99" t="s">
        <v>277</v>
      </c>
      <c r="AH310">
        <v>1</v>
      </c>
      <c r="AI310">
        <v>0.999153277629258</v>
      </c>
      <c r="AJ310">
        <v>0.994919665775547</v>
      </c>
      <c r="AK310">
        <v>0.981113622085295</v>
      </c>
      <c r="AL310">
        <v>0.968255638939726</v>
      </c>
      <c r="AM310">
        <v>0.958442860335364</v>
      </c>
      <c r="AN310">
        <v>0.952105611580232</v>
      </c>
      <c r="AO310">
        <v>0.947630746523464</v>
      </c>
      <c r="AP310">
        <v>0.941735143873907</v>
      </c>
      <c r="AQ310">
        <v>0.934265564647304</v>
      </c>
      <c r="AR310">
        <v>0.924882519918043</v>
      </c>
      <c r="AS310">
        <v>0.914704409340846</v>
      </c>
      <c r="AT310">
        <v>0.904538268851693</v>
      </c>
      <c r="AU310">
        <v>0.894562479762628</v>
      </c>
      <c r="AV310">
        <v>0.884815690929354</v>
      </c>
      <c r="AW310">
        <v>0.875027887508692</v>
      </c>
      <c r="AX310">
        <v>0.864537146774868</v>
      </c>
      <c r="AY310">
        <v>0.852214873283883</v>
      </c>
      <c r="AZ310">
        <v>0</v>
      </c>
      <c r="BA310">
        <v>0</v>
      </c>
      <c r="BB310">
        <v>0</v>
      </c>
      <c r="BC310">
        <v>0</v>
      </c>
      <c r="BD310">
        <v>0</v>
      </c>
      <c r="BE310">
        <v>0</v>
      </c>
      <c r="BF310">
        <v>0</v>
      </c>
      <c r="BG310">
        <v>0</v>
      </c>
      <c r="BI310" t="s">
        <v>287</v>
      </c>
      <c r="BK310">
        <v>0.8</v>
      </c>
      <c r="BL310">
        <v>0.797560975609756</v>
      </c>
      <c r="BM310">
        <v>0.785365853658536</v>
      </c>
      <c r="BN310">
        <v>0.773170731707317</v>
      </c>
      <c r="BO310">
        <v>0.760975609756097</v>
      </c>
      <c r="BP310">
        <v>0.748780487804878</v>
      </c>
      <c r="BQ310">
        <v>0.736585365853658</v>
      </c>
      <c r="BR310">
        <v>0.724390243902439</v>
      </c>
      <c r="BS310">
        <v>0.71219512195122</v>
      </c>
      <c r="BT310">
        <v>0.699999999999999</v>
      </c>
      <c r="BU310">
        <v>0.687499999999999</v>
      </c>
      <c r="BV310">
        <v>0.675</v>
      </c>
      <c r="BW310">
        <v>0.6625</v>
      </c>
      <c r="BX310">
        <v>0.649999999999999</v>
      </c>
      <c r="BY310">
        <v>0.637499999999999</v>
      </c>
      <c r="BZ310">
        <v>0.625</v>
      </c>
      <c r="CA310">
        <v>0.6125</v>
      </c>
      <c r="CB310">
        <v>0.6</v>
      </c>
      <c r="CC310" t="e">
        <v>#VALUE!</v>
      </c>
      <c r="CD310" t="e">
        <v>#VALUE!</v>
      </c>
      <c r="CE310" t="e">
        <v>#VALUE!</v>
      </c>
      <c r="CF310" t="e">
        <v>#VALUE!</v>
      </c>
      <c r="CG310" t="e">
        <v>#VALUE!</v>
      </c>
      <c r="CH310" t="e">
        <v>#VALUE!</v>
      </c>
      <c r="CI310" t="e">
        <v>#VALUE!</v>
      </c>
      <c r="CJ310" t="e">
        <v>#VALUE!</v>
      </c>
    </row>
    <row r="311" spans="1:88">
      <c r="A311" t="s">
        <v>29</v>
      </c>
      <c r="B311" t="s">
        <v>282</v>
      </c>
      <c r="C311" t="s">
        <v>282</v>
      </c>
      <c r="D311">
        <v>6.825</v>
      </c>
      <c r="E311">
        <v>6.82039099068546</v>
      </c>
      <c r="F311">
        <v>6.79769442181548</v>
      </c>
      <c r="G311">
        <v>6.72476239695047</v>
      </c>
      <c r="H311">
        <v>6.6576965786435</v>
      </c>
      <c r="I311">
        <v>6.60717458466375</v>
      </c>
      <c r="J311">
        <v>6.57499552144591</v>
      </c>
      <c r="K311">
        <v>6.55261022384664</v>
      </c>
      <c r="L311">
        <v>6.52357652338489</v>
      </c>
      <c r="M311">
        <v>6.48735629692372</v>
      </c>
      <c r="N311">
        <v>6.44256291036342</v>
      </c>
      <c r="O311">
        <v>6.39470617883721</v>
      </c>
      <c r="P311">
        <v>6.34762126158056</v>
      </c>
      <c r="Q311">
        <v>6.30211777486565</v>
      </c>
      <c r="R311">
        <v>6.25834363890917</v>
      </c>
      <c r="S311">
        <v>6.21507513825944</v>
      </c>
      <c r="T311">
        <v>6.16943607350038</v>
      </c>
      <c r="U311">
        <v>6.11667618074175</v>
      </c>
      <c r="V311">
        <v>5</v>
      </c>
      <c r="AF311" s="99" t="s">
        <v>277</v>
      </c>
      <c r="AH311">
        <v>1</v>
      </c>
      <c r="AI311">
        <v>0.999153277629258</v>
      </c>
      <c r="AJ311">
        <v>0.994919665775547</v>
      </c>
      <c r="AK311">
        <v>0.981113622085295</v>
      </c>
      <c r="AL311">
        <v>0.968255638939726</v>
      </c>
      <c r="AM311">
        <v>0.958442860335364</v>
      </c>
      <c r="AN311">
        <v>0.952105611580232</v>
      </c>
      <c r="AO311">
        <v>0.947630746523464</v>
      </c>
      <c r="AP311">
        <v>0.941735143873907</v>
      </c>
      <c r="AQ311">
        <v>0.934265564647304</v>
      </c>
      <c r="AR311">
        <v>0.924882519918043</v>
      </c>
      <c r="AS311">
        <v>0.914704409340846</v>
      </c>
      <c r="AT311">
        <v>0.904538268851693</v>
      </c>
      <c r="AU311">
        <v>0.894562479762628</v>
      </c>
      <c r="AV311">
        <v>0.884815690929354</v>
      </c>
      <c r="AW311">
        <v>0.875027887508692</v>
      </c>
      <c r="AX311">
        <v>0.864537146774868</v>
      </c>
      <c r="AY311">
        <v>0.852214873283883</v>
      </c>
      <c r="AZ311">
        <v>0</v>
      </c>
      <c r="BA311">
        <v>0</v>
      </c>
      <c r="BB311">
        <v>0</v>
      </c>
      <c r="BC311">
        <v>0</v>
      </c>
      <c r="BD311">
        <v>0</v>
      </c>
      <c r="BE311">
        <v>0</v>
      </c>
      <c r="BF311">
        <v>0</v>
      </c>
      <c r="BG311">
        <v>0</v>
      </c>
      <c r="BI311" t="s">
        <v>287</v>
      </c>
      <c r="BK311">
        <v>0.8</v>
      </c>
      <c r="BL311">
        <v>0.797560975609756</v>
      </c>
      <c r="BM311">
        <v>0.785365853658536</v>
      </c>
      <c r="BN311">
        <v>0.773170731707317</v>
      </c>
      <c r="BO311">
        <v>0.760975609756097</v>
      </c>
      <c r="BP311">
        <v>0.748780487804878</v>
      </c>
      <c r="BQ311">
        <v>0.736585365853658</v>
      </c>
      <c r="BR311">
        <v>0.724390243902439</v>
      </c>
      <c r="BS311">
        <v>0.71219512195122</v>
      </c>
      <c r="BT311">
        <v>0.699999999999999</v>
      </c>
      <c r="BU311">
        <v>0.687499999999999</v>
      </c>
      <c r="BV311">
        <v>0.675</v>
      </c>
      <c r="BW311">
        <v>0.6625</v>
      </c>
      <c r="BX311">
        <v>0.649999999999999</v>
      </c>
      <c r="BY311">
        <v>0.637499999999999</v>
      </c>
      <c r="BZ311">
        <v>0.625</v>
      </c>
      <c r="CA311">
        <v>0.6125</v>
      </c>
      <c r="CB311">
        <v>0.6</v>
      </c>
      <c r="CC311" t="e">
        <v>#VALUE!</v>
      </c>
      <c r="CD311" t="e">
        <v>#VALUE!</v>
      </c>
      <c r="CE311" t="e">
        <v>#VALUE!</v>
      </c>
      <c r="CF311" t="e">
        <v>#VALUE!</v>
      </c>
      <c r="CG311" t="e">
        <v>#VALUE!</v>
      </c>
      <c r="CH311" t="e">
        <v>#VALUE!</v>
      </c>
      <c r="CI311" t="e">
        <v>#VALUE!</v>
      </c>
      <c r="CJ311" t="e">
        <v>#VALUE!</v>
      </c>
    </row>
    <row r="312" spans="1:88">
      <c r="A312" t="s">
        <v>29</v>
      </c>
      <c r="B312" t="s">
        <v>283</v>
      </c>
      <c r="C312" t="s">
        <v>283</v>
      </c>
      <c r="D312">
        <v>531.888</v>
      </c>
      <c r="E312">
        <v>535.78761516086</v>
      </c>
      <c r="F312">
        <v>566.200505481344</v>
      </c>
      <c r="G312">
        <v>604.938241295261</v>
      </c>
      <c r="H312">
        <v>655.486802594992</v>
      </c>
      <c r="I312">
        <v>705.277454642827</v>
      </c>
      <c r="J312">
        <v>752.752019494957</v>
      </c>
      <c r="K312">
        <v>798.241348968659</v>
      </c>
      <c r="L312">
        <v>847.520271226994</v>
      </c>
      <c r="M312">
        <v>903.453554589231</v>
      </c>
      <c r="N312">
        <v>962.385688002794</v>
      </c>
      <c r="O312">
        <v>1022.6534732597</v>
      </c>
      <c r="P312">
        <v>1082.15665587592</v>
      </c>
      <c r="Q312">
        <v>1140.95383591885</v>
      </c>
      <c r="R312">
        <v>1200.5132942107</v>
      </c>
      <c r="S312">
        <v>1262.23871672957</v>
      </c>
      <c r="T312">
        <v>1326.15320743053</v>
      </c>
      <c r="U312">
        <v>1391.19352245561</v>
      </c>
      <c r="V312">
        <v>5</v>
      </c>
      <c r="AF312" s="99" t="s">
        <v>284</v>
      </c>
      <c r="AH312">
        <v>1</v>
      </c>
      <c r="AI312">
        <v>1.0091925851624</v>
      </c>
      <c r="AJ312">
        <v>1.08213280386126</v>
      </c>
      <c r="AK312">
        <v>1.17788949644748</v>
      </c>
      <c r="AL312">
        <v>1.3072291137853</v>
      </c>
      <c r="AM312">
        <v>1.43984057316836</v>
      </c>
      <c r="AN312">
        <v>1.57142130959445</v>
      </c>
      <c r="AO312">
        <v>1.70251375096447</v>
      </c>
      <c r="AP312">
        <v>1.85009072942832</v>
      </c>
      <c r="AQ312">
        <v>2.02451832978555</v>
      </c>
      <c r="AR312">
        <v>2.21660416623042</v>
      </c>
      <c r="AS312">
        <v>2.42225025248719</v>
      </c>
      <c r="AT312">
        <v>2.63498813137745</v>
      </c>
      <c r="AU312">
        <v>2.85524612016076</v>
      </c>
      <c r="AV312">
        <v>3.08904693866758</v>
      </c>
      <c r="AW312">
        <v>3.34316854267064</v>
      </c>
      <c r="AX312">
        <v>3.61955070741246</v>
      </c>
      <c r="AY312">
        <v>3.91541486164478</v>
      </c>
      <c r="AZ312">
        <v>0</v>
      </c>
      <c r="BA312">
        <v>0</v>
      </c>
      <c r="BB312">
        <v>0</v>
      </c>
      <c r="BC312">
        <v>0</v>
      </c>
      <c r="BD312">
        <v>0</v>
      </c>
      <c r="BE312">
        <v>0</v>
      </c>
      <c r="BF312">
        <v>0</v>
      </c>
      <c r="BG312">
        <v>0</v>
      </c>
      <c r="BI312" t="s">
        <v>287</v>
      </c>
      <c r="BK312">
        <v>0.8</v>
      </c>
      <c r="BL312">
        <v>0.797560975609756</v>
      </c>
      <c r="BM312">
        <v>0.785365853658536</v>
      </c>
      <c r="BN312">
        <v>0.773170731707317</v>
      </c>
      <c r="BO312">
        <v>0.760975609756097</v>
      </c>
      <c r="BP312">
        <v>0.748780487804878</v>
      </c>
      <c r="BQ312">
        <v>0.736585365853658</v>
      </c>
      <c r="BR312">
        <v>0.724390243902439</v>
      </c>
      <c r="BS312">
        <v>0.71219512195122</v>
      </c>
      <c r="BT312">
        <v>0.699999999999999</v>
      </c>
      <c r="BU312">
        <v>0.687499999999999</v>
      </c>
      <c r="BV312">
        <v>0.675</v>
      </c>
      <c r="BW312">
        <v>0.6625</v>
      </c>
      <c r="BX312">
        <v>0.649999999999999</v>
      </c>
      <c r="BY312">
        <v>0.637499999999999</v>
      </c>
      <c r="BZ312">
        <v>0.625</v>
      </c>
      <c r="CA312">
        <v>0.6125</v>
      </c>
      <c r="CB312">
        <v>0.6</v>
      </c>
      <c r="CC312" t="e">
        <v>#VALUE!</v>
      </c>
      <c r="CD312" t="e">
        <v>#VALUE!</v>
      </c>
      <c r="CE312" t="e">
        <v>#VALUE!</v>
      </c>
      <c r="CF312" t="e">
        <v>#VALUE!</v>
      </c>
      <c r="CG312" t="e">
        <v>#VALUE!</v>
      </c>
      <c r="CH312" t="e">
        <v>#VALUE!</v>
      </c>
      <c r="CI312" t="e">
        <v>#VALUE!</v>
      </c>
      <c r="CJ312" t="e">
        <v>#VALUE!</v>
      </c>
    </row>
    <row r="313" spans="1:88">
      <c r="A313" t="s">
        <v>29</v>
      </c>
      <c r="B313" t="s">
        <v>285</v>
      </c>
      <c r="C313" t="s">
        <v>285</v>
      </c>
      <c r="D313">
        <v>100.2</v>
      </c>
      <c r="E313">
        <v>100.866342685393</v>
      </c>
      <c r="F313">
        <v>106.231896610463</v>
      </c>
      <c r="G313">
        <v>112.259352704584</v>
      </c>
      <c r="H313">
        <v>120.397236631339</v>
      </c>
      <c r="I313">
        <v>128.536268617272</v>
      </c>
      <c r="J313">
        <v>136.505249693927</v>
      </c>
      <c r="K313">
        <v>144.250839410305</v>
      </c>
      <c r="L313">
        <v>152.461514826692</v>
      </c>
      <c r="M313">
        <v>161.59711966202</v>
      </c>
      <c r="N313">
        <v>170.91642608747</v>
      </c>
      <c r="O313">
        <v>180.23238832493</v>
      </c>
      <c r="P313">
        <v>189.275603029981</v>
      </c>
      <c r="Q313">
        <v>198.089320971846</v>
      </c>
      <c r="R313">
        <v>206.941290016317</v>
      </c>
      <c r="S313">
        <v>216.032917905273</v>
      </c>
      <c r="T313">
        <v>225.254382271043</v>
      </c>
      <c r="U313">
        <v>234.21804173876</v>
      </c>
      <c r="V313">
        <v>5</v>
      </c>
      <c r="AF313" s="99" t="s">
        <v>272</v>
      </c>
      <c r="AH313">
        <v>1</v>
      </c>
      <c r="AI313">
        <v>1.00833807922416</v>
      </c>
      <c r="AJ313">
        <v>1.0766352075424</v>
      </c>
      <c r="AK313">
        <v>1.15564343027581</v>
      </c>
      <c r="AL313">
        <v>1.2657319608088</v>
      </c>
      <c r="AM313">
        <v>1.3800049173744</v>
      </c>
      <c r="AN313">
        <v>1.49615904702163</v>
      </c>
      <c r="AO313">
        <v>1.61335437679292</v>
      </c>
      <c r="AP313">
        <v>1.74229545925796</v>
      </c>
      <c r="AQ313">
        <v>1.89143776051591</v>
      </c>
      <c r="AR313">
        <v>2.05009844692402</v>
      </c>
      <c r="AS313">
        <v>2.21564298647701</v>
      </c>
      <c r="AT313">
        <v>2.38344760280091</v>
      </c>
      <c r="AU313">
        <v>2.55419604958363</v>
      </c>
      <c r="AV313">
        <v>2.73323720135036</v>
      </c>
      <c r="AW313">
        <v>2.92536570747861</v>
      </c>
      <c r="AX313">
        <v>3.12923604119332</v>
      </c>
      <c r="AY313">
        <v>3.33677478017044</v>
      </c>
      <c r="AZ313">
        <v>0</v>
      </c>
      <c r="BA313">
        <v>0</v>
      </c>
      <c r="BB313">
        <v>0</v>
      </c>
      <c r="BC313">
        <v>0</v>
      </c>
      <c r="BD313">
        <v>0</v>
      </c>
      <c r="BE313">
        <v>0</v>
      </c>
      <c r="BF313">
        <v>0</v>
      </c>
      <c r="BG313">
        <v>0</v>
      </c>
      <c r="BI313" t="s">
        <v>287</v>
      </c>
      <c r="BK313">
        <v>0.8</v>
      </c>
      <c r="BL313">
        <v>0.797560975609756</v>
      </c>
      <c r="BM313">
        <v>0.785365853658536</v>
      </c>
      <c r="BN313">
        <v>0.773170731707317</v>
      </c>
      <c r="BO313">
        <v>0.760975609756097</v>
      </c>
      <c r="BP313">
        <v>0.748780487804878</v>
      </c>
      <c r="BQ313">
        <v>0.736585365853658</v>
      </c>
      <c r="BR313">
        <v>0.724390243902439</v>
      </c>
      <c r="BS313">
        <v>0.71219512195122</v>
      </c>
      <c r="BT313">
        <v>0.699999999999999</v>
      </c>
      <c r="BU313">
        <v>0.687499999999999</v>
      </c>
      <c r="BV313">
        <v>0.675</v>
      </c>
      <c r="BW313">
        <v>0.6625</v>
      </c>
      <c r="BX313">
        <v>0.649999999999999</v>
      </c>
      <c r="BY313">
        <v>0.637499999999999</v>
      </c>
      <c r="BZ313">
        <v>0.625</v>
      </c>
      <c r="CA313">
        <v>0.6125</v>
      </c>
      <c r="CB313">
        <v>0.6</v>
      </c>
      <c r="CC313" t="e">
        <v>#VALUE!</v>
      </c>
      <c r="CD313" t="e">
        <v>#VALUE!</v>
      </c>
      <c r="CE313" t="e">
        <v>#VALUE!</v>
      </c>
      <c r="CF313" t="e">
        <v>#VALUE!</v>
      </c>
      <c r="CG313" t="e">
        <v>#VALUE!</v>
      </c>
      <c r="CH313" t="e">
        <v>#VALUE!</v>
      </c>
      <c r="CI313" t="e">
        <v>#VALUE!</v>
      </c>
      <c r="CJ313" t="e">
        <v>#VALUE!</v>
      </c>
    </row>
    <row r="314" spans="1:88">
      <c r="A314" t="s">
        <v>29</v>
      </c>
      <c r="B314" t="s">
        <v>286</v>
      </c>
      <c r="C314" t="s">
        <v>286</v>
      </c>
      <c r="D314">
        <v>132.56</v>
      </c>
      <c r="E314">
        <v>133.441540782193</v>
      </c>
      <c r="F314">
        <v>140.539922302225</v>
      </c>
      <c r="G314">
        <v>148.513970005186</v>
      </c>
      <c r="H314">
        <v>159.280016844813</v>
      </c>
      <c r="I314">
        <v>170.047582514028</v>
      </c>
      <c r="J314">
        <v>180.590178636995</v>
      </c>
      <c r="K314">
        <v>190.837238245808</v>
      </c>
      <c r="L314">
        <v>201.699584884493</v>
      </c>
      <c r="M314">
        <v>213.785570682609</v>
      </c>
      <c r="N314">
        <v>226.114585251049</v>
      </c>
      <c r="O314">
        <v>238.439175612302</v>
      </c>
      <c r="P314">
        <v>250.402933509524</v>
      </c>
      <c r="Q314">
        <v>262.063077724829</v>
      </c>
      <c r="R314">
        <v>273.773826392844</v>
      </c>
      <c r="S314">
        <v>285.80163270981</v>
      </c>
      <c r="T314">
        <v>298.001206725045</v>
      </c>
      <c r="U314">
        <v>309.859716695509</v>
      </c>
      <c r="V314">
        <v>5</v>
      </c>
      <c r="AF314" s="99" t="s">
        <v>272</v>
      </c>
      <c r="AH314">
        <v>1</v>
      </c>
      <c r="AI314">
        <v>1.00833807922416</v>
      </c>
      <c r="AJ314">
        <v>1.0766352075424</v>
      </c>
      <c r="AK314">
        <v>1.15564343027581</v>
      </c>
      <c r="AL314">
        <v>1.2657319608088</v>
      </c>
      <c r="AM314">
        <v>1.3800049173744</v>
      </c>
      <c r="AN314">
        <v>1.49615904702163</v>
      </c>
      <c r="AO314">
        <v>1.61335437679292</v>
      </c>
      <c r="AP314">
        <v>1.74229545925796</v>
      </c>
      <c r="AQ314">
        <v>1.89143776051591</v>
      </c>
      <c r="AR314">
        <v>2.05009844692402</v>
      </c>
      <c r="AS314">
        <v>2.21564298647701</v>
      </c>
      <c r="AT314">
        <v>2.38344760280091</v>
      </c>
      <c r="AU314">
        <v>2.55419604958363</v>
      </c>
      <c r="AV314">
        <v>2.73323720135036</v>
      </c>
      <c r="AW314">
        <v>2.92536570747861</v>
      </c>
      <c r="AX314">
        <v>3.12923604119332</v>
      </c>
      <c r="AY314">
        <v>3.33677478017044</v>
      </c>
      <c r="AZ314">
        <v>0</v>
      </c>
      <c r="BA314">
        <v>0</v>
      </c>
      <c r="BB314">
        <v>0</v>
      </c>
      <c r="BC314">
        <v>0</v>
      </c>
      <c r="BD314">
        <v>0</v>
      </c>
      <c r="BE314">
        <v>0</v>
      </c>
      <c r="BF314">
        <v>0</v>
      </c>
      <c r="BG314">
        <v>0</v>
      </c>
      <c r="BI314" t="s">
        <v>287</v>
      </c>
      <c r="BK314">
        <v>0.8</v>
      </c>
      <c r="BL314">
        <v>0.797560975609756</v>
      </c>
      <c r="BM314">
        <v>0.785365853658536</v>
      </c>
      <c r="BN314">
        <v>0.773170731707317</v>
      </c>
      <c r="BO314">
        <v>0.760975609756097</v>
      </c>
      <c r="BP314">
        <v>0.748780487804878</v>
      </c>
      <c r="BQ314">
        <v>0.736585365853658</v>
      </c>
      <c r="BR314">
        <v>0.724390243902439</v>
      </c>
      <c r="BS314">
        <v>0.71219512195122</v>
      </c>
      <c r="BT314">
        <v>0.699999999999999</v>
      </c>
      <c r="BU314">
        <v>0.687499999999999</v>
      </c>
      <c r="BV314">
        <v>0.675</v>
      </c>
      <c r="BW314">
        <v>0.6625</v>
      </c>
      <c r="BX314">
        <v>0.649999999999999</v>
      </c>
      <c r="BY314">
        <v>0.637499999999999</v>
      </c>
      <c r="BZ314">
        <v>0.625</v>
      </c>
      <c r="CA314">
        <v>0.6125</v>
      </c>
      <c r="CB314">
        <v>0.6</v>
      </c>
      <c r="CC314" t="e">
        <v>#VALUE!</v>
      </c>
      <c r="CD314" t="e">
        <v>#VALUE!</v>
      </c>
      <c r="CE314" t="e">
        <v>#VALUE!</v>
      </c>
      <c r="CF314" t="e">
        <v>#VALUE!</v>
      </c>
      <c r="CG314" t="e">
        <v>#VALUE!</v>
      </c>
      <c r="CH314" t="e">
        <v>#VALUE!</v>
      </c>
      <c r="CI314" t="e">
        <v>#VALUE!</v>
      </c>
      <c r="CJ314" t="e">
        <v>#VALUE!</v>
      </c>
    </row>
    <row r="315" spans="1:88">
      <c r="A315" t="s">
        <v>30</v>
      </c>
      <c r="B315" t="s">
        <v>271</v>
      </c>
      <c r="C315" t="s">
        <v>271</v>
      </c>
      <c r="D315">
        <v>40.8475344888</v>
      </c>
      <c r="E315">
        <v>40.9363086427679</v>
      </c>
      <c r="F315">
        <v>47.8062422134681</v>
      </c>
      <c r="G315">
        <v>56.6151857605526</v>
      </c>
      <c r="H315">
        <v>64.0703660004334</v>
      </c>
      <c r="I315">
        <v>70.4126849303565</v>
      </c>
      <c r="J315">
        <v>75.658001074488</v>
      </c>
      <c r="K315">
        <v>79.971196746697</v>
      </c>
      <c r="L315">
        <v>83.5897550804173</v>
      </c>
      <c r="M315">
        <v>86.4914370013922</v>
      </c>
      <c r="N315">
        <v>88.8457929009558</v>
      </c>
      <c r="O315">
        <v>90.7290410779171</v>
      </c>
      <c r="P315">
        <v>92.1937431603218</v>
      </c>
      <c r="Q315">
        <v>93.4118332068584</v>
      </c>
      <c r="R315">
        <v>94.4450768279332</v>
      </c>
      <c r="S315">
        <v>95.3169409638829</v>
      </c>
      <c r="T315">
        <v>96.0092876320142</v>
      </c>
      <c r="U315">
        <v>96.5029162157233</v>
      </c>
      <c r="V315">
        <v>5</v>
      </c>
      <c r="AF315" s="99" t="s">
        <v>272</v>
      </c>
      <c r="AH315">
        <v>1</v>
      </c>
      <c r="AI315">
        <v>1.0027249390837</v>
      </c>
      <c r="AJ315">
        <v>1.21699113580074</v>
      </c>
      <c r="AK315">
        <v>1.50702668284416</v>
      </c>
      <c r="AL315">
        <v>1.767807364104</v>
      </c>
      <c r="AM315">
        <v>2.00151413358469</v>
      </c>
      <c r="AN315">
        <v>2.20393549389834</v>
      </c>
      <c r="AO315">
        <v>2.37738400834278</v>
      </c>
      <c r="AP315">
        <v>2.52842760736811</v>
      </c>
      <c r="AQ315">
        <v>2.65381366129534</v>
      </c>
      <c r="AR315">
        <v>2.75888801427898</v>
      </c>
      <c r="AS315">
        <v>2.84552453197228</v>
      </c>
      <c r="AT315">
        <v>2.91486382825113</v>
      </c>
      <c r="AU315">
        <v>2.97411307870486</v>
      </c>
      <c r="AV315">
        <v>3.02571645592467</v>
      </c>
      <c r="AW315">
        <v>3.07040721168791</v>
      </c>
      <c r="AX315">
        <v>3.10681911618719</v>
      </c>
      <c r="AY315">
        <v>3.13344179610336</v>
      </c>
      <c r="AZ315">
        <v>0</v>
      </c>
      <c r="BA315">
        <v>0</v>
      </c>
      <c r="BB315">
        <v>0</v>
      </c>
      <c r="BC315">
        <v>0</v>
      </c>
      <c r="BD315">
        <v>0</v>
      </c>
      <c r="BE315">
        <v>0</v>
      </c>
      <c r="BF315">
        <v>0</v>
      </c>
      <c r="BG315">
        <v>0</v>
      </c>
      <c r="BI315" t="s">
        <v>287</v>
      </c>
      <c r="BK315">
        <v>0.8</v>
      </c>
      <c r="BL315">
        <v>0.797560975609756</v>
      </c>
      <c r="BM315">
        <v>0.785365853658536</v>
      </c>
      <c r="BN315">
        <v>0.773170731707317</v>
      </c>
      <c r="BO315">
        <v>0.760975609756097</v>
      </c>
      <c r="BP315">
        <v>0.748780487804878</v>
      </c>
      <c r="BQ315">
        <v>0.736585365853658</v>
      </c>
      <c r="BR315">
        <v>0.724390243902439</v>
      </c>
      <c r="BS315">
        <v>0.71219512195122</v>
      </c>
      <c r="BT315">
        <v>0.699999999999999</v>
      </c>
      <c r="BU315">
        <v>0.687499999999999</v>
      </c>
      <c r="BV315">
        <v>0.675</v>
      </c>
      <c r="BW315">
        <v>0.6625</v>
      </c>
      <c r="BX315">
        <v>0.649999999999999</v>
      </c>
      <c r="BY315">
        <v>0.637499999999999</v>
      </c>
      <c r="BZ315">
        <v>0.625</v>
      </c>
      <c r="CA315">
        <v>0.6125</v>
      </c>
      <c r="CB315">
        <v>0.6</v>
      </c>
      <c r="CC315" t="e">
        <v>#VALUE!</v>
      </c>
      <c r="CD315" t="e">
        <v>#VALUE!</v>
      </c>
      <c r="CE315" t="e">
        <v>#VALUE!</v>
      </c>
      <c r="CF315" t="e">
        <v>#VALUE!</v>
      </c>
      <c r="CG315" t="e">
        <v>#VALUE!</v>
      </c>
      <c r="CH315" t="e">
        <v>#VALUE!</v>
      </c>
      <c r="CI315" t="e">
        <v>#VALUE!</v>
      </c>
      <c r="CJ315" t="e">
        <v>#VALUE!</v>
      </c>
    </row>
    <row r="316" spans="1:88">
      <c r="A316" t="s">
        <v>30</v>
      </c>
      <c r="B316" t="s">
        <v>274</v>
      </c>
      <c r="C316" t="s">
        <v>274</v>
      </c>
      <c r="D316">
        <v>153.0961909596</v>
      </c>
      <c r="E316">
        <v>153.428915688234</v>
      </c>
      <c r="F316">
        <v>179.17736476802</v>
      </c>
      <c r="G316">
        <v>212.193205756087</v>
      </c>
      <c r="H316">
        <v>240.135154075048</v>
      </c>
      <c r="I316">
        <v>263.906108238473</v>
      </c>
      <c r="J316">
        <v>283.565505851947</v>
      </c>
      <c r="K316">
        <v>299.73132434118</v>
      </c>
      <c r="L316">
        <v>313.293648349</v>
      </c>
      <c r="M316">
        <v>324.169126025612</v>
      </c>
      <c r="N316">
        <v>332.993230708975</v>
      </c>
      <c r="O316">
        <v>340.051627895798</v>
      </c>
      <c r="P316">
        <v>345.54131809407</v>
      </c>
      <c r="Q316">
        <v>350.106708605502</v>
      </c>
      <c r="R316">
        <v>353.979296380983</v>
      </c>
      <c r="S316">
        <v>357.247035301303</v>
      </c>
      <c r="T316">
        <v>359.841944370871</v>
      </c>
      <c r="U316">
        <v>361.692059851779</v>
      </c>
      <c r="V316">
        <v>5</v>
      </c>
      <c r="AF316" s="99" t="s">
        <v>272</v>
      </c>
      <c r="AH316">
        <v>1</v>
      </c>
      <c r="AI316">
        <v>1.0027249390837</v>
      </c>
      <c r="AJ316">
        <v>1.21699113580074</v>
      </c>
      <c r="AK316">
        <v>1.50702668284416</v>
      </c>
      <c r="AL316">
        <v>1.767807364104</v>
      </c>
      <c r="AM316">
        <v>2.00151413358469</v>
      </c>
      <c r="AN316">
        <v>2.20393549389834</v>
      </c>
      <c r="AO316">
        <v>2.37738400834278</v>
      </c>
      <c r="AP316">
        <v>2.52842760736811</v>
      </c>
      <c r="AQ316">
        <v>2.65381366129534</v>
      </c>
      <c r="AR316">
        <v>2.75888801427898</v>
      </c>
      <c r="AS316">
        <v>2.84552453197228</v>
      </c>
      <c r="AT316">
        <v>2.91486382825113</v>
      </c>
      <c r="AU316">
        <v>2.97411307870486</v>
      </c>
      <c r="AV316">
        <v>3.02571645592467</v>
      </c>
      <c r="AW316">
        <v>3.07040721168791</v>
      </c>
      <c r="AX316">
        <v>3.10681911618719</v>
      </c>
      <c r="AY316">
        <v>3.13344179610336</v>
      </c>
      <c r="AZ316">
        <v>0</v>
      </c>
      <c r="BA316">
        <v>0</v>
      </c>
      <c r="BB316">
        <v>0</v>
      </c>
      <c r="BC316">
        <v>0</v>
      </c>
      <c r="BD316">
        <v>0</v>
      </c>
      <c r="BE316">
        <v>0</v>
      </c>
      <c r="BF316">
        <v>0</v>
      </c>
      <c r="BG316">
        <v>0</v>
      </c>
      <c r="BI316" t="s">
        <v>287</v>
      </c>
      <c r="BK316">
        <v>0.8</v>
      </c>
      <c r="BL316">
        <v>0.797560975609756</v>
      </c>
      <c r="BM316">
        <v>0.785365853658536</v>
      </c>
      <c r="BN316">
        <v>0.773170731707317</v>
      </c>
      <c r="BO316">
        <v>0.760975609756097</v>
      </c>
      <c r="BP316">
        <v>0.748780487804878</v>
      </c>
      <c r="BQ316">
        <v>0.736585365853658</v>
      </c>
      <c r="BR316">
        <v>0.724390243902439</v>
      </c>
      <c r="BS316">
        <v>0.71219512195122</v>
      </c>
      <c r="BT316">
        <v>0.699999999999999</v>
      </c>
      <c r="BU316">
        <v>0.687499999999999</v>
      </c>
      <c r="BV316">
        <v>0.675</v>
      </c>
      <c r="BW316">
        <v>0.6625</v>
      </c>
      <c r="BX316">
        <v>0.649999999999999</v>
      </c>
      <c r="BY316">
        <v>0.637499999999999</v>
      </c>
      <c r="BZ316">
        <v>0.625</v>
      </c>
      <c r="CA316">
        <v>0.6125</v>
      </c>
      <c r="CB316">
        <v>0.6</v>
      </c>
      <c r="CC316" t="e">
        <v>#VALUE!</v>
      </c>
      <c r="CD316" t="e">
        <v>#VALUE!</v>
      </c>
      <c r="CE316" t="e">
        <v>#VALUE!</v>
      </c>
      <c r="CF316" t="e">
        <v>#VALUE!</v>
      </c>
      <c r="CG316" t="e">
        <v>#VALUE!</v>
      </c>
      <c r="CH316" t="e">
        <v>#VALUE!</v>
      </c>
      <c r="CI316" t="e">
        <v>#VALUE!</v>
      </c>
      <c r="CJ316" t="e">
        <v>#VALUE!</v>
      </c>
    </row>
    <row r="317" spans="1:88">
      <c r="A317" t="s">
        <v>30</v>
      </c>
      <c r="B317" t="s">
        <v>275</v>
      </c>
      <c r="C317" t="s">
        <v>275</v>
      </c>
      <c r="D317">
        <v>0</v>
      </c>
      <c r="E317">
        <v>0</v>
      </c>
      <c r="F317">
        <v>0</v>
      </c>
      <c r="G317">
        <v>0</v>
      </c>
      <c r="H317">
        <v>0</v>
      </c>
      <c r="I317">
        <v>0</v>
      </c>
      <c r="J317">
        <v>0</v>
      </c>
      <c r="K317">
        <v>0</v>
      </c>
      <c r="L317">
        <v>0</v>
      </c>
      <c r="M317">
        <v>0</v>
      </c>
      <c r="N317">
        <v>0</v>
      </c>
      <c r="O317">
        <v>0</v>
      </c>
      <c r="P317">
        <v>0</v>
      </c>
      <c r="Q317">
        <v>0</v>
      </c>
      <c r="R317">
        <v>0</v>
      </c>
      <c r="S317">
        <v>0</v>
      </c>
      <c r="T317">
        <v>0</v>
      </c>
      <c r="U317">
        <v>0</v>
      </c>
      <c r="V317">
        <v>5</v>
      </c>
      <c r="AF317" s="99" t="s">
        <v>272</v>
      </c>
      <c r="AH317">
        <v>1</v>
      </c>
      <c r="AI317">
        <v>1.0027249390837</v>
      </c>
      <c r="AJ317">
        <v>1.21699113580074</v>
      </c>
      <c r="AK317">
        <v>1.50702668284416</v>
      </c>
      <c r="AL317">
        <v>1.767807364104</v>
      </c>
      <c r="AM317">
        <v>2.00151413358469</v>
      </c>
      <c r="AN317">
        <v>2.20393549389834</v>
      </c>
      <c r="AO317">
        <v>2.37738400834278</v>
      </c>
      <c r="AP317">
        <v>2.52842760736811</v>
      </c>
      <c r="AQ317">
        <v>2.65381366129534</v>
      </c>
      <c r="AR317">
        <v>2.75888801427898</v>
      </c>
      <c r="AS317">
        <v>2.84552453197228</v>
      </c>
      <c r="AT317">
        <v>2.91486382825113</v>
      </c>
      <c r="AU317">
        <v>2.97411307870486</v>
      </c>
      <c r="AV317">
        <v>3.02571645592467</v>
      </c>
      <c r="AW317">
        <v>3.07040721168791</v>
      </c>
      <c r="AX317">
        <v>3.10681911618719</v>
      </c>
      <c r="AY317">
        <v>3.13344179610336</v>
      </c>
      <c r="AZ317">
        <v>0</v>
      </c>
      <c r="BA317">
        <v>0</v>
      </c>
      <c r="BB317">
        <v>0</v>
      </c>
      <c r="BC317">
        <v>0</v>
      </c>
      <c r="BD317">
        <v>0</v>
      </c>
      <c r="BE317">
        <v>0</v>
      </c>
      <c r="BF317">
        <v>0</v>
      </c>
      <c r="BG317">
        <v>0</v>
      </c>
      <c r="BI317" t="s">
        <v>287</v>
      </c>
      <c r="BK317">
        <v>0.8</v>
      </c>
      <c r="BL317">
        <v>0.797560975609756</v>
      </c>
      <c r="BM317">
        <v>0.785365853658536</v>
      </c>
      <c r="BN317">
        <v>0.773170731707317</v>
      </c>
      <c r="BO317">
        <v>0.760975609756097</v>
      </c>
      <c r="BP317">
        <v>0.748780487804878</v>
      </c>
      <c r="BQ317">
        <v>0.736585365853658</v>
      </c>
      <c r="BR317">
        <v>0.724390243902439</v>
      </c>
      <c r="BS317">
        <v>0.71219512195122</v>
      </c>
      <c r="BT317">
        <v>0.699999999999999</v>
      </c>
      <c r="BU317">
        <v>0.687499999999999</v>
      </c>
      <c r="BV317">
        <v>0.675</v>
      </c>
      <c r="BW317">
        <v>0.6625</v>
      </c>
      <c r="BX317">
        <v>0.649999999999999</v>
      </c>
      <c r="BY317">
        <v>0.637499999999999</v>
      </c>
      <c r="BZ317">
        <v>0.625</v>
      </c>
      <c r="CA317">
        <v>0.6125</v>
      </c>
      <c r="CB317">
        <v>0.6</v>
      </c>
      <c r="CC317" t="e">
        <v>#VALUE!</v>
      </c>
      <c r="CD317" t="e">
        <v>#VALUE!</v>
      </c>
      <c r="CE317" t="e">
        <v>#VALUE!</v>
      </c>
      <c r="CF317" t="e">
        <v>#VALUE!</v>
      </c>
      <c r="CG317" t="e">
        <v>#VALUE!</v>
      </c>
      <c r="CH317" t="e">
        <v>#VALUE!</v>
      </c>
      <c r="CI317" t="e">
        <v>#VALUE!</v>
      </c>
      <c r="CJ317" t="e">
        <v>#VALUE!</v>
      </c>
    </row>
    <row r="318" spans="1:88">
      <c r="A318" t="s">
        <v>30</v>
      </c>
      <c r="B318" t="s">
        <v>276</v>
      </c>
      <c r="C318" t="s">
        <v>276</v>
      </c>
      <c r="D318">
        <v>0</v>
      </c>
      <c r="E318">
        <v>0</v>
      </c>
      <c r="F318">
        <v>0</v>
      </c>
      <c r="G318">
        <v>0</v>
      </c>
      <c r="H318">
        <v>0</v>
      </c>
      <c r="I318">
        <v>0</v>
      </c>
      <c r="J318">
        <v>0</v>
      </c>
      <c r="K318">
        <v>0</v>
      </c>
      <c r="L318">
        <v>0</v>
      </c>
      <c r="M318">
        <v>0</v>
      </c>
      <c r="N318">
        <v>0</v>
      </c>
      <c r="O318">
        <v>0</v>
      </c>
      <c r="P318">
        <v>0</v>
      </c>
      <c r="Q318">
        <v>0</v>
      </c>
      <c r="R318">
        <v>0</v>
      </c>
      <c r="S318">
        <v>0</v>
      </c>
      <c r="T318">
        <v>0</v>
      </c>
      <c r="U318">
        <v>0</v>
      </c>
      <c r="V318">
        <v>5</v>
      </c>
      <c r="AF318" s="99" t="s">
        <v>277</v>
      </c>
      <c r="AH318">
        <v>1</v>
      </c>
      <c r="AI318">
        <v>1.01679914151656</v>
      </c>
      <c r="AJ318">
        <v>1.10079484909938</v>
      </c>
      <c r="AK318">
        <v>1.17634123765728</v>
      </c>
      <c r="AL318">
        <v>1.24400064839454</v>
      </c>
      <c r="AM318">
        <v>1.30333026953687</v>
      </c>
      <c r="AN318">
        <v>1.35274683429294</v>
      </c>
      <c r="AO318">
        <v>1.39103197881782</v>
      </c>
      <c r="AP318">
        <v>1.41830062985863</v>
      </c>
      <c r="AQ318">
        <v>1.43475513707264</v>
      </c>
      <c r="AR318">
        <v>1.43997615114236</v>
      </c>
      <c r="AS318">
        <v>1.43694581768264</v>
      </c>
      <c r="AT318">
        <v>1.42840009490283</v>
      </c>
      <c r="AU318">
        <v>1.41699675153305</v>
      </c>
      <c r="AV318">
        <v>1.40386569009785</v>
      </c>
      <c r="AW318">
        <v>1.3885442006389</v>
      </c>
      <c r="AX318">
        <v>1.36952731810462</v>
      </c>
      <c r="AY318">
        <v>1.34669764601564</v>
      </c>
      <c r="AZ318">
        <v>0</v>
      </c>
      <c r="BA318">
        <v>0</v>
      </c>
      <c r="BB318">
        <v>0</v>
      </c>
      <c r="BC318">
        <v>0</v>
      </c>
      <c r="BD318">
        <v>0</v>
      </c>
      <c r="BE318">
        <v>0</v>
      </c>
      <c r="BF318">
        <v>0</v>
      </c>
      <c r="BG318">
        <v>0</v>
      </c>
      <c r="BI318" t="s">
        <v>287</v>
      </c>
      <c r="BK318">
        <v>0.8</v>
      </c>
      <c r="BL318">
        <v>0.797560975609756</v>
      </c>
      <c r="BM318">
        <v>0.785365853658536</v>
      </c>
      <c r="BN318">
        <v>0.773170731707317</v>
      </c>
      <c r="BO318">
        <v>0.760975609756097</v>
      </c>
      <c r="BP318">
        <v>0.748780487804878</v>
      </c>
      <c r="BQ318">
        <v>0.736585365853658</v>
      </c>
      <c r="BR318">
        <v>0.724390243902439</v>
      </c>
      <c r="BS318">
        <v>0.71219512195122</v>
      </c>
      <c r="BT318">
        <v>0.699999999999999</v>
      </c>
      <c r="BU318">
        <v>0.687499999999999</v>
      </c>
      <c r="BV318">
        <v>0.675</v>
      </c>
      <c r="BW318">
        <v>0.6625</v>
      </c>
      <c r="BX318">
        <v>0.649999999999999</v>
      </c>
      <c r="BY318">
        <v>0.637499999999999</v>
      </c>
      <c r="BZ318">
        <v>0.625</v>
      </c>
      <c r="CA318">
        <v>0.6125</v>
      </c>
      <c r="CB318">
        <v>0.6</v>
      </c>
      <c r="CC318" t="e">
        <v>#VALUE!</v>
      </c>
      <c r="CD318" t="e">
        <v>#VALUE!</v>
      </c>
      <c r="CE318" t="e">
        <v>#VALUE!</v>
      </c>
      <c r="CF318" t="e">
        <v>#VALUE!</v>
      </c>
      <c r="CG318" t="e">
        <v>#VALUE!</v>
      </c>
      <c r="CH318" t="e">
        <v>#VALUE!</v>
      </c>
      <c r="CI318" t="e">
        <v>#VALUE!</v>
      </c>
      <c r="CJ318" t="e">
        <v>#VALUE!</v>
      </c>
    </row>
    <row r="319" spans="1:88">
      <c r="A319" t="s">
        <v>30</v>
      </c>
      <c r="B319" t="s">
        <v>278</v>
      </c>
      <c r="C319" t="s">
        <v>278</v>
      </c>
      <c r="D319">
        <v>0</v>
      </c>
      <c r="E319">
        <v>0</v>
      </c>
      <c r="F319">
        <v>0</v>
      </c>
      <c r="G319">
        <v>0</v>
      </c>
      <c r="H319">
        <v>0</v>
      </c>
      <c r="I319">
        <v>0</v>
      </c>
      <c r="J319">
        <v>0</v>
      </c>
      <c r="K319">
        <v>0</v>
      </c>
      <c r="L319">
        <v>0</v>
      </c>
      <c r="M319">
        <v>0</v>
      </c>
      <c r="N319">
        <v>0</v>
      </c>
      <c r="O319">
        <v>0</v>
      </c>
      <c r="P319">
        <v>0</v>
      </c>
      <c r="Q319">
        <v>0</v>
      </c>
      <c r="R319">
        <v>0</v>
      </c>
      <c r="S319">
        <v>0</v>
      </c>
      <c r="T319">
        <v>0</v>
      </c>
      <c r="U319">
        <v>0</v>
      </c>
      <c r="V319">
        <v>5</v>
      </c>
      <c r="AF319" s="99" t="s">
        <v>272</v>
      </c>
      <c r="AH319">
        <v>1</v>
      </c>
      <c r="AI319">
        <v>1.0027249390837</v>
      </c>
      <c r="AJ319">
        <v>1.21699113580074</v>
      </c>
      <c r="AK319">
        <v>1.50702668284416</v>
      </c>
      <c r="AL319">
        <v>1.767807364104</v>
      </c>
      <c r="AM319">
        <v>2.00151413358469</v>
      </c>
      <c r="AN319">
        <v>2.20393549389834</v>
      </c>
      <c r="AO319">
        <v>2.37738400834278</v>
      </c>
      <c r="AP319">
        <v>2.52842760736811</v>
      </c>
      <c r="AQ319">
        <v>2.65381366129534</v>
      </c>
      <c r="AR319">
        <v>2.75888801427898</v>
      </c>
      <c r="AS319">
        <v>2.84552453197228</v>
      </c>
      <c r="AT319">
        <v>2.91486382825113</v>
      </c>
      <c r="AU319">
        <v>2.97411307870486</v>
      </c>
      <c r="AV319">
        <v>3.02571645592467</v>
      </c>
      <c r="AW319">
        <v>3.07040721168791</v>
      </c>
      <c r="AX319">
        <v>3.10681911618719</v>
      </c>
      <c r="AY319">
        <v>3.13344179610336</v>
      </c>
      <c r="AZ319">
        <v>0</v>
      </c>
      <c r="BA319">
        <v>0</v>
      </c>
      <c r="BB319">
        <v>0</v>
      </c>
      <c r="BC319">
        <v>0</v>
      </c>
      <c r="BD319">
        <v>0</v>
      </c>
      <c r="BE319">
        <v>0</v>
      </c>
      <c r="BF319">
        <v>0</v>
      </c>
      <c r="BG319">
        <v>0</v>
      </c>
      <c r="BI319" t="s">
        <v>287</v>
      </c>
      <c r="BK319">
        <v>0.8</v>
      </c>
      <c r="BL319">
        <v>0.797560975609756</v>
      </c>
      <c r="BM319">
        <v>0.785365853658536</v>
      </c>
      <c r="BN319">
        <v>0.773170731707317</v>
      </c>
      <c r="BO319">
        <v>0.760975609756097</v>
      </c>
      <c r="BP319">
        <v>0.748780487804878</v>
      </c>
      <c r="BQ319">
        <v>0.736585365853658</v>
      </c>
      <c r="BR319">
        <v>0.724390243902439</v>
      </c>
      <c r="BS319">
        <v>0.71219512195122</v>
      </c>
      <c r="BT319">
        <v>0.699999999999999</v>
      </c>
      <c r="BU319">
        <v>0.687499999999999</v>
      </c>
      <c r="BV319">
        <v>0.675</v>
      </c>
      <c r="BW319">
        <v>0.6625</v>
      </c>
      <c r="BX319">
        <v>0.649999999999999</v>
      </c>
      <c r="BY319">
        <v>0.637499999999999</v>
      </c>
      <c r="BZ319">
        <v>0.625</v>
      </c>
      <c r="CA319">
        <v>0.6125</v>
      </c>
      <c r="CB319">
        <v>0.6</v>
      </c>
      <c r="CC319" t="e">
        <v>#VALUE!</v>
      </c>
      <c r="CD319" t="e">
        <v>#VALUE!</v>
      </c>
      <c r="CE319" t="e">
        <v>#VALUE!</v>
      </c>
      <c r="CF319" t="e">
        <v>#VALUE!</v>
      </c>
      <c r="CG319" t="e">
        <v>#VALUE!</v>
      </c>
      <c r="CH319" t="e">
        <v>#VALUE!</v>
      </c>
      <c r="CI319" t="e">
        <v>#VALUE!</v>
      </c>
      <c r="CJ319" t="e">
        <v>#VALUE!</v>
      </c>
    </row>
    <row r="320" spans="1:88">
      <c r="A320" t="s">
        <v>30</v>
      </c>
      <c r="B320" t="s">
        <v>279</v>
      </c>
      <c r="C320" t="s">
        <v>279</v>
      </c>
      <c r="D320">
        <v>135.0102909672</v>
      </c>
      <c r="E320">
        <v>135.303709517611</v>
      </c>
      <c r="F320">
        <v>158.010385499729</v>
      </c>
      <c r="G320">
        <v>187.125925673436</v>
      </c>
      <c r="H320">
        <v>211.766973560309</v>
      </c>
      <c r="I320">
        <v>232.729764457039</v>
      </c>
      <c r="J320">
        <v>250.066714353693</v>
      </c>
      <c r="K320">
        <v>264.322796391228</v>
      </c>
      <c r="L320">
        <v>276.282945752295</v>
      </c>
      <c r="M320">
        <v>285.873657293343</v>
      </c>
      <c r="N320">
        <v>293.655333201532</v>
      </c>
      <c r="O320">
        <v>299.879892101279</v>
      </c>
      <c r="P320">
        <v>304.721061998081</v>
      </c>
      <c r="Q320">
        <v>308.747123635956</v>
      </c>
      <c r="R320">
        <v>312.162226252726</v>
      </c>
      <c r="S320">
        <v>315.043933365568</v>
      </c>
      <c r="T320">
        <v>317.332294861173</v>
      </c>
      <c r="U320">
        <v>318.963848382098</v>
      </c>
      <c r="V320">
        <v>5</v>
      </c>
      <c r="AF320" s="99" t="s">
        <v>272</v>
      </c>
      <c r="AH320">
        <v>1</v>
      </c>
      <c r="AI320">
        <v>1.0027249390837</v>
      </c>
      <c r="AJ320">
        <v>1.21699113580074</v>
      </c>
      <c r="AK320">
        <v>1.50702668284416</v>
      </c>
      <c r="AL320">
        <v>1.767807364104</v>
      </c>
      <c r="AM320">
        <v>2.00151413358469</v>
      </c>
      <c r="AN320">
        <v>2.20393549389834</v>
      </c>
      <c r="AO320">
        <v>2.37738400834278</v>
      </c>
      <c r="AP320">
        <v>2.52842760736811</v>
      </c>
      <c r="AQ320">
        <v>2.65381366129534</v>
      </c>
      <c r="AR320">
        <v>2.75888801427898</v>
      </c>
      <c r="AS320">
        <v>2.84552453197228</v>
      </c>
      <c r="AT320">
        <v>2.91486382825113</v>
      </c>
      <c r="AU320">
        <v>2.97411307870486</v>
      </c>
      <c r="AV320">
        <v>3.02571645592467</v>
      </c>
      <c r="AW320">
        <v>3.07040721168791</v>
      </c>
      <c r="AX320">
        <v>3.10681911618719</v>
      </c>
      <c r="AY320">
        <v>3.13344179610336</v>
      </c>
      <c r="AZ320">
        <v>0</v>
      </c>
      <c r="BA320">
        <v>0</v>
      </c>
      <c r="BB320">
        <v>0</v>
      </c>
      <c r="BC320">
        <v>0</v>
      </c>
      <c r="BD320">
        <v>0</v>
      </c>
      <c r="BE320">
        <v>0</v>
      </c>
      <c r="BF320">
        <v>0</v>
      </c>
      <c r="BG320">
        <v>0</v>
      </c>
      <c r="BI320" t="s">
        <v>287</v>
      </c>
      <c r="BK320">
        <v>0.8</v>
      </c>
      <c r="BL320">
        <v>0.797560975609756</v>
      </c>
      <c r="BM320">
        <v>0.785365853658536</v>
      </c>
      <c r="BN320">
        <v>0.773170731707317</v>
      </c>
      <c r="BO320">
        <v>0.760975609756097</v>
      </c>
      <c r="BP320">
        <v>0.748780487804878</v>
      </c>
      <c r="BQ320">
        <v>0.736585365853658</v>
      </c>
      <c r="BR320">
        <v>0.724390243902439</v>
      </c>
      <c r="BS320">
        <v>0.71219512195122</v>
      </c>
      <c r="BT320">
        <v>0.699999999999999</v>
      </c>
      <c r="BU320">
        <v>0.687499999999999</v>
      </c>
      <c r="BV320">
        <v>0.675</v>
      </c>
      <c r="BW320">
        <v>0.6625</v>
      </c>
      <c r="BX320">
        <v>0.649999999999999</v>
      </c>
      <c r="BY320">
        <v>0.637499999999999</v>
      </c>
      <c r="BZ320">
        <v>0.625</v>
      </c>
      <c r="CA320">
        <v>0.6125</v>
      </c>
      <c r="CB320">
        <v>0.6</v>
      </c>
      <c r="CC320" t="e">
        <v>#VALUE!</v>
      </c>
      <c r="CD320" t="e">
        <v>#VALUE!</v>
      </c>
      <c r="CE320" t="e">
        <v>#VALUE!</v>
      </c>
      <c r="CF320" t="e">
        <v>#VALUE!</v>
      </c>
      <c r="CG320" t="e">
        <v>#VALUE!</v>
      </c>
      <c r="CH320" t="e">
        <v>#VALUE!</v>
      </c>
      <c r="CI320" t="e">
        <v>#VALUE!</v>
      </c>
      <c r="CJ320" t="e">
        <v>#VALUE!</v>
      </c>
    </row>
    <row r="321" spans="1:88">
      <c r="A321" t="s">
        <v>30</v>
      </c>
      <c r="B321" t="s">
        <v>280</v>
      </c>
      <c r="C321" t="s">
        <v>280</v>
      </c>
      <c r="D321">
        <v>14.126</v>
      </c>
      <c r="E321">
        <v>14.3152649465648</v>
      </c>
      <c r="F321">
        <v>15.2440031861102</v>
      </c>
      <c r="G321">
        <v>16.0528788246618</v>
      </c>
      <c r="H321">
        <v>16.755495663707</v>
      </c>
      <c r="I321">
        <v>17.3538559576706</v>
      </c>
      <c r="J321">
        <v>17.8385159203282</v>
      </c>
      <c r="K321">
        <v>18.2042328604979</v>
      </c>
      <c r="L321">
        <v>18.4583874268113</v>
      </c>
      <c r="M321">
        <v>18.6082897563144</v>
      </c>
      <c r="N321">
        <v>18.6548436743545</v>
      </c>
      <c r="O321">
        <v>18.628344611904</v>
      </c>
      <c r="P321">
        <v>18.5549492605634</v>
      </c>
      <c r="Q321">
        <v>18.4586649646239</v>
      </c>
      <c r="R321">
        <v>18.3496185339122</v>
      </c>
      <c r="S321">
        <v>18.2244536548367</v>
      </c>
      <c r="T321">
        <v>18.0715773328401</v>
      </c>
      <c r="U321">
        <v>17.8908281739798</v>
      </c>
      <c r="V321">
        <v>5</v>
      </c>
      <c r="AF321" s="99" t="s">
        <v>277</v>
      </c>
      <c r="AH321">
        <v>1</v>
      </c>
      <c r="AI321">
        <v>1.01679914151656</v>
      </c>
      <c r="AJ321">
        <v>1.10079484909938</v>
      </c>
      <c r="AK321">
        <v>1.17634123765728</v>
      </c>
      <c r="AL321">
        <v>1.24400064839454</v>
      </c>
      <c r="AM321">
        <v>1.30333026953687</v>
      </c>
      <c r="AN321">
        <v>1.35274683429294</v>
      </c>
      <c r="AO321">
        <v>1.39103197881782</v>
      </c>
      <c r="AP321">
        <v>1.41830062985863</v>
      </c>
      <c r="AQ321">
        <v>1.43475513707264</v>
      </c>
      <c r="AR321">
        <v>1.43997615114236</v>
      </c>
      <c r="AS321">
        <v>1.43694581768264</v>
      </c>
      <c r="AT321">
        <v>1.42840009490283</v>
      </c>
      <c r="AU321">
        <v>1.41699675153305</v>
      </c>
      <c r="AV321">
        <v>1.40386569009785</v>
      </c>
      <c r="AW321">
        <v>1.3885442006389</v>
      </c>
      <c r="AX321">
        <v>1.36952731810462</v>
      </c>
      <c r="AY321">
        <v>1.34669764601564</v>
      </c>
      <c r="AZ321">
        <v>0</v>
      </c>
      <c r="BA321">
        <v>0</v>
      </c>
      <c r="BB321">
        <v>0</v>
      </c>
      <c r="BC321">
        <v>0</v>
      </c>
      <c r="BD321">
        <v>0</v>
      </c>
      <c r="BE321">
        <v>0</v>
      </c>
      <c r="BF321">
        <v>0</v>
      </c>
      <c r="BG321">
        <v>0</v>
      </c>
      <c r="BI321" t="s">
        <v>287</v>
      </c>
      <c r="BK321">
        <v>0.8</v>
      </c>
      <c r="BL321">
        <v>0.797560975609756</v>
      </c>
      <c r="BM321">
        <v>0.785365853658536</v>
      </c>
      <c r="BN321">
        <v>0.773170731707317</v>
      </c>
      <c r="BO321">
        <v>0.760975609756097</v>
      </c>
      <c r="BP321">
        <v>0.748780487804878</v>
      </c>
      <c r="BQ321">
        <v>0.736585365853658</v>
      </c>
      <c r="BR321">
        <v>0.724390243902439</v>
      </c>
      <c r="BS321">
        <v>0.71219512195122</v>
      </c>
      <c r="BT321">
        <v>0.699999999999999</v>
      </c>
      <c r="BU321">
        <v>0.687499999999999</v>
      </c>
      <c r="BV321">
        <v>0.675</v>
      </c>
      <c r="BW321">
        <v>0.6625</v>
      </c>
      <c r="BX321">
        <v>0.649999999999999</v>
      </c>
      <c r="BY321">
        <v>0.637499999999999</v>
      </c>
      <c r="BZ321">
        <v>0.625</v>
      </c>
      <c r="CA321">
        <v>0.6125</v>
      </c>
      <c r="CB321">
        <v>0.6</v>
      </c>
      <c r="CC321" t="e">
        <v>#VALUE!</v>
      </c>
      <c r="CD321" t="e">
        <v>#VALUE!</v>
      </c>
      <c r="CE321" t="e">
        <v>#VALUE!</v>
      </c>
      <c r="CF321" t="e">
        <v>#VALUE!</v>
      </c>
      <c r="CG321" t="e">
        <v>#VALUE!</v>
      </c>
      <c r="CH321" t="e">
        <v>#VALUE!</v>
      </c>
      <c r="CI321" t="e">
        <v>#VALUE!</v>
      </c>
      <c r="CJ321" t="e">
        <v>#VALUE!</v>
      </c>
    </row>
    <row r="322" spans="1:88">
      <c r="A322" t="s">
        <v>30</v>
      </c>
      <c r="B322" t="s">
        <v>281</v>
      </c>
      <c r="C322" t="s">
        <v>281</v>
      </c>
      <c r="D322">
        <v>4.185</v>
      </c>
      <c r="E322">
        <v>4.24107205163343</v>
      </c>
      <c r="F322">
        <v>4.51622209640883</v>
      </c>
      <c r="G322">
        <v>4.75586138193469</v>
      </c>
      <c r="H322">
        <v>4.96402020052483</v>
      </c>
      <c r="I322">
        <v>5.14129174450315</v>
      </c>
      <c r="J322">
        <v>5.28487817687763</v>
      </c>
      <c r="K322">
        <v>5.39322628636441</v>
      </c>
      <c r="L322">
        <v>5.46852268024957</v>
      </c>
      <c r="M322">
        <v>5.51293307590086</v>
      </c>
      <c r="N322">
        <v>5.52672524261457</v>
      </c>
      <c r="O322">
        <v>5.51887457176967</v>
      </c>
      <c r="P322">
        <v>5.49713030266584</v>
      </c>
      <c r="Q322">
        <v>5.4686049042157</v>
      </c>
      <c r="R322">
        <v>5.43629856749418</v>
      </c>
      <c r="S322">
        <v>5.39921694361401</v>
      </c>
      <c r="T322">
        <v>5.35392546636952</v>
      </c>
      <c r="U322">
        <v>5.30037632083431</v>
      </c>
      <c r="V322">
        <v>5</v>
      </c>
      <c r="AF322" s="99" t="s">
        <v>277</v>
      </c>
      <c r="AH322">
        <v>1</v>
      </c>
      <c r="AI322">
        <v>1.01679914151656</v>
      </c>
      <c r="AJ322">
        <v>1.10079484909938</v>
      </c>
      <c r="AK322">
        <v>1.17634123765728</v>
      </c>
      <c r="AL322">
        <v>1.24400064839454</v>
      </c>
      <c r="AM322">
        <v>1.30333026953687</v>
      </c>
      <c r="AN322">
        <v>1.35274683429294</v>
      </c>
      <c r="AO322">
        <v>1.39103197881782</v>
      </c>
      <c r="AP322">
        <v>1.41830062985863</v>
      </c>
      <c r="AQ322">
        <v>1.43475513707264</v>
      </c>
      <c r="AR322">
        <v>1.43997615114236</v>
      </c>
      <c r="AS322">
        <v>1.43694581768264</v>
      </c>
      <c r="AT322">
        <v>1.42840009490283</v>
      </c>
      <c r="AU322">
        <v>1.41699675153305</v>
      </c>
      <c r="AV322">
        <v>1.40386569009785</v>
      </c>
      <c r="AW322">
        <v>1.3885442006389</v>
      </c>
      <c r="AX322">
        <v>1.36952731810462</v>
      </c>
      <c r="AY322">
        <v>1.34669764601564</v>
      </c>
      <c r="AZ322">
        <v>0</v>
      </c>
      <c r="BA322">
        <v>0</v>
      </c>
      <c r="BB322">
        <v>0</v>
      </c>
      <c r="BC322">
        <v>0</v>
      </c>
      <c r="BD322">
        <v>0</v>
      </c>
      <c r="BE322">
        <v>0</v>
      </c>
      <c r="BF322">
        <v>0</v>
      </c>
      <c r="BG322">
        <v>0</v>
      </c>
      <c r="BI322" t="s">
        <v>287</v>
      </c>
      <c r="BK322">
        <v>0.8</v>
      </c>
      <c r="BL322">
        <v>0.797560975609756</v>
      </c>
      <c r="BM322">
        <v>0.785365853658536</v>
      </c>
      <c r="BN322">
        <v>0.773170731707317</v>
      </c>
      <c r="BO322">
        <v>0.760975609756097</v>
      </c>
      <c r="BP322">
        <v>0.748780487804878</v>
      </c>
      <c r="BQ322">
        <v>0.736585365853658</v>
      </c>
      <c r="BR322">
        <v>0.724390243902439</v>
      </c>
      <c r="BS322">
        <v>0.71219512195122</v>
      </c>
      <c r="BT322">
        <v>0.699999999999999</v>
      </c>
      <c r="BU322">
        <v>0.687499999999999</v>
      </c>
      <c r="BV322">
        <v>0.675</v>
      </c>
      <c r="BW322">
        <v>0.6625</v>
      </c>
      <c r="BX322">
        <v>0.649999999999999</v>
      </c>
      <c r="BY322">
        <v>0.637499999999999</v>
      </c>
      <c r="BZ322">
        <v>0.625</v>
      </c>
      <c r="CA322">
        <v>0.6125</v>
      </c>
      <c r="CB322">
        <v>0.6</v>
      </c>
      <c r="CC322" t="e">
        <v>#VALUE!</v>
      </c>
      <c r="CD322" t="e">
        <v>#VALUE!</v>
      </c>
      <c r="CE322" t="e">
        <v>#VALUE!</v>
      </c>
      <c r="CF322" t="e">
        <v>#VALUE!</v>
      </c>
      <c r="CG322" t="e">
        <v>#VALUE!</v>
      </c>
      <c r="CH322" t="e">
        <v>#VALUE!</v>
      </c>
      <c r="CI322" t="e">
        <v>#VALUE!</v>
      </c>
      <c r="CJ322" t="e">
        <v>#VALUE!</v>
      </c>
    </row>
    <row r="323" spans="1:88">
      <c r="A323" t="s">
        <v>30</v>
      </c>
      <c r="B323" t="s">
        <v>282</v>
      </c>
      <c r="C323" t="s">
        <v>282</v>
      </c>
      <c r="D323">
        <v>7.98</v>
      </c>
      <c r="E323">
        <v>8.08691875078489</v>
      </c>
      <c r="F323">
        <v>8.61157761752508</v>
      </c>
      <c r="G323">
        <v>9.06852421214787</v>
      </c>
      <c r="H323">
        <v>9.46544353648462</v>
      </c>
      <c r="I323">
        <v>9.80346669561174</v>
      </c>
      <c r="J323">
        <v>10.0772587458742</v>
      </c>
      <c r="K323">
        <v>10.2838580084081</v>
      </c>
      <c r="L323">
        <v>10.4274339279311</v>
      </c>
      <c r="M323">
        <v>10.5121161160547</v>
      </c>
      <c r="N323">
        <v>10.5384151579604</v>
      </c>
      <c r="O323">
        <v>10.5234454200052</v>
      </c>
      <c r="P323">
        <v>10.481983229456</v>
      </c>
      <c r="Q323">
        <v>10.4275907134149</v>
      </c>
      <c r="R323">
        <v>10.365988666333</v>
      </c>
      <c r="S323">
        <v>10.2952810537729</v>
      </c>
      <c r="T323">
        <v>10.208918810425</v>
      </c>
      <c r="U323">
        <v>10.1068107623077</v>
      </c>
      <c r="V323">
        <v>5</v>
      </c>
      <c r="AF323" s="99" t="s">
        <v>277</v>
      </c>
      <c r="AH323">
        <v>1</v>
      </c>
      <c r="AI323">
        <v>1.01679914151656</v>
      </c>
      <c r="AJ323">
        <v>1.10079484909938</v>
      </c>
      <c r="AK323">
        <v>1.17634123765728</v>
      </c>
      <c r="AL323">
        <v>1.24400064839454</v>
      </c>
      <c r="AM323">
        <v>1.30333026953687</v>
      </c>
      <c r="AN323">
        <v>1.35274683429294</v>
      </c>
      <c r="AO323">
        <v>1.39103197881782</v>
      </c>
      <c r="AP323">
        <v>1.41830062985863</v>
      </c>
      <c r="AQ323">
        <v>1.43475513707264</v>
      </c>
      <c r="AR323">
        <v>1.43997615114236</v>
      </c>
      <c r="AS323">
        <v>1.43694581768264</v>
      </c>
      <c r="AT323">
        <v>1.42840009490283</v>
      </c>
      <c r="AU323">
        <v>1.41699675153305</v>
      </c>
      <c r="AV323">
        <v>1.40386569009785</v>
      </c>
      <c r="AW323">
        <v>1.3885442006389</v>
      </c>
      <c r="AX323">
        <v>1.36952731810462</v>
      </c>
      <c r="AY323">
        <v>1.34669764601564</v>
      </c>
      <c r="AZ323">
        <v>0</v>
      </c>
      <c r="BA323">
        <v>0</v>
      </c>
      <c r="BB323">
        <v>0</v>
      </c>
      <c r="BC323">
        <v>0</v>
      </c>
      <c r="BD323">
        <v>0</v>
      </c>
      <c r="BE323">
        <v>0</v>
      </c>
      <c r="BF323">
        <v>0</v>
      </c>
      <c r="BG323">
        <v>0</v>
      </c>
      <c r="BI323" t="s">
        <v>287</v>
      </c>
      <c r="BK323">
        <v>0.8</v>
      </c>
      <c r="BL323">
        <v>0.797560975609756</v>
      </c>
      <c r="BM323">
        <v>0.785365853658536</v>
      </c>
      <c r="BN323">
        <v>0.773170731707317</v>
      </c>
      <c r="BO323">
        <v>0.760975609756097</v>
      </c>
      <c r="BP323">
        <v>0.748780487804878</v>
      </c>
      <c r="BQ323">
        <v>0.736585365853658</v>
      </c>
      <c r="BR323">
        <v>0.724390243902439</v>
      </c>
      <c r="BS323">
        <v>0.71219512195122</v>
      </c>
      <c r="BT323">
        <v>0.699999999999999</v>
      </c>
      <c r="BU323">
        <v>0.687499999999999</v>
      </c>
      <c r="BV323">
        <v>0.675</v>
      </c>
      <c r="BW323">
        <v>0.6625</v>
      </c>
      <c r="BX323">
        <v>0.649999999999999</v>
      </c>
      <c r="BY323">
        <v>0.637499999999999</v>
      </c>
      <c r="BZ323">
        <v>0.625</v>
      </c>
      <c r="CA323">
        <v>0.6125</v>
      </c>
      <c r="CB323">
        <v>0.6</v>
      </c>
      <c r="CC323" t="e">
        <v>#VALUE!</v>
      </c>
      <c r="CD323" t="e">
        <v>#VALUE!</v>
      </c>
      <c r="CE323" t="e">
        <v>#VALUE!</v>
      </c>
      <c r="CF323" t="e">
        <v>#VALUE!</v>
      </c>
      <c r="CG323" t="e">
        <v>#VALUE!</v>
      </c>
      <c r="CH323" t="e">
        <v>#VALUE!</v>
      </c>
      <c r="CI323" t="e">
        <v>#VALUE!</v>
      </c>
      <c r="CJ323" t="e">
        <v>#VALUE!</v>
      </c>
    </row>
    <row r="324" spans="1:88">
      <c r="A324" t="s">
        <v>30</v>
      </c>
      <c r="B324" t="s">
        <v>283</v>
      </c>
      <c r="C324" t="s">
        <v>283</v>
      </c>
      <c r="D324">
        <v>367.536</v>
      </c>
      <c r="E324">
        <v>363.478557229985</v>
      </c>
      <c r="F324">
        <v>398.040856608938</v>
      </c>
      <c r="G324">
        <v>446.910564531527</v>
      </c>
      <c r="H324">
        <v>484.062815471466</v>
      </c>
      <c r="I324">
        <v>513.2992754764</v>
      </c>
      <c r="J324">
        <v>536.328318971612</v>
      </c>
      <c r="K324">
        <v>555.369469966788</v>
      </c>
      <c r="L324">
        <v>572.411231200172</v>
      </c>
      <c r="M324">
        <v>587.458376078734</v>
      </c>
      <c r="N324">
        <v>601.927048952381</v>
      </c>
      <c r="O324">
        <v>615.569730434503</v>
      </c>
      <c r="P324">
        <v>628.006598989536</v>
      </c>
      <c r="Q324">
        <v>639.65581699891</v>
      </c>
      <c r="R324">
        <v>650.611510947528</v>
      </c>
      <c r="S324">
        <v>661.170730331638</v>
      </c>
      <c r="T324">
        <v>671.663176037402</v>
      </c>
      <c r="U324">
        <v>682.006808405284</v>
      </c>
      <c r="V324">
        <v>5</v>
      </c>
      <c r="AF324" s="99" t="s">
        <v>284</v>
      </c>
      <c r="AH324">
        <v>1</v>
      </c>
      <c r="AI324">
        <v>0.986158325810668</v>
      </c>
      <c r="AJ324">
        <v>1.10555671367505</v>
      </c>
      <c r="AK324">
        <v>1.2811135362775</v>
      </c>
      <c r="AL324">
        <v>1.42106627226077</v>
      </c>
      <c r="AM324">
        <v>1.53569220355475</v>
      </c>
      <c r="AN324">
        <v>1.62922982928311</v>
      </c>
      <c r="AO324">
        <v>1.70907933429626</v>
      </c>
      <c r="AP324">
        <v>1.78271626913127</v>
      </c>
      <c r="AQ324">
        <v>1.84966311862104</v>
      </c>
      <c r="AR324">
        <v>1.91592618536794</v>
      </c>
      <c r="AS324">
        <v>1.98025875224805</v>
      </c>
      <c r="AT324">
        <v>2.04064942214206</v>
      </c>
      <c r="AU324">
        <v>2.09888489545736</v>
      </c>
      <c r="AV324">
        <v>2.15527487940374</v>
      </c>
      <c r="AW324">
        <v>2.21124196858491</v>
      </c>
      <c r="AX324">
        <v>2.26853387670055</v>
      </c>
      <c r="AY324">
        <v>2.32675968906162</v>
      </c>
      <c r="AZ324">
        <v>0</v>
      </c>
      <c r="BA324">
        <v>0</v>
      </c>
      <c r="BB324">
        <v>0</v>
      </c>
      <c r="BC324">
        <v>0</v>
      </c>
      <c r="BD324">
        <v>0</v>
      </c>
      <c r="BE324">
        <v>0</v>
      </c>
      <c r="BF324">
        <v>0</v>
      </c>
      <c r="BG324">
        <v>0</v>
      </c>
      <c r="BI324" t="s">
        <v>287</v>
      </c>
      <c r="BK324">
        <v>0.8</v>
      </c>
      <c r="BL324">
        <v>0.797560975609756</v>
      </c>
      <c r="BM324">
        <v>0.785365853658536</v>
      </c>
      <c r="BN324">
        <v>0.773170731707317</v>
      </c>
      <c r="BO324">
        <v>0.760975609756097</v>
      </c>
      <c r="BP324">
        <v>0.748780487804878</v>
      </c>
      <c r="BQ324">
        <v>0.736585365853658</v>
      </c>
      <c r="BR324">
        <v>0.724390243902439</v>
      </c>
      <c r="BS324">
        <v>0.71219512195122</v>
      </c>
      <c r="BT324">
        <v>0.699999999999999</v>
      </c>
      <c r="BU324">
        <v>0.687499999999999</v>
      </c>
      <c r="BV324">
        <v>0.675</v>
      </c>
      <c r="BW324">
        <v>0.6625</v>
      </c>
      <c r="BX324">
        <v>0.649999999999999</v>
      </c>
      <c r="BY324">
        <v>0.637499999999999</v>
      </c>
      <c r="BZ324">
        <v>0.625</v>
      </c>
      <c r="CA324">
        <v>0.6125</v>
      </c>
      <c r="CB324">
        <v>0.6</v>
      </c>
      <c r="CC324" t="e">
        <v>#VALUE!</v>
      </c>
      <c r="CD324" t="e">
        <v>#VALUE!</v>
      </c>
      <c r="CE324" t="e">
        <v>#VALUE!</v>
      </c>
      <c r="CF324" t="e">
        <v>#VALUE!</v>
      </c>
      <c r="CG324" t="e">
        <v>#VALUE!</v>
      </c>
      <c r="CH324" t="e">
        <v>#VALUE!</v>
      </c>
      <c r="CI324" t="e">
        <v>#VALUE!</v>
      </c>
      <c r="CJ324" t="e">
        <v>#VALUE!</v>
      </c>
    </row>
    <row r="325" spans="1:88">
      <c r="A325" t="s">
        <v>30</v>
      </c>
      <c r="B325" t="s">
        <v>285</v>
      </c>
      <c r="C325" t="s">
        <v>285</v>
      </c>
      <c r="D325">
        <v>95</v>
      </c>
      <c r="E325">
        <v>95.206463982037</v>
      </c>
      <c r="F325">
        <v>111.184018010309</v>
      </c>
      <c r="G325">
        <v>131.671169742869</v>
      </c>
      <c r="H325">
        <v>149.009844687446</v>
      </c>
      <c r="I325">
        <v>163.760313862223</v>
      </c>
      <c r="J325">
        <v>175.959459782012</v>
      </c>
      <c r="K325">
        <v>185.990752832813</v>
      </c>
      <c r="L325">
        <v>194.406512706832</v>
      </c>
      <c r="M325">
        <v>201.155017505039</v>
      </c>
      <c r="N325">
        <v>206.630594262796</v>
      </c>
      <c r="O325">
        <v>211.01050553652</v>
      </c>
      <c r="P325">
        <v>214.416995048552</v>
      </c>
      <c r="Q325">
        <v>217.249933581297</v>
      </c>
      <c r="R325">
        <v>219.652970759196</v>
      </c>
      <c r="S325">
        <v>221.680684156144</v>
      </c>
      <c r="T325">
        <v>223.29088987102</v>
      </c>
      <c r="U325">
        <v>224.438932611892</v>
      </c>
      <c r="V325">
        <v>5</v>
      </c>
      <c r="AF325" s="99" t="s">
        <v>272</v>
      </c>
      <c r="AH325">
        <v>1</v>
      </c>
      <c r="AI325">
        <v>1.0027249390837</v>
      </c>
      <c r="AJ325">
        <v>1.21699113580074</v>
      </c>
      <c r="AK325">
        <v>1.50702668284416</v>
      </c>
      <c r="AL325">
        <v>1.767807364104</v>
      </c>
      <c r="AM325">
        <v>2.00151413358469</v>
      </c>
      <c r="AN325">
        <v>2.20393549389834</v>
      </c>
      <c r="AO325">
        <v>2.37738400834278</v>
      </c>
      <c r="AP325">
        <v>2.52842760736811</v>
      </c>
      <c r="AQ325">
        <v>2.65381366129534</v>
      </c>
      <c r="AR325">
        <v>2.75888801427898</v>
      </c>
      <c r="AS325">
        <v>2.84552453197228</v>
      </c>
      <c r="AT325">
        <v>2.91486382825113</v>
      </c>
      <c r="AU325">
        <v>2.97411307870486</v>
      </c>
      <c r="AV325">
        <v>3.02571645592467</v>
      </c>
      <c r="AW325">
        <v>3.07040721168791</v>
      </c>
      <c r="AX325">
        <v>3.10681911618719</v>
      </c>
      <c r="AY325">
        <v>3.13344179610336</v>
      </c>
      <c r="AZ325">
        <v>0</v>
      </c>
      <c r="BA325">
        <v>0</v>
      </c>
      <c r="BB325">
        <v>0</v>
      </c>
      <c r="BC325">
        <v>0</v>
      </c>
      <c r="BD325">
        <v>0</v>
      </c>
      <c r="BE325">
        <v>0</v>
      </c>
      <c r="BF325">
        <v>0</v>
      </c>
      <c r="BG325">
        <v>0</v>
      </c>
      <c r="BI325" t="s">
        <v>287</v>
      </c>
      <c r="BK325">
        <v>0.8</v>
      </c>
      <c r="BL325">
        <v>0.797560975609756</v>
      </c>
      <c r="BM325">
        <v>0.785365853658536</v>
      </c>
      <c r="BN325">
        <v>0.773170731707317</v>
      </c>
      <c r="BO325">
        <v>0.760975609756097</v>
      </c>
      <c r="BP325">
        <v>0.748780487804878</v>
      </c>
      <c r="BQ325">
        <v>0.736585365853658</v>
      </c>
      <c r="BR325">
        <v>0.724390243902439</v>
      </c>
      <c r="BS325">
        <v>0.71219512195122</v>
      </c>
      <c r="BT325">
        <v>0.699999999999999</v>
      </c>
      <c r="BU325">
        <v>0.687499999999999</v>
      </c>
      <c r="BV325">
        <v>0.675</v>
      </c>
      <c r="BW325">
        <v>0.6625</v>
      </c>
      <c r="BX325">
        <v>0.649999999999999</v>
      </c>
      <c r="BY325">
        <v>0.637499999999999</v>
      </c>
      <c r="BZ325">
        <v>0.625</v>
      </c>
      <c r="CA325">
        <v>0.6125</v>
      </c>
      <c r="CB325">
        <v>0.6</v>
      </c>
      <c r="CC325" t="e">
        <v>#VALUE!</v>
      </c>
      <c r="CD325" t="e">
        <v>#VALUE!</v>
      </c>
      <c r="CE325" t="e">
        <v>#VALUE!</v>
      </c>
      <c r="CF325" t="e">
        <v>#VALUE!</v>
      </c>
      <c r="CG325" t="e">
        <v>#VALUE!</v>
      </c>
      <c r="CH325" t="e">
        <v>#VALUE!</v>
      </c>
      <c r="CI325" t="e">
        <v>#VALUE!</v>
      </c>
      <c r="CJ325" t="e">
        <v>#VALUE!</v>
      </c>
    </row>
    <row r="326" spans="1:88">
      <c r="A326" t="s">
        <v>30</v>
      </c>
      <c r="B326" t="s">
        <v>286</v>
      </c>
      <c r="C326" t="s">
        <v>286</v>
      </c>
      <c r="D326">
        <v>106.32</v>
      </c>
      <c r="E326">
        <v>106.551065795475</v>
      </c>
      <c r="F326">
        <v>124.432471524801</v>
      </c>
      <c r="G326">
        <v>147.360829126967</v>
      </c>
      <c r="H326">
        <v>166.765544075466</v>
      </c>
      <c r="I326">
        <v>183.27364810349</v>
      </c>
      <c r="J326">
        <v>196.926418568669</v>
      </c>
      <c r="K326">
        <v>208.153019380891</v>
      </c>
      <c r="L326">
        <v>217.571583484109</v>
      </c>
      <c r="M326">
        <v>225.124225906692</v>
      </c>
      <c r="N326">
        <v>231.252260863374</v>
      </c>
      <c r="O326">
        <v>236.154073143609</v>
      </c>
      <c r="P326">
        <v>239.966472774337</v>
      </c>
      <c r="Q326">
        <v>243.136978298563</v>
      </c>
      <c r="R326">
        <v>245.826356327555</v>
      </c>
      <c r="S326">
        <v>248.095687784013</v>
      </c>
      <c r="T326">
        <v>249.897762221967</v>
      </c>
      <c r="U326">
        <v>251.182603318909</v>
      </c>
      <c r="V326">
        <v>5</v>
      </c>
      <c r="AF326" s="99" t="s">
        <v>272</v>
      </c>
      <c r="AH326">
        <v>1</v>
      </c>
      <c r="AI326">
        <v>1.0027249390837</v>
      </c>
      <c r="AJ326">
        <v>1.21699113580074</v>
      </c>
      <c r="AK326">
        <v>1.50702668284416</v>
      </c>
      <c r="AL326">
        <v>1.767807364104</v>
      </c>
      <c r="AM326">
        <v>2.00151413358469</v>
      </c>
      <c r="AN326">
        <v>2.20393549389834</v>
      </c>
      <c r="AO326">
        <v>2.37738400834278</v>
      </c>
      <c r="AP326">
        <v>2.52842760736811</v>
      </c>
      <c r="AQ326">
        <v>2.65381366129534</v>
      </c>
      <c r="AR326">
        <v>2.75888801427898</v>
      </c>
      <c r="AS326">
        <v>2.84552453197228</v>
      </c>
      <c r="AT326">
        <v>2.91486382825113</v>
      </c>
      <c r="AU326">
        <v>2.97411307870486</v>
      </c>
      <c r="AV326">
        <v>3.02571645592467</v>
      </c>
      <c r="AW326">
        <v>3.07040721168791</v>
      </c>
      <c r="AX326">
        <v>3.10681911618719</v>
      </c>
      <c r="AY326">
        <v>3.13344179610336</v>
      </c>
      <c r="AZ326">
        <v>0</v>
      </c>
      <c r="BA326">
        <v>0</v>
      </c>
      <c r="BB326">
        <v>0</v>
      </c>
      <c r="BC326">
        <v>0</v>
      </c>
      <c r="BD326">
        <v>0</v>
      </c>
      <c r="BE326">
        <v>0</v>
      </c>
      <c r="BF326">
        <v>0</v>
      </c>
      <c r="BG326">
        <v>0</v>
      </c>
      <c r="BI326" t="s">
        <v>287</v>
      </c>
      <c r="BK326">
        <v>0.8</v>
      </c>
      <c r="BL326">
        <v>0.797560975609756</v>
      </c>
      <c r="BM326">
        <v>0.785365853658536</v>
      </c>
      <c r="BN326">
        <v>0.773170731707317</v>
      </c>
      <c r="BO326">
        <v>0.760975609756097</v>
      </c>
      <c r="BP326">
        <v>0.748780487804878</v>
      </c>
      <c r="BQ326">
        <v>0.736585365853658</v>
      </c>
      <c r="BR326">
        <v>0.724390243902439</v>
      </c>
      <c r="BS326">
        <v>0.71219512195122</v>
      </c>
      <c r="BT326">
        <v>0.699999999999999</v>
      </c>
      <c r="BU326">
        <v>0.687499999999999</v>
      </c>
      <c r="BV326">
        <v>0.675</v>
      </c>
      <c r="BW326">
        <v>0.6625</v>
      </c>
      <c r="BX326">
        <v>0.649999999999999</v>
      </c>
      <c r="BY326">
        <v>0.637499999999999</v>
      </c>
      <c r="BZ326">
        <v>0.625</v>
      </c>
      <c r="CA326">
        <v>0.6125</v>
      </c>
      <c r="CB326">
        <v>0.6</v>
      </c>
      <c r="CC326" t="e">
        <v>#VALUE!</v>
      </c>
      <c r="CD326" t="e">
        <v>#VALUE!</v>
      </c>
      <c r="CE326" t="e">
        <v>#VALUE!</v>
      </c>
      <c r="CF326" t="e">
        <v>#VALUE!</v>
      </c>
      <c r="CG326" t="e">
        <v>#VALUE!</v>
      </c>
      <c r="CH326" t="e">
        <v>#VALUE!</v>
      </c>
      <c r="CI326" t="e">
        <v>#VALUE!</v>
      </c>
      <c r="CJ326" t="e">
        <v>#VALUE!</v>
      </c>
    </row>
    <row r="327" spans="1:88">
      <c r="A327" t="s">
        <v>31</v>
      </c>
      <c r="B327" t="s">
        <v>271</v>
      </c>
      <c r="C327" t="s">
        <v>271</v>
      </c>
      <c r="D327">
        <v>52.743296736</v>
      </c>
      <c r="E327">
        <v>52.4749917783354</v>
      </c>
      <c r="F327">
        <v>57.5932390978734</v>
      </c>
      <c r="G327">
        <v>62.3166375878592</v>
      </c>
      <c r="H327">
        <v>70.8812102321264</v>
      </c>
      <c r="I327">
        <v>82.3967289213006</v>
      </c>
      <c r="J327">
        <v>96.2399898525876</v>
      </c>
      <c r="K327">
        <v>111.723511259461</v>
      </c>
      <c r="L327">
        <v>128.637306076289</v>
      </c>
      <c r="M327">
        <v>146.795615518597</v>
      </c>
      <c r="N327">
        <v>165.865453349392</v>
      </c>
      <c r="O327">
        <v>185.497509820788</v>
      </c>
      <c r="P327">
        <v>205.417415068141</v>
      </c>
      <c r="Q327">
        <v>225.537188537574</v>
      </c>
      <c r="R327">
        <v>245.852837436276</v>
      </c>
      <c r="S327">
        <v>266.226903937134</v>
      </c>
      <c r="T327">
        <v>286.36881340244</v>
      </c>
      <c r="U327">
        <v>306.097235296984</v>
      </c>
      <c r="V327">
        <v>5</v>
      </c>
      <c r="AF327" s="99" t="s">
        <v>272</v>
      </c>
      <c r="AH327">
        <v>1</v>
      </c>
      <c r="AI327">
        <v>0.994900566012164</v>
      </c>
      <c r="AJ327">
        <v>1.09338125038993</v>
      </c>
      <c r="AK327">
        <v>1.18552495423068</v>
      </c>
      <c r="AL327">
        <v>1.35507582325619</v>
      </c>
      <c r="AM327">
        <v>1.58710907835321</v>
      </c>
      <c r="AN327">
        <v>1.87180932424903</v>
      </c>
      <c r="AO327">
        <v>2.19758632707371</v>
      </c>
      <c r="AP327">
        <v>2.56230221306238</v>
      </c>
      <c r="AQ327">
        <v>2.96418214361779</v>
      </c>
      <c r="AR327">
        <v>3.39806295191155</v>
      </c>
      <c r="AS327">
        <v>3.85771925710635</v>
      </c>
      <c r="AT327">
        <v>4.33802822961463</v>
      </c>
      <c r="AU327">
        <v>4.83790076393356</v>
      </c>
      <c r="AV327">
        <v>5.3582377251087</v>
      </c>
      <c r="AW327">
        <v>5.89647097547281</v>
      </c>
      <c r="AX327">
        <v>6.44552805213077</v>
      </c>
      <c r="AY327">
        <v>7.00058193192795</v>
      </c>
      <c r="AZ327">
        <v>0</v>
      </c>
      <c r="BA327">
        <v>0</v>
      </c>
      <c r="BB327">
        <v>0</v>
      </c>
      <c r="BC327">
        <v>0</v>
      </c>
      <c r="BD327">
        <v>0</v>
      </c>
      <c r="BE327">
        <v>0</v>
      </c>
      <c r="BF327">
        <v>0</v>
      </c>
      <c r="BG327">
        <v>0</v>
      </c>
      <c r="BI327" t="s">
        <v>273</v>
      </c>
      <c r="BK327">
        <v>1</v>
      </c>
      <c r="BL327">
        <v>0.997560975609757</v>
      </c>
      <c r="BM327">
        <v>0.985365853658537</v>
      </c>
      <c r="BN327">
        <v>0.973170731707317</v>
      </c>
      <c r="BO327">
        <v>0.960975609756098</v>
      </c>
      <c r="BP327">
        <v>0.948780487804878</v>
      </c>
      <c r="BQ327">
        <v>0.936585365853658</v>
      </c>
      <c r="BR327">
        <v>0.924390243902439</v>
      </c>
      <c r="BS327">
        <v>0.91219512195122</v>
      </c>
      <c r="BT327">
        <v>0.9</v>
      </c>
      <c r="BU327">
        <v>0.8875</v>
      </c>
      <c r="BV327">
        <v>0.875000000000001</v>
      </c>
      <c r="BW327">
        <v>0.862500000000001</v>
      </c>
      <c r="BX327">
        <v>0.850000000000001</v>
      </c>
      <c r="BY327">
        <v>0.8375</v>
      </c>
      <c r="BZ327">
        <v>0.825000000000001</v>
      </c>
      <c r="CA327">
        <v>0.812500000000001</v>
      </c>
      <c r="CB327">
        <v>0.800000000000001</v>
      </c>
      <c r="CC327" t="e">
        <v>#VALUE!</v>
      </c>
      <c r="CD327" t="e">
        <v>#VALUE!</v>
      </c>
      <c r="CE327" t="e">
        <v>#VALUE!</v>
      </c>
      <c r="CF327" t="e">
        <v>#VALUE!</v>
      </c>
      <c r="CG327" t="e">
        <v>#VALUE!</v>
      </c>
      <c r="CH327" t="e">
        <v>#VALUE!</v>
      </c>
      <c r="CI327" t="e">
        <v>#VALUE!</v>
      </c>
      <c r="CJ327" t="e">
        <v>#VALUE!</v>
      </c>
    </row>
    <row r="328" spans="1:88">
      <c r="A328" t="s">
        <v>31</v>
      </c>
      <c r="B328" t="s">
        <v>274</v>
      </c>
      <c r="C328" t="s">
        <v>274</v>
      </c>
      <c r="D328">
        <v>46.0725980868</v>
      </c>
      <c r="E328">
        <v>45.8382269487756</v>
      </c>
      <c r="F328">
        <v>50.3091448901064</v>
      </c>
      <c r="G328">
        <v>54.4351524341963</v>
      </c>
      <c r="H328">
        <v>61.9165223455162</v>
      </c>
      <c r="I328">
        <v>71.9756179493227</v>
      </c>
      <c r="J328">
        <v>84.0680550279203</v>
      </c>
      <c r="K328">
        <v>97.5933009433952</v>
      </c>
      <c r="L328">
        <v>112.367926705201</v>
      </c>
      <c r="M328">
        <v>128.229667336597</v>
      </c>
      <c r="N328">
        <v>144.887650973009</v>
      </c>
      <c r="O328">
        <v>162.036746751973</v>
      </c>
      <c r="P328">
        <v>179.437285686469</v>
      </c>
      <c r="Q328">
        <v>197.012414546815</v>
      </c>
      <c r="R328">
        <v>214.758645527928</v>
      </c>
      <c r="S328">
        <v>232.555905755824</v>
      </c>
      <c r="T328">
        <v>250.15037096608</v>
      </c>
      <c r="U328">
        <v>267.383644369215</v>
      </c>
      <c r="V328">
        <v>5</v>
      </c>
      <c r="AF328" s="99" t="s">
        <v>272</v>
      </c>
      <c r="AH328">
        <v>1</v>
      </c>
      <c r="AI328">
        <v>0.994900566012164</v>
      </c>
      <c r="AJ328">
        <v>1.09338125038993</v>
      </c>
      <c r="AK328">
        <v>1.18552495423068</v>
      </c>
      <c r="AL328">
        <v>1.35507582325619</v>
      </c>
      <c r="AM328">
        <v>1.58710907835321</v>
      </c>
      <c r="AN328">
        <v>1.87180932424903</v>
      </c>
      <c r="AO328">
        <v>2.19758632707371</v>
      </c>
      <c r="AP328">
        <v>2.56230221306238</v>
      </c>
      <c r="AQ328">
        <v>2.96418214361779</v>
      </c>
      <c r="AR328">
        <v>3.39806295191155</v>
      </c>
      <c r="AS328">
        <v>3.85771925710635</v>
      </c>
      <c r="AT328">
        <v>4.33802822961463</v>
      </c>
      <c r="AU328">
        <v>4.83790076393356</v>
      </c>
      <c r="AV328">
        <v>5.3582377251087</v>
      </c>
      <c r="AW328">
        <v>5.89647097547281</v>
      </c>
      <c r="AX328">
        <v>6.44552805213077</v>
      </c>
      <c r="AY328">
        <v>7.00058193192795</v>
      </c>
      <c r="AZ328">
        <v>0</v>
      </c>
      <c r="BA328">
        <v>0</v>
      </c>
      <c r="BB328">
        <v>0</v>
      </c>
      <c r="BC328">
        <v>0</v>
      </c>
      <c r="BD328">
        <v>0</v>
      </c>
      <c r="BE328">
        <v>0</v>
      </c>
      <c r="BF328">
        <v>0</v>
      </c>
      <c r="BG328">
        <v>0</v>
      </c>
      <c r="BI328" t="s">
        <v>273</v>
      </c>
      <c r="BK328">
        <v>1</v>
      </c>
      <c r="BL328">
        <v>0.997560975609757</v>
      </c>
      <c r="BM328">
        <v>0.985365853658537</v>
      </c>
      <c r="BN328">
        <v>0.973170731707317</v>
      </c>
      <c r="BO328">
        <v>0.960975609756098</v>
      </c>
      <c r="BP328">
        <v>0.948780487804878</v>
      </c>
      <c r="BQ328">
        <v>0.936585365853658</v>
      </c>
      <c r="BR328">
        <v>0.924390243902439</v>
      </c>
      <c r="BS328">
        <v>0.91219512195122</v>
      </c>
      <c r="BT328">
        <v>0.9</v>
      </c>
      <c r="BU328">
        <v>0.8875</v>
      </c>
      <c r="BV328">
        <v>0.875000000000001</v>
      </c>
      <c r="BW328">
        <v>0.862500000000001</v>
      </c>
      <c r="BX328">
        <v>0.850000000000001</v>
      </c>
      <c r="BY328">
        <v>0.8375</v>
      </c>
      <c r="BZ328">
        <v>0.825000000000001</v>
      </c>
      <c r="CA328">
        <v>0.812500000000001</v>
      </c>
      <c r="CB328">
        <v>0.800000000000001</v>
      </c>
      <c r="CC328" t="e">
        <v>#VALUE!</v>
      </c>
      <c r="CD328" t="e">
        <v>#VALUE!</v>
      </c>
      <c r="CE328" t="e">
        <v>#VALUE!</v>
      </c>
      <c r="CF328" t="e">
        <v>#VALUE!</v>
      </c>
      <c r="CG328" t="e">
        <v>#VALUE!</v>
      </c>
      <c r="CH328" t="e">
        <v>#VALUE!</v>
      </c>
      <c r="CI328" t="e">
        <v>#VALUE!</v>
      </c>
      <c r="CJ328" t="e">
        <v>#VALUE!</v>
      </c>
    </row>
    <row r="329" spans="1:88">
      <c r="A329" t="s">
        <v>31</v>
      </c>
      <c r="B329" t="s">
        <v>275</v>
      </c>
      <c r="C329" t="s">
        <v>275</v>
      </c>
      <c r="D329">
        <v>9.17342910612</v>
      </c>
      <c r="E329">
        <v>9.12676390579556</v>
      </c>
      <c r="F329">
        <v>10.016960041399</v>
      </c>
      <c r="G329">
        <v>10.8384817108676</v>
      </c>
      <c r="H329">
        <v>12.3280833254511</v>
      </c>
      <c r="I329">
        <v>14.3309310966871</v>
      </c>
      <c r="J329">
        <v>16.7386336979544</v>
      </c>
      <c r="K329">
        <v>19.4316201953666</v>
      </c>
      <c r="L329">
        <v>22.3733683846056</v>
      </c>
      <c r="M329">
        <v>25.5315699886837</v>
      </c>
      <c r="N329">
        <v>28.8483100529543</v>
      </c>
      <c r="O329">
        <v>32.2628345402864</v>
      </c>
      <c r="P329">
        <v>35.7274234055194</v>
      </c>
      <c r="Q329">
        <v>39.2267745453783</v>
      </c>
      <c r="R329">
        <v>42.760193509496</v>
      </c>
      <c r="S329">
        <v>46.3037728118004</v>
      </c>
      <c r="T329">
        <v>49.8069739762388</v>
      </c>
      <c r="U329">
        <v>53.2382589133765</v>
      </c>
      <c r="V329">
        <v>5</v>
      </c>
      <c r="AF329" s="99" t="s">
        <v>272</v>
      </c>
      <c r="AH329">
        <v>1</v>
      </c>
      <c r="AI329">
        <v>0.994900566012164</v>
      </c>
      <c r="AJ329">
        <v>1.09338125038993</v>
      </c>
      <c r="AK329">
        <v>1.18552495423068</v>
      </c>
      <c r="AL329">
        <v>1.35507582325619</v>
      </c>
      <c r="AM329">
        <v>1.58710907835321</v>
      </c>
      <c r="AN329">
        <v>1.87180932424903</v>
      </c>
      <c r="AO329">
        <v>2.19758632707371</v>
      </c>
      <c r="AP329">
        <v>2.56230221306238</v>
      </c>
      <c r="AQ329">
        <v>2.96418214361779</v>
      </c>
      <c r="AR329">
        <v>3.39806295191155</v>
      </c>
      <c r="AS329">
        <v>3.85771925710635</v>
      </c>
      <c r="AT329">
        <v>4.33802822961463</v>
      </c>
      <c r="AU329">
        <v>4.83790076393356</v>
      </c>
      <c r="AV329">
        <v>5.3582377251087</v>
      </c>
      <c r="AW329">
        <v>5.89647097547281</v>
      </c>
      <c r="AX329">
        <v>6.44552805213077</v>
      </c>
      <c r="AY329">
        <v>7.00058193192795</v>
      </c>
      <c r="AZ329">
        <v>0</v>
      </c>
      <c r="BA329">
        <v>0</v>
      </c>
      <c r="BB329">
        <v>0</v>
      </c>
      <c r="BC329">
        <v>0</v>
      </c>
      <c r="BD329">
        <v>0</v>
      </c>
      <c r="BE329">
        <v>0</v>
      </c>
      <c r="BF329">
        <v>0</v>
      </c>
      <c r="BG329">
        <v>0</v>
      </c>
      <c r="BI329" t="s">
        <v>273</v>
      </c>
      <c r="BK329">
        <v>1</v>
      </c>
      <c r="BL329">
        <v>0.997560975609757</v>
      </c>
      <c r="BM329">
        <v>0.985365853658537</v>
      </c>
      <c r="BN329">
        <v>0.973170731707317</v>
      </c>
      <c r="BO329">
        <v>0.960975609756098</v>
      </c>
      <c r="BP329">
        <v>0.948780487804878</v>
      </c>
      <c r="BQ329">
        <v>0.936585365853658</v>
      </c>
      <c r="BR329">
        <v>0.924390243902439</v>
      </c>
      <c r="BS329">
        <v>0.91219512195122</v>
      </c>
      <c r="BT329">
        <v>0.9</v>
      </c>
      <c r="BU329">
        <v>0.8875</v>
      </c>
      <c r="BV329">
        <v>0.875000000000001</v>
      </c>
      <c r="BW329">
        <v>0.862500000000001</v>
      </c>
      <c r="BX329">
        <v>0.850000000000001</v>
      </c>
      <c r="BY329">
        <v>0.8375</v>
      </c>
      <c r="BZ329">
        <v>0.825000000000001</v>
      </c>
      <c r="CA329">
        <v>0.812500000000001</v>
      </c>
      <c r="CB329">
        <v>0.800000000000001</v>
      </c>
      <c r="CC329" t="e">
        <v>#VALUE!</v>
      </c>
      <c r="CD329" t="e">
        <v>#VALUE!</v>
      </c>
      <c r="CE329" t="e">
        <v>#VALUE!</v>
      </c>
      <c r="CF329" t="e">
        <v>#VALUE!</v>
      </c>
      <c r="CG329" t="e">
        <v>#VALUE!</v>
      </c>
      <c r="CH329" t="e">
        <v>#VALUE!</v>
      </c>
      <c r="CI329" t="e">
        <v>#VALUE!</v>
      </c>
      <c r="CJ329" t="e">
        <v>#VALUE!</v>
      </c>
    </row>
    <row r="330" spans="1:88">
      <c r="A330" t="s">
        <v>31</v>
      </c>
      <c r="B330" t="s">
        <v>276</v>
      </c>
      <c r="C330" t="s">
        <v>276</v>
      </c>
      <c r="D330">
        <v>9.66210067908</v>
      </c>
      <c r="E330">
        <v>9.74070027471122</v>
      </c>
      <c r="F330">
        <v>10.1288862180546</v>
      </c>
      <c r="G330">
        <v>10.5252931614046</v>
      </c>
      <c r="H330">
        <v>10.8414100633482</v>
      </c>
      <c r="I330">
        <v>11.0821321791008</v>
      </c>
      <c r="J330">
        <v>11.2499810458322</v>
      </c>
      <c r="K330">
        <v>11.335909074956</v>
      </c>
      <c r="L330">
        <v>11.3585465435701</v>
      </c>
      <c r="M330">
        <v>11.3264143520696</v>
      </c>
      <c r="N330">
        <v>11.2499248162043</v>
      </c>
      <c r="O330">
        <v>11.1328974148904</v>
      </c>
      <c r="P330">
        <v>10.9842163783476</v>
      </c>
      <c r="Q330">
        <v>10.8070389593481</v>
      </c>
      <c r="R330">
        <v>10.6172994622236</v>
      </c>
      <c r="S330">
        <v>10.4176559884928</v>
      </c>
      <c r="T330">
        <v>10.2088196935407</v>
      </c>
      <c r="U330">
        <v>9.99259949010795</v>
      </c>
      <c r="V330">
        <v>5</v>
      </c>
      <c r="AF330" s="99" t="s">
        <v>277</v>
      </c>
      <c r="AH330">
        <v>1</v>
      </c>
      <c r="AI330">
        <v>1.00815472466068</v>
      </c>
      <c r="AJ330">
        <v>1.04892834796405</v>
      </c>
      <c r="AK330">
        <v>1.09111123927933</v>
      </c>
      <c r="AL330">
        <v>1.12521247998421</v>
      </c>
      <c r="AM330">
        <v>1.15154539977041</v>
      </c>
      <c r="AN330">
        <v>1.17016750535311</v>
      </c>
      <c r="AO330">
        <v>1.17983637578976</v>
      </c>
      <c r="AP330">
        <v>1.1824192636067</v>
      </c>
      <c r="AQ330">
        <v>1.1787026571958</v>
      </c>
      <c r="AR330">
        <v>1.16973362710189</v>
      </c>
      <c r="AS330">
        <v>1.15582715838238</v>
      </c>
      <c r="AT330">
        <v>1.13793012022618</v>
      </c>
      <c r="AU330">
        <v>1.1163359779364</v>
      </c>
      <c r="AV330">
        <v>1.09293353828048</v>
      </c>
      <c r="AW330">
        <v>1.06802312943191</v>
      </c>
      <c r="AX330">
        <v>1.04167236273411</v>
      </c>
      <c r="AY330">
        <v>1.01409441825303</v>
      </c>
      <c r="AZ330">
        <v>0</v>
      </c>
      <c r="BA330">
        <v>0</v>
      </c>
      <c r="BB330">
        <v>0</v>
      </c>
      <c r="BC330">
        <v>0</v>
      </c>
      <c r="BD330">
        <v>0</v>
      </c>
      <c r="BE330">
        <v>0</v>
      </c>
      <c r="BF330">
        <v>0</v>
      </c>
      <c r="BG330">
        <v>0</v>
      </c>
      <c r="BI330" t="s">
        <v>273</v>
      </c>
      <c r="BK330">
        <v>1</v>
      </c>
      <c r="BL330">
        <v>0.997560975609757</v>
      </c>
      <c r="BM330">
        <v>0.985365853658537</v>
      </c>
      <c r="BN330">
        <v>0.973170731707317</v>
      </c>
      <c r="BO330">
        <v>0.960975609756098</v>
      </c>
      <c r="BP330">
        <v>0.948780487804878</v>
      </c>
      <c r="BQ330">
        <v>0.936585365853658</v>
      </c>
      <c r="BR330">
        <v>0.924390243902439</v>
      </c>
      <c r="BS330">
        <v>0.91219512195122</v>
      </c>
      <c r="BT330">
        <v>0.9</v>
      </c>
      <c r="BU330">
        <v>0.8875</v>
      </c>
      <c r="BV330">
        <v>0.875000000000001</v>
      </c>
      <c r="BW330">
        <v>0.862500000000001</v>
      </c>
      <c r="BX330">
        <v>0.850000000000001</v>
      </c>
      <c r="BY330">
        <v>0.8375</v>
      </c>
      <c r="BZ330">
        <v>0.825000000000001</v>
      </c>
      <c r="CA330">
        <v>0.812500000000001</v>
      </c>
      <c r="CB330">
        <v>0.800000000000001</v>
      </c>
      <c r="CC330" t="e">
        <v>#VALUE!</v>
      </c>
      <c r="CD330" t="e">
        <v>#VALUE!</v>
      </c>
      <c r="CE330" t="e">
        <v>#VALUE!</v>
      </c>
      <c r="CF330" t="e">
        <v>#VALUE!</v>
      </c>
      <c r="CG330" t="e">
        <v>#VALUE!</v>
      </c>
      <c r="CH330" t="e">
        <v>#VALUE!</v>
      </c>
      <c r="CI330" t="e">
        <v>#VALUE!</v>
      </c>
      <c r="CJ330" t="e">
        <v>#VALUE!</v>
      </c>
    </row>
    <row r="331" spans="1:88">
      <c r="A331" t="s">
        <v>31</v>
      </c>
      <c r="B331" t="s">
        <v>278</v>
      </c>
      <c r="C331" t="s">
        <v>278</v>
      </c>
      <c r="D331">
        <v>11.0551951584</v>
      </c>
      <c r="E331">
        <v>10.9989574210474</v>
      </c>
      <c r="F331">
        <v>12.0717614831384</v>
      </c>
      <c r="G331">
        <v>13.061803732091</v>
      </c>
      <c r="H331">
        <v>14.8569706611624</v>
      </c>
      <c r="I331">
        <v>17.270667080183</v>
      </c>
      <c r="J331">
        <v>20.1722671070083</v>
      </c>
      <c r="K331">
        <v>23.4176719543587</v>
      </c>
      <c r="L331">
        <v>26.9628675363697</v>
      </c>
      <c r="M331">
        <v>30.768918106855</v>
      </c>
      <c r="N331">
        <v>34.7660284868473</v>
      </c>
      <c r="O331">
        <v>38.8809820275477</v>
      </c>
      <c r="P331">
        <v>43.0562697640842</v>
      </c>
      <c r="Q331">
        <v>47.2734506384751</v>
      </c>
      <c r="R331">
        <v>51.5316877461944</v>
      </c>
      <c r="S331">
        <v>55.8021694050221</v>
      </c>
      <c r="T331">
        <v>60.0239900681549</v>
      </c>
      <c r="U331">
        <v>64.1591421672569</v>
      </c>
      <c r="V331">
        <v>5</v>
      </c>
      <c r="AF331" s="99" t="s">
        <v>272</v>
      </c>
      <c r="AH331">
        <v>1</v>
      </c>
      <c r="AI331">
        <v>0.994900566012164</v>
      </c>
      <c r="AJ331">
        <v>1.09338125038993</v>
      </c>
      <c r="AK331">
        <v>1.18552495423068</v>
      </c>
      <c r="AL331">
        <v>1.35507582325619</v>
      </c>
      <c r="AM331">
        <v>1.58710907835321</v>
      </c>
      <c r="AN331">
        <v>1.87180932424903</v>
      </c>
      <c r="AO331">
        <v>2.19758632707371</v>
      </c>
      <c r="AP331">
        <v>2.56230221306238</v>
      </c>
      <c r="AQ331">
        <v>2.96418214361779</v>
      </c>
      <c r="AR331">
        <v>3.39806295191155</v>
      </c>
      <c r="AS331">
        <v>3.85771925710635</v>
      </c>
      <c r="AT331">
        <v>4.33802822961463</v>
      </c>
      <c r="AU331">
        <v>4.83790076393356</v>
      </c>
      <c r="AV331">
        <v>5.3582377251087</v>
      </c>
      <c r="AW331">
        <v>5.89647097547281</v>
      </c>
      <c r="AX331">
        <v>6.44552805213077</v>
      </c>
      <c r="AY331">
        <v>7.00058193192795</v>
      </c>
      <c r="AZ331">
        <v>0</v>
      </c>
      <c r="BA331">
        <v>0</v>
      </c>
      <c r="BB331">
        <v>0</v>
      </c>
      <c r="BC331">
        <v>0</v>
      </c>
      <c r="BD331">
        <v>0</v>
      </c>
      <c r="BE331">
        <v>0</v>
      </c>
      <c r="BF331">
        <v>0</v>
      </c>
      <c r="BG331">
        <v>0</v>
      </c>
      <c r="BI331" t="s">
        <v>273</v>
      </c>
      <c r="BK331">
        <v>1</v>
      </c>
      <c r="BL331">
        <v>0.997560975609757</v>
      </c>
      <c r="BM331">
        <v>0.985365853658537</v>
      </c>
      <c r="BN331">
        <v>0.973170731707317</v>
      </c>
      <c r="BO331">
        <v>0.960975609756098</v>
      </c>
      <c r="BP331">
        <v>0.948780487804878</v>
      </c>
      <c r="BQ331">
        <v>0.936585365853658</v>
      </c>
      <c r="BR331">
        <v>0.924390243902439</v>
      </c>
      <c r="BS331">
        <v>0.91219512195122</v>
      </c>
      <c r="BT331">
        <v>0.9</v>
      </c>
      <c r="BU331">
        <v>0.8875</v>
      </c>
      <c r="BV331">
        <v>0.875000000000001</v>
      </c>
      <c r="BW331">
        <v>0.862500000000001</v>
      </c>
      <c r="BX331">
        <v>0.850000000000001</v>
      </c>
      <c r="BY331">
        <v>0.8375</v>
      </c>
      <c r="BZ331">
        <v>0.825000000000001</v>
      </c>
      <c r="CA331">
        <v>0.812500000000001</v>
      </c>
      <c r="CB331">
        <v>0.800000000000001</v>
      </c>
      <c r="CC331" t="e">
        <v>#VALUE!</v>
      </c>
      <c r="CD331" t="e">
        <v>#VALUE!</v>
      </c>
      <c r="CE331" t="e">
        <v>#VALUE!</v>
      </c>
      <c r="CF331" t="e">
        <v>#VALUE!</v>
      </c>
      <c r="CG331" t="e">
        <v>#VALUE!</v>
      </c>
      <c r="CH331" t="e">
        <v>#VALUE!</v>
      </c>
      <c r="CI331" t="e">
        <v>#VALUE!</v>
      </c>
      <c r="CJ331" t="e">
        <v>#VALUE!</v>
      </c>
    </row>
    <row r="332" spans="1:88">
      <c r="A332" t="s">
        <v>31</v>
      </c>
      <c r="B332" t="s">
        <v>279</v>
      </c>
      <c r="C332" t="s">
        <v>279</v>
      </c>
      <c r="D332">
        <v>126.3649634604</v>
      </c>
      <c r="E332">
        <v>125.722145353272</v>
      </c>
      <c r="F332">
        <v>137.984691980799</v>
      </c>
      <c r="G332">
        <v>149.301240519347</v>
      </c>
      <c r="H332">
        <v>169.820661492668</v>
      </c>
      <c r="I332">
        <v>197.410102965556</v>
      </c>
      <c r="J332">
        <v>230.576462863588</v>
      </c>
      <c r="K332">
        <v>267.672638830959</v>
      </c>
      <c r="L332">
        <v>308.195533611374</v>
      </c>
      <c r="M332">
        <v>351.700097246542</v>
      </c>
      <c r="N332">
        <v>397.388545064772</v>
      </c>
      <c r="O332">
        <v>444.423983730615</v>
      </c>
      <c r="P332">
        <v>492.149064536918</v>
      </c>
      <c r="Q332">
        <v>540.352999380473</v>
      </c>
      <c r="R332">
        <v>589.026222133471</v>
      </c>
      <c r="S332">
        <v>637.83940462768</v>
      </c>
      <c r="T332">
        <v>686.096373970078</v>
      </c>
      <c r="U332">
        <v>733.362689617992</v>
      </c>
      <c r="V332">
        <v>5</v>
      </c>
      <c r="AF332" s="99" t="s">
        <v>272</v>
      </c>
      <c r="AH332">
        <v>1</v>
      </c>
      <c r="AI332">
        <v>0.994900566012164</v>
      </c>
      <c r="AJ332">
        <v>1.09338125038993</v>
      </c>
      <c r="AK332">
        <v>1.18552495423068</v>
      </c>
      <c r="AL332">
        <v>1.35507582325619</v>
      </c>
      <c r="AM332">
        <v>1.58710907835321</v>
      </c>
      <c r="AN332">
        <v>1.87180932424903</v>
      </c>
      <c r="AO332">
        <v>2.19758632707371</v>
      </c>
      <c r="AP332">
        <v>2.56230221306238</v>
      </c>
      <c r="AQ332">
        <v>2.96418214361779</v>
      </c>
      <c r="AR332">
        <v>3.39806295191155</v>
      </c>
      <c r="AS332">
        <v>3.85771925710635</v>
      </c>
      <c r="AT332">
        <v>4.33802822961463</v>
      </c>
      <c r="AU332">
        <v>4.83790076393356</v>
      </c>
      <c r="AV332">
        <v>5.3582377251087</v>
      </c>
      <c r="AW332">
        <v>5.89647097547281</v>
      </c>
      <c r="AX332">
        <v>6.44552805213077</v>
      </c>
      <c r="AY332">
        <v>7.00058193192795</v>
      </c>
      <c r="AZ332">
        <v>0</v>
      </c>
      <c r="BA332">
        <v>0</v>
      </c>
      <c r="BB332">
        <v>0</v>
      </c>
      <c r="BC332">
        <v>0</v>
      </c>
      <c r="BD332">
        <v>0</v>
      </c>
      <c r="BE332">
        <v>0</v>
      </c>
      <c r="BF332">
        <v>0</v>
      </c>
      <c r="BG332">
        <v>0</v>
      </c>
      <c r="BI332" t="s">
        <v>273</v>
      </c>
      <c r="BK332">
        <v>1</v>
      </c>
      <c r="BL332">
        <v>0.997560975609757</v>
      </c>
      <c r="BM332">
        <v>0.985365853658537</v>
      </c>
      <c r="BN332">
        <v>0.973170731707317</v>
      </c>
      <c r="BO332">
        <v>0.960975609756098</v>
      </c>
      <c r="BP332">
        <v>0.948780487804878</v>
      </c>
      <c r="BQ332">
        <v>0.936585365853658</v>
      </c>
      <c r="BR332">
        <v>0.924390243902439</v>
      </c>
      <c r="BS332">
        <v>0.91219512195122</v>
      </c>
      <c r="BT332">
        <v>0.9</v>
      </c>
      <c r="BU332">
        <v>0.8875</v>
      </c>
      <c r="BV332">
        <v>0.875000000000001</v>
      </c>
      <c r="BW332">
        <v>0.862500000000001</v>
      </c>
      <c r="BX332">
        <v>0.850000000000001</v>
      </c>
      <c r="BY332">
        <v>0.8375</v>
      </c>
      <c r="BZ332">
        <v>0.825000000000001</v>
      </c>
      <c r="CA332">
        <v>0.812500000000001</v>
      </c>
      <c r="CB332">
        <v>0.800000000000001</v>
      </c>
      <c r="CC332" t="e">
        <v>#VALUE!</v>
      </c>
      <c r="CD332" t="e">
        <v>#VALUE!</v>
      </c>
      <c r="CE332" t="e">
        <v>#VALUE!</v>
      </c>
      <c r="CF332" t="e">
        <v>#VALUE!</v>
      </c>
      <c r="CG332" t="e">
        <v>#VALUE!</v>
      </c>
      <c r="CH332" t="e">
        <v>#VALUE!</v>
      </c>
      <c r="CI332" t="e">
        <v>#VALUE!</v>
      </c>
      <c r="CJ332" t="e">
        <v>#VALUE!</v>
      </c>
    </row>
    <row r="333" spans="1:88">
      <c r="A333" t="s">
        <v>31</v>
      </c>
      <c r="B333" t="s">
        <v>280</v>
      </c>
      <c r="C333" t="s">
        <v>280</v>
      </c>
      <c r="D333">
        <v>109.69</v>
      </c>
      <c r="E333">
        <v>110.58231006084</v>
      </c>
      <c r="F333">
        <v>114.989231240778</v>
      </c>
      <c r="G333">
        <v>119.489482175879</v>
      </c>
      <c r="H333">
        <v>123.078232089162</v>
      </c>
      <c r="I333">
        <v>125.811054873143</v>
      </c>
      <c r="J333">
        <v>127.716576540045</v>
      </c>
      <c r="K333">
        <v>128.692083402129</v>
      </c>
      <c r="L333">
        <v>128.949077612265</v>
      </c>
      <c r="M333">
        <v>128.584293575878</v>
      </c>
      <c r="N333">
        <v>127.715938187362</v>
      </c>
      <c r="O333">
        <v>126.387372477224</v>
      </c>
      <c r="P333">
        <v>124.699455590404</v>
      </c>
      <c r="Q333">
        <v>122.68803056643</v>
      </c>
      <c r="R333">
        <v>120.533993247749</v>
      </c>
      <c r="S333">
        <v>118.267520007521</v>
      </c>
      <c r="T333">
        <v>115.896684311005</v>
      </c>
      <c r="U333">
        <v>113.442022027689</v>
      </c>
      <c r="V333">
        <v>5</v>
      </c>
      <c r="AF333" s="99" t="s">
        <v>277</v>
      </c>
      <c r="AH333">
        <v>1</v>
      </c>
      <c r="AI333">
        <v>1.00815472466068</v>
      </c>
      <c r="AJ333">
        <v>1.04892834796405</v>
      </c>
      <c r="AK333">
        <v>1.09111123927933</v>
      </c>
      <c r="AL333">
        <v>1.12521247998421</v>
      </c>
      <c r="AM333">
        <v>1.15154539977041</v>
      </c>
      <c r="AN333">
        <v>1.17016750535311</v>
      </c>
      <c r="AO333">
        <v>1.17983637578976</v>
      </c>
      <c r="AP333">
        <v>1.1824192636067</v>
      </c>
      <c r="AQ333">
        <v>1.1787026571958</v>
      </c>
      <c r="AR333">
        <v>1.16973362710189</v>
      </c>
      <c r="AS333">
        <v>1.15582715838238</v>
      </c>
      <c r="AT333">
        <v>1.13793012022618</v>
      </c>
      <c r="AU333">
        <v>1.1163359779364</v>
      </c>
      <c r="AV333">
        <v>1.09293353828048</v>
      </c>
      <c r="AW333">
        <v>1.06802312943191</v>
      </c>
      <c r="AX333">
        <v>1.04167236273411</v>
      </c>
      <c r="AY333">
        <v>1.01409441825303</v>
      </c>
      <c r="AZ333">
        <v>0</v>
      </c>
      <c r="BA333">
        <v>0</v>
      </c>
      <c r="BB333">
        <v>0</v>
      </c>
      <c r="BC333">
        <v>0</v>
      </c>
      <c r="BD333">
        <v>0</v>
      </c>
      <c r="BE333">
        <v>0</v>
      </c>
      <c r="BF333">
        <v>0</v>
      </c>
      <c r="BG333">
        <v>0</v>
      </c>
      <c r="BI333" t="s">
        <v>273</v>
      </c>
      <c r="BK333">
        <v>1</v>
      </c>
      <c r="BL333">
        <v>0.997560975609757</v>
      </c>
      <c r="BM333">
        <v>0.985365853658537</v>
      </c>
      <c r="BN333">
        <v>0.973170731707317</v>
      </c>
      <c r="BO333">
        <v>0.960975609756098</v>
      </c>
      <c r="BP333">
        <v>0.948780487804878</v>
      </c>
      <c r="BQ333">
        <v>0.936585365853658</v>
      </c>
      <c r="BR333">
        <v>0.924390243902439</v>
      </c>
      <c r="BS333">
        <v>0.91219512195122</v>
      </c>
      <c r="BT333">
        <v>0.9</v>
      </c>
      <c r="BU333">
        <v>0.8875</v>
      </c>
      <c r="BV333">
        <v>0.875000000000001</v>
      </c>
      <c r="BW333">
        <v>0.862500000000001</v>
      </c>
      <c r="BX333">
        <v>0.850000000000001</v>
      </c>
      <c r="BY333">
        <v>0.8375</v>
      </c>
      <c r="BZ333">
        <v>0.825000000000001</v>
      </c>
      <c r="CA333">
        <v>0.812500000000001</v>
      </c>
      <c r="CB333">
        <v>0.800000000000001</v>
      </c>
      <c r="CC333" t="e">
        <v>#VALUE!</v>
      </c>
      <c r="CD333" t="e">
        <v>#VALUE!</v>
      </c>
      <c r="CE333" t="e">
        <v>#VALUE!</v>
      </c>
      <c r="CF333" t="e">
        <v>#VALUE!</v>
      </c>
      <c r="CG333" t="e">
        <v>#VALUE!</v>
      </c>
      <c r="CH333" t="e">
        <v>#VALUE!</v>
      </c>
      <c r="CI333" t="e">
        <v>#VALUE!</v>
      </c>
      <c r="CJ333" t="e">
        <v>#VALUE!</v>
      </c>
    </row>
    <row r="334" spans="1:88">
      <c r="A334" t="s">
        <v>31</v>
      </c>
      <c r="B334" t="s">
        <v>281</v>
      </c>
      <c r="C334" t="s">
        <v>281</v>
      </c>
      <c r="D334">
        <v>18.585</v>
      </c>
      <c r="E334">
        <v>18.7361859101167</v>
      </c>
      <c r="F334">
        <v>19.4828595369666</v>
      </c>
      <c r="G334">
        <v>20.2453462142283</v>
      </c>
      <c r="H334">
        <v>20.8533954177872</v>
      </c>
      <c r="I334">
        <v>21.3164231453857</v>
      </c>
      <c r="J334">
        <v>21.63927956055</v>
      </c>
      <c r="K334">
        <v>21.8045616740684</v>
      </c>
      <c r="L334">
        <v>21.8481047262644</v>
      </c>
      <c r="M334">
        <v>21.7862986243749</v>
      </c>
      <c r="N334">
        <v>21.6391714031554</v>
      </c>
      <c r="O334">
        <v>21.4140698102764</v>
      </c>
      <c r="P334">
        <v>21.1280826159873</v>
      </c>
      <c r="Q334">
        <v>20.7872827794431</v>
      </c>
      <c r="R334">
        <v>20.4223198514853</v>
      </c>
      <c r="S334">
        <v>20.0383066764498</v>
      </c>
      <c r="T334">
        <v>19.6366111579909</v>
      </c>
      <c r="U334">
        <v>19.2207127302817</v>
      </c>
      <c r="V334">
        <v>5</v>
      </c>
      <c r="AF334" s="99" t="s">
        <v>277</v>
      </c>
      <c r="AH334">
        <v>1</v>
      </c>
      <c r="AI334">
        <v>1.00815472466068</v>
      </c>
      <c r="AJ334">
        <v>1.04892834796405</v>
      </c>
      <c r="AK334">
        <v>1.09111123927933</v>
      </c>
      <c r="AL334">
        <v>1.12521247998421</v>
      </c>
      <c r="AM334">
        <v>1.15154539977041</v>
      </c>
      <c r="AN334">
        <v>1.17016750535311</v>
      </c>
      <c r="AO334">
        <v>1.17983637578976</v>
      </c>
      <c r="AP334">
        <v>1.1824192636067</v>
      </c>
      <c r="AQ334">
        <v>1.1787026571958</v>
      </c>
      <c r="AR334">
        <v>1.16973362710189</v>
      </c>
      <c r="AS334">
        <v>1.15582715838238</v>
      </c>
      <c r="AT334">
        <v>1.13793012022618</v>
      </c>
      <c r="AU334">
        <v>1.1163359779364</v>
      </c>
      <c r="AV334">
        <v>1.09293353828048</v>
      </c>
      <c r="AW334">
        <v>1.06802312943191</v>
      </c>
      <c r="AX334">
        <v>1.04167236273411</v>
      </c>
      <c r="AY334">
        <v>1.01409441825303</v>
      </c>
      <c r="AZ334">
        <v>0</v>
      </c>
      <c r="BA334">
        <v>0</v>
      </c>
      <c r="BB334">
        <v>0</v>
      </c>
      <c r="BC334">
        <v>0</v>
      </c>
      <c r="BD334">
        <v>0</v>
      </c>
      <c r="BE334">
        <v>0</v>
      </c>
      <c r="BF334">
        <v>0</v>
      </c>
      <c r="BG334">
        <v>0</v>
      </c>
      <c r="BI334" t="s">
        <v>273</v>
      </c>
      <c r="BK334">
        <v>1</v>
      </c>
      <c r="BL334">
        <v>0.997560975609757</v>
      </c>
      <c r="BM334">
        <v>0.985365853658537</v>
      </c>
      <c r="BN334">
        <v>0.973170731707317</v>
      </c>
      <c r="BO334">
        <v>0.960975609756098</v>
      </c>
      <c r="BP334">
        <v>0.948780487804878</v>
      </c>
      <c r="BQ334">
        <v>0.936585365853658</v>
      </c>
      <c r="BR334">
        <v>0.924390243902439</v>
      </c>
      <c r="BS334">
        <v>0.91219512195122</v>
      </c>
      <c r="BT334">
        <v>0.9</v>
      </c>
      <c r="BU334">
        <v>0.8875</v>
      </c>
      <c r="BV334">
        <v>0.875000000000001</v>
      </c>
      <c r="BW334">
        <v>0.862500000000001</v>
      </c>
      <c r="BX334">
        <v>0.850000000000001</v>
      </c>
      <c r="BY334">
        <v>0.8375</v>
      </c>
      <c r="BZ334">
        <v>0.825000000000001</v>
      </c>
      <c r="CA334">
        <v>0.812500000000001</v>
      </c>
      <c r="CB334">
        <v>0.800000000000001</v>
      </c>
      <c r="CC334" t="e">
        <v>#VALUE!</v>
      </c>
      <c r="CD334" t="e">
        <v>#VALUE!</v>
      </c>
      <c r="CE334" t="e">
        <v>#VALUE!</v>
      </c>
      <c r="CF334" t="e">
        <v>#VALUE!</v>
      </c>
      <c r="CG334" t="e">
        <v>#VALUE!</v>
      </c>
      <c r="CH334" t="e">
        <v>#VALUE!</v>
      </c>
      <c r="CI334" t="e">
        <v>#VALUE!</v>
      </c>
      <c r="CJ334" t="e">
        <v>#VALUE!</v>
      </c>
    </row>
    <row r="335" spans="1:88">
      <c r="A335" t="s">
        <v>31</v>
      </c>
      <c r="B335" t="s">
        <v>282</v>
      </c>
      <c r="C335" t="s">
        <v>282</v>
      </c>
      <c r="D335">
        <v>7.945</v>
      </c>
      <c r="E335">
        <v>8.00963126477684</v>
      </c>
      <c r="F335">
        <v>8.3288307248426</v>
      </c>
      <c r="G335">
        <v>8.65479018951003</v>
      </c>
      <c r="H335">
        <v>8.91472836127628</v>
      </c>
      <c r="I335">
        <v>9.11267053484473</v>
      </c>
      <c r="J335">
        <v>9.25069013228785</v>
      </c>
      <c r="K335">
        <v>9.32134745765259</v>
      </c>
      <c r="L335">
        <v>9.33996190746141</v>
      </c>
      <c r="M335">
        <v>9.31354008989287</v>
      </c>
      <c r="N335">
        <v>9.25064389551089</v>
      </c>
      <c r="O335">
        <v>9.15441402435544</v>
      </c>
      <c r="P335">
        <v>9.03215584525258</v>
      </c>
      <c r="Q335">
        <v>8.88646551964891</v>
      </c>
      <c r="R335">
        <v>8.73044558622816</v>
      </c>
      <c r="S335">
        <v>8.56628176187214</v>
      </c>
      <c r="T335">
        <v>8.39455881895281</v>
      </c>
      <c r="U335">
        <v>8.21676419919763</v>
      </c>
      <c r="V335">
        <v>5</v>
      </c>
      <c r="AF335" s="99" t="s">
        <v>277</v>
      </c>
      <c r="AH335">
        <v>1</v>
      </c>
      <c r="AI335">
        <v>1.00815472466068</v>
      </c>
      <c r="AJ335">
        <v>1.04892834796405</v>
      </c>
      <c r="AK335">
        <v>1.09111123927933</v>
      </c>
      <c r="AL335">
        <v>1.12521247998421</v>
      </c>
      <c r="AM335">
        <v>1.15154539977041</v>
      </c>
      <c r="AN335">
        <v>1.17016750535311</v>
      </c>
      <c r="AO335">
        <v>1.17983637578976</v>
      </c>
      <c r="AP335">
        <v>1.1824192636067</v>
      </c>
      <c r="AQ335">
        <v>1.1787026571958</v>
      </c>
      <c r="AR335">
        <v>1.16973362710189</v>
      </c>
      <c r="AS335">
        <v>1.15582715838238</v>
      </c>
      <c r="AT335">
        <v>1.13793012022618</v>
      </c>
      <c r="AU335">
        <v>1.1163359779364</v>
      </c>
      <c r="AV335">
        <v>1.09293353828048</v>
      </c>
      <c r="AW335">
        <v>1.06802312943191</v>
      </c>
      <c r="AX335">
        <v>1.04167236273411</v>
      </c>
      <c r="AY335">
        <v>1.01409441825303</v>
      </c>
      <c r="AZ335">
        <v>0</v>
      </c>
      <c r="BA335">
        <v>0</v>
      </c>
      <c r="BB335">
        <v>0</v>
      </c>
      <c r="BC335">
        <v>0</v>
      </c>
      <c r="BD335">
        <v>0</v>
      </c>
      <c r="BE335">
        <v>0</v>
      </c>
      <c r="BF335">
        <v>0</v>
      </c>
      <c r="BG335">
        <v>0</v>
      </c>
      <c r="BI335" t="s">
        <v>273</v>
      </c>
      <c r="BK335">
        <v>1</v>
      </c>
      <c r="BL335">
        <v>0.997560975609757</v>
      </c>
      <c r="BM335">
        <v>0.985365853658537</v>
      </c>
      <c r="BN335">
        <v>0.973170731707317</v>
      </c>
      <c r="BO335">
        <v>0.960975609756098</v>
      </c>
      <c r="BP335">
        <v>0.948780487804878</v>
      </c>
      <c r="BQ335">
        <v>0.936585365853658</v>
      </c>
      <c r="BR335">
        <v>0.924390243902439</v>
      </c>
      <c r="BS335">
        <v>0.91219512195122</v>
      </c>
      <c r="BT335">
        <v>0.9</v>
      </c>
      <c r="BU335">
        <v>0.8875</v>
      </c>
      <c r="BV335">
        <v>0.875000000000001</v>
      </c>
      <c r="BW335">
        <v>0.862500000000001</v>
      </c>
      <c r="BX335">
        <v>0.850000000000001</v>
      </c>
      <c r="BY335">
        <v>0.8375</v>
      </c>
      <c r="BZ335">
        <v>0.825000000000001</v>
      </c>
      <c r="CA335">
        <v>0.812500000000001</v>
      </c>
      <c r="CB335">
        <v>0.800000000000001</v>
      </c>
      <c r="CC335" t="e">
        <v>#VALUE!</v>
      </c>
      <c r="CD335" t="e">
        <v>#VALUE!</v>
      </c>
      <c r="CE335" t="e">
        <v>#VALUE!</v>
      </c>
      <c r="CF335" t="e">
        <v>#VALUE!</v>
      </c>
      <c r="CG335" t="e">
        <v>#VALUE!</v>
      </c>
      <c r="CH335" t="e">
        <v>#VALUE!</v>
      </c>
      <c r="CI335" t="e">
        <v>#VALUE!</v>
      </c>
      <c r="CJ335" t="e">
        <v>#VALUE!</v>
      </c>
    </row>
    <row r="336" spans="1:88">
      <c r="A336" t="s">
        <v>31</v>
      </c>
      <c r="B336" t="s">
        <v>283</v>
      </c>
      <c r="C336" t="s">
        <v>283</v>
      </c>
      <c r="D336">
        <v>99.66</v>
      </c>
      <c r="E336">
        <v>98.3529707431704</v>
      </c>
      <c r="F336">
        <v>103.805917225593</v>
      </c>
      <c r="G336">
        <v>108.084709235096</v>
      </c>
      <c r="H336">
        <v>119.341446492584</v>
      </c>
      <c r="I336">
        <v>135.697301449449</v>
      </c>
      <c r="J336">
        <v>156.110092215582</v>
      </c>
      <c r="K336">
        <v>179.837352283857</v>
      </c>
      <c r="L336">
        <v>206.645067701619</v>
      </c>
      <c r="M336">
        <v>236.493270061296</v>
      </c>
      <c r="N336">
        <v>269.060394912842</v>
      </c>
      <c r="O336">
        <v>304.122482923034</v>
      </c>
      <c r="P336">
        <v>341.420207140228</v>
      </c>
      <c r="Q336">
        <v>381.121451577387</v>
      </c>
      <c r="R336">
        <v>423.021353581731</v>
      </c>
      <c r="S336">
        <v>467.03504533259</v>
      </c>
      <c r="T336">
        <v>512.862520830738</v>
      </c>
      <c r="U336">
        <v>560.313003520519</v>
      </c>
      <c r="V336">
        <v>5</v>
      </c>
      <c r="AF336" s="99" t="s">
        <v>284</v>
      </c>
      <c r="AH336">
        <v>1</v>
      </c>
      <c r="AI336">
        <v>0.986853051099898</v>
      </c>
      <c r="AJ336">
        <v>1.04237935080328</v>
      </c>
      <c r="AK336">
        <v>1.08652987115567</v>
      </c>
      <c r="AL336">
        <v>1.20428438838076</v>
      </c>
      <c r="AM336">
        <v>1.37824273247902</v>
      </c>
      <c r="AN336">
        <v>1.59960801824197</v>
      </c>
      <c r="AO336">
        <v>1.86261957350035</v>
      </c>
      <c r="AP336">
        <v>2.16699971991886</v>
      </c>
      <c r="AQ336">
        <v>2.51478362717001</v>
      </c>
      <c r="AR336">
        <v>2.90498868561258</v>
      </c>
      <c r="AS336">
        <v>3.33762641682978</v>
      </c>
      <c r="AT336">
        <v>3.8122096888976</v>
      </c>
      <c r="AU336">
        <v>4.33373183302453</v>
      </c>
      <c r="AV336">
        <v>4.90261991002567</v>
      </c>
      <c r="AW336">
        <v>5.5209206738895</v>
      </c>
      <c r="AX336">
        <v>6.18767309445842</v>
      </c>
      <c r="AY336">
        <v>6.90328415768994</v>
      </c>
      <c r="AZ336">
        <v>0</v>
      </c>
      <c r="BA336">
        <v>0</v>
      </c>
      <c r="BB336">
        <v>0</v>
      </c>
      <c r="BC336">
        <v>0</v>
      </c>
      <c r="BD336">
        <v>0</v>
      </c>
      <c r="BE336">
        <v>0</v>
      </c>
      <c r="BF336">
        <v>0</v>
      </c>
      <c r="BG336">
        <v>0</v>
      </c>
      <c r="BI336" t="s">
        <v>273</v>
      </c>
      <c r="BK336">
        <v>1</v>
      </c>
      <c r="BL336">
        <v>0.997560975609757</v>
      </c>
      <c r="BM336">
        <v>0.985365853658537</v>
      </c>
      <c r="BN336">
        <v>0.973170731707317</v>
      </c>
      <c r="BO336">
        <v>0.960975609756098</v>
      </c>
      <c r="BP336">
        <v>0.948780487804878</v>
      </c>
      <c r="BQ336">
        <v>0.936585365853658</v>
      </c>
      <c r="BR336">
        <v>0.924390243902439</v>
      </c>
      <c r="BS336">
        <v>0.91219512195122</v>
      </c>
      <c r="BT336">
        <v>0.9</v>
      </c>
      <c r="BU336">
        <v>0.8875</v>
      </c>
      <c r="BV336">
        <v>0.875000000000001</v>
      </c>
      <c r="BW336">
        <v>0.862500000000001</v>
      </c>
      <c r="BX336">
        <v>0.850000000000001</v>
      </c>
      <c r="BY336">
        <v>0.8375</v>
      </c>
      <c r="BZ336">
        <v>0.825000000000001</v>
      </c>
      <c r="CA336">
        <v>0.812500000000001</v>
      </c>
      <c r="CB336">
        <v>0.800000000000001</v>
      </c>
      <c r="CC336" t="e">
        <v>#VALUE!</v>
      </c>
      <c r="CD336" t="e">
        <v>#VALUE!</v>
      </c>
      <c r="CE336" t="e">
        <v>#VALUE!</v>
      </c>
      <c r="CF336" t="e">
        <v>#VALUE!</v>
      </c>
      <c r="CG336" t="e">
        <v>#VALUE!</v>
      </c>
      <c r="CH336" t="e">
        <v>#VALUE!</v>
      </c>
      <c r="CI336" t="e">
        <v>#VALUE!</v>
      </c>
      <c r="CJ336" t="e">
        <v>#VALUE!</v>
      </c>
    </row>
    <row r="337" spans="1:88">
      <c r="A337" t="s">
        <v>31</v>
      </c>
      <c r="B337" t="s">
        <v>285</v>
      </c>
      <c r="C337" t="s">
        <v>285</v>
      </c>
      <c r="D337">
        <v>19.6</v>
      </c>
      <c r="E337">
        <v>19.5002948716583</v>
      </c>
      <c r="F337">
        <v>21.4022929201511</v>
      </c>
      <c r="G337">
        <v>23.1575607197183</v>
      </c>
      <c r="H337">
        <v>26.3402518713137</v>
      </c>
      <c r="I337">
        <v>30.6195476354285</v>
      </c>
      <c r="J337">
        <v>35.7638584966043</v>
      </c>
      <c r="K337">
        <v>41.5177085278935</v>
      </c>
      <c r="L337">
        <v>47.8030641830236</v>
      </c>
      <c r="M337">
        <v>54.5508954164533</v>
      </c>
      <c r="N337">
        <v>61.6374608117572</v>
      </c>
      <c r="O337">
        <v>68.9329529529742</v>
      </c>
      <c r="P337">
        <v>76.3354129243782</v>
      </c>
      <c r="Q337">
        <v>83.8121461664193</v>
      </c>
      <c r="R337">
        <v>91.3616689125539</v>
      </c>
      <c r="S337">
        <v>98.932900294157</v>
      </c>
      <c r="T337">
        <v>106.417859520275</v>
      </c>
      <c r="U337">
        <v>113.749162132406</v>
      </c>
      <c r="V337">
        <v>5</v>
      </c>
      <c r="AF337" s="99" t="s">
        <v>272</v>
      </c>
      <c r="AH337">
        <v>1</v>
      </c>
      <c r="AI337">
        <v>0.994900566012164</v>
      </c>
      <c r="AJ337">
        <v>1.09338125038993</v>
      </c>
      <c r="AK337">
        <v>1.18552495423068</v>
      </c>
      <c r="AL337">
        <v>1.35507582325619</v>
      </c>
      <c r="AM337">
        <v>1.58710907835321</v>
      </c>
      <c r="AN337">
        <v>1.87180932424903</v>
      </c>
      <c r="AO337">
        <v>2.19758632707371</v>
      </c>
      <c r="AP337">
        <v>2.56230221306238</v>
      </c>
      <c r="AQ337">
        <v>2.96418214361779</v>
      </c>
      <c r="AR337">
        <v>3.39806295191155</v>
      </c>
      <c r="AS337">
        <v>3.85771925710635</v>
      </c>
      <c r="AT337">
        <v>4.33802822961463</v>
      </c>
      <c r="AU337">
        <v>4.83790076393356</v>
      </c>
      <c r="AV337">
        <v>5.3582377251087</v>
      </c>
      <c r="AW337">
        <v>5.89647097547281</v>
      </c>
      <c r="AX337">
        <v>6.44552805213077</v>
      </c>
      <c r="AY337">
        <v>7.00058193192795</v>
      </c>
      <c r="AZ337">
        <v>0</v>
      </c>
      <c r="BA337">
        <v>0</v>
      </c>
      <c r="BB337">
        <v>0</v>
      </c>
      <c r="BC337">
        <v>0</v>
      </c>
      <c r="BD337">
        <v>0</v>
      </c>
      <c r="BE337">
        <v>0</v>
      </c>
      <c r="BF337">
        <v>0</v>
      </c>
      <c r="BG337">
        <v>0</v>
      </c>
      <c r="BI337" t="s">
        <v>273</v>
      </c>
      <c r="BK337">
        <v>1</v>
      </c>
      <c r="BL337">
        <v>0.997560975609757</v>
      </c>
      <c r="BM337">
        <v>0.985365853658537</v>
      </c>
      <c r="BN337">
        <v>0.973170731707317</v>
      </c>
      <c r="BO337">
        <v>0.960975609756098</v>
      </c>
      <c r="BP337">
        <v>0.948780487804878</v>
      </c>
      <c r="BQ337">
        <v>0.936585365853658</v>
      </c>
      <c r="BR337">
        <v>0.924390243902439</v>
      </c>
      <c r="BS337">
        <v>0.91219512195122</v>
      </c>
      <c r="BT337">
        <v>0.9</v>
      </c>
      <c r="BU337">
        <v>0.8875</v>
      </c>
      <c r="BV337">
        <v>0.875000000000001</v>
      </c>
      <c r="BW337">
        <v>0.862500000000001</v>
      </c>
      <c r="BX337">
        <v>0.850000000000001</v>
      </c>
      <c r="BY337">
        <v>0.8375</v>
      </c>
      <c r="BZ337">
        <v>0.825000000000001</v>
      </c>
      <c r="CA337">
        <v>0.812500000000001</v>
      </c>
      <c r="CB337">
        <v>0.800000000000001</v>
      </c>
      <c r="CC337" t="e">
        <v>#VALUE!</v>
      </c>
      <c r="CD337" t="e">
        <v>#VALUE!</v>
      </c>
      <c r="CE337" t="e">
        <v>#VALUE!</v>
      </c>
      <c r="CF337" t="e">
        <v>#VALUE!</v>
      </c>
      <c r="CG337" t="e">
        <v>#VALUE!</v>
      </c>
      <c r="CH337" t="e">
        <v>#VALUE!</v>
      </c>
      <c r="CI337" t="e">
        <v>#VALUE!</v>
      </c>
      <c r="CJ337" t="e">
        <v>#VALUE!</v>
      </c>
    </row>
    <row r="338" spans="1:88">
      <c r="A338" t="s">
        <v>31</v>
      </c>
      <c r="B338" t="s">
        <v>286</v>
      </c>
      <c r="C338" t="s">
        <v>286</v>
      </c>
      <c r="D338">
        <v>23.8</v>
      </c>
      <c r="E338">
        <v>23.6789294870137</v>
      </c>
      <c r="F338">
        <v>25.9884985458977</v>
      </c>
      <c r="G338">
        <v>28.1198951596579</v>
      </c>
      <c r="H338">
        <v>31.9845915580238</v>
      </c>
      <c r="I338">
        <v>37.1808792715917</v>
      </c>
      <c r="J338">
        <v>43.4275424601624</v>
      </c>
      <c r="K338">
        <v>50.4143603552992</v>
      </c>
      <c r="L338">
        <v>58.0465779365286</v>
      </c>
      <c r="M338">
        <v>66.2403730056932</v>
      </c>
      <c r="N338">
        <v>74.8454881285623</v>
      </c>
      <c r="O338">
        <v>83.7043000143259</v>
      </c>
      <c r="P338">
        <v>92.6930014081736</v>
      </c>
      <c r="Q338">
        <v>101.771891773509</v>
      </c>
      <c r="R338">
        <v>110.939169393816</v>
      </c>
      <c r="S338">
        <v>120.132807500048</v>
      </c>
      <c r="T338">
        <v>129.221686560334</v>
      </c>
      <c r="U338">
        <v>138.123982589351</v>
      </c>
      <c r="V338">
        <v>5</v>
      </c>
      <c r="AF338" s="99" t="s">
        <v>272</v>
      </c>
      <c r="AH338">
        <v>1</v>
      </c>
      <c r="AI338">
        <v>0.994900566012164</v>
      </c>
      <c r="AJ338">
        <v>1.09338125038993</v>
      </c>
      <c r="AK338">
        <v>1.18552495423068</v>
      </c>
      <c r="AL338">
        <v>1.35507582325619</v>
      </c>
      <c r="AM338">
        <v>1.58710907835321</v>
      </c>
      <c r="AN338">
        <v>1.87180932424903</v>
      </c>
      <c r="AO338">
        <v>2.19758632707371</v>
      </c>
      <c r="AP338">
        <v>2.56230221306238</v>
      </c>
      <c r="AQ338">
        <v>2.96418214361779</v>
      </c>
      <c r="AR338">
        <v>3.39806295191155</v>
      </c>
      <c r="AS338">
        <v>3.85771925710635</v>
      </c>
      <c r="AT338">
        <v>4.33802822961463</v>
      </c>
      <c r="AU338">
        <v>4.83790076393356</v>
      </c>
      <c r="AV338">
        <v>5.3582377251087</v>
      </c>
      <c r="AW338">
        <v>5.89647097547281</v>
      </c>
      <c r="AX338">
        <v>6.44552805213077</v>
      </c>
      <c r="AY338">
        <v>7.00058193192795</v>
      </c>
      <c r="AZ338">
        <v>0</v>
      </c>
      <c r="BA338">
        <v>0</v>
      </c>
      <c r="BB338">
        <v>0</v>
      </c>
      <c r="BC338">
        <v>0</v>
      </c>
      <c r="BD338">
        <v>0</v>
      </c>
      <c r="BE338">
        <v>0</v>
      </c>
      <c r="BF338">
        <v>0</v>
      </c>
      <c r="BG338">
        <v>0</v>
      </c>
      <c r="BI338" t="s">
        <v>273</v>
      </c>
      <c r="BK338">
        <v>1</v>
      </c>
      <c r="BL338">
        <v>0.997560975609757</v>
      </c>
      <c r="BM338">
        <v>0.985365853658537</v>
      </c>
      <c r="BN338">
        <v>0.973170731707317</v>
      </c>
      <c r="BO338">
        <v>0.960975609756098</v>
      </c>
      <c r="BP338">
        <v>0.948780487804878</v>
      </c>
      <c r="BQ338">
        <v>0.936585365853658</v>
      </c>
      <c r="BR338">
        <v>0.924390243902439</v>
      </c>
      <c r="BS338">
        <v>0.91219512195122</v>
      </c>
      <c r="BT338">
        <v>0.9</v>
      </c>
      <c r="BU338">
        <v>0.8875</v>
      </c>
      <c r="BV338">
        <v>0.875000000000001</v>
      </c>
      <c r="BW338">
        <v>0.862500000000001</v>
      </c>
      <c r="BX338">
        <v>0.850000000000001</v>
      </c>
      <c r="BY338">
        <v>0.8375</v>
      </c>
      <c r="BZ338">
        <v>0.825000000000001</v>
      </c>
      <c r="CA338">
        <v>0.812500000000001</v>
      </c>
      <c r="CB338">
        <v>0.800000000000001</v>
      </c>
      <c r="CC338" t="e">
        <v>#VALUE!</v>
      </c>
      <c r="CD338" t="e">
        <v>#VALUE!</v>
      </c>
      <c r="CE338" t="e">
        <v>#VALUE!</v>
      </c>
      <c r="CF338" t="e">
        <v>#VALUE!</v>
      </c>
      <c r="CG338" t="e">
        <v>#VALUE!</v>
      </c>
      <c r="CH338" t="e">
        <v>#VALUE!</v>
      </c>
      <c r="CI338" t="e">
        <v>#VALUE!</v>
      </c>
      <c r="CJ338" t="e">
        <v>#VALUE!</v>
      </c>
    </row>
    <row r="339" spans="1:88">
      <c r="A339" t="s">
        <v>32</v>
      </c>
      <c r="B339" t="s">
        <v>271</v>
      </c>
      <c r="C339" t="s">
        <v>271</v>
      </c>
      <c r="D339">
        <v>104.0678460504</v>
      </c>
      <c r="E339">
        <v>103.891851463989</v>
      </c>
      <c r="F339">
        <v>119.560041135512</v>
      </c>
      <c r="G339">
        <v>126.617647980025</v>
      </c>
      <c r="H339">
        <v>135.286152386361</v>
      </c>
      <c r="I339">
        <v>144.791576361136</v>
      </c>
      <c r="J339">
        <v>154.343230762286</v>
      </c>
      <c r="K339">
        <v>163.732163531932</v>
      </c>
      <c r="L339">
        <v>172.973086149296</v>
      </c>
      <c r="M339">
        <v>181.934654310763</v>
      </c>
      <c r="N339">
        <v>190.196227959224</v>
      </c>
      <c r="O339">
        <v>197.233935354703</v>
      </c>
      <c r="P339">
        <v>203.223470402157</v>
      </c>
      <c r="Q339">
        <v>208.442133748083</v>
      </c>
      <c r="R339">
        <v>213.137079182896</v>
      </c>
      <c r="S339">
        <v>217.350557619027</v>
      </c>
      <c r="T339">
        <v>220.946694042076</v>
      </c>
      <c r="U339">
        <v>223.706281790281</v>
      </c>
      <c r="V339">
        <v>5</v>
      </c>
      <c r="AF339" s="99" t="s">
        <v>272</v>
      </c>
      <c r="AH339">
        <v>1</v>
      </c>
      <c r="AI339">
        <v>0.997879594864605</v>
      </c>
      <c r="AJ339">
        <v>1.18950075332934</v>
      </c>
      <c r="AK339">
        <v>1.28031640877814</v>
      </c>
      <c r="AL339">
        <v>1.39550156259639</v>
      </c>
      <c r="AM339">
        <v>1.52644808091834</v>
      </c>
      <c r="AN339">
        <v>1.66315618331258</v>
      </c>
      <c r="AO339">
        <v>1.80282166535448</v>
      </c>
      <c r="AP339">
        <v>1.94568971195739</v>
      </c>
      <c r="AQ339">
        <v>2.08969585569535</v>
      </c>
      <c r="AR339">
        <v>2.22772084678191</v>
      </c>
      <c r="AS339">
        <v>2.34984070822368</v>
      </c>
      <c r="AT339">
        <v>2.45755268861725</v>
      </c>
      <c r="AU339">
        <v>2.55464277760526</v>
      </c>
      <c r="AV339">
        <v>2.64490271543598</v>
      </c>
      <c r="AW339">
        <v>2.7285614807705</v>
      </c>
      <c r="AX339">
        <v>2.8022675160834</v>
      </c>
      <c r="AY339">
        <v>2.86060061416468</v>
      </c>
      <c r="AZ339">
        <v>0</v>
      </c>
      <c r="BA339">
        <v>0</v>
      </c>
      <c r="BB339">
        <v>0</v>
      </c>
      <c r="BC339">
        <v>0</v>
      </c>
      <c r="BD339">
        <v>0</v>
      </c>
      <c r="BE339">
        <v>0</v>
      </c>
      <c r="BF339">
        <v>0</v>
      </c>
      <c r="BG339">
        <v>0</v>
      </c>
      <c r="BI339" t="s">
        <v>287</v>
      </c>
      <c r="BK339">
        <v>0.8</v>
      </c>
      <c r="BL339">
        <v>0.797560975609756</v>
      </c>
      <c r="BM339">
        <v>0.785365853658536</v>
      </c>
      <c r="BN339">
        <v>0.773170731707317</v>
      </c>
      <c r="BO339">
        <v>0.760975609756097</v>
      </c>
      <c r="BP339">
        <v>0.748780487804878</v>
      </c>
      <c r="BQ339">
        <v>0.736585365853658</v>
      </c>
      <c r="BR339">
        <v>0.724390243902439</v>
      </c>
      <c r="BS339">
        <v>0.71219512195122</v>
      </c>
      <c r="BT339">
        <v>0.699999999999999</v>
      </c>
      <c r="BU339">
        <v>0.687499999999999</v>
      </c>
      <c r="BV339">
        <v>0.675</v>
      </c>
      <c r="BW339">
        <v>0.6625</v>
      </c>
      <c r="BX339">
        <v>0.649999999999999</v>
      </c>
      <c r="BY339">
        <v>0.637499999999999</v>
      </c>
      <c r="BZ339">
        <v>0.625</v>
      </c>
      <c r="CA339">
        <v>0.6125</v>
      </c>
      <c r="CB339">
        <v>0.6</v>
      </c>
      <c r="CC339" t="e">
        <v>#VALUE!</v>
      </c>
      <c r="CD339" t="e">
        <v>#VALUE!</v>
      </c>
      <c r="CE339" t="e">
        <v>#VALUE!</v>
      </c>
      <c r="CF339" t="e">
        <v>#VALUE!</v>
      </c>
      <c r="CG339" t="e">
        <v>#VALUE!</v>
      </c>
      <c r="CH339" t="e">
        <v>#VALUE!</v>
      </c>
      <c r="CI339" t="e">
        <v>#VALUE!</v>
      </c>
      <c r="CJ339" t="e">
        <v>#VALUE!</v>
      </c>
    </row>
    <row r="340" spans="1:88">
      <c r="A340" t="s">
        <v>32</v>
      </c>
      <c r="B340" t="s">
        <v>274</v>
      </c>
      <c r="C340" t="s">
        <v>274</v>
      </c>
      <c r="D340">
        <v>260.6991071616</v>
      </c>
      <c r="E340">
        <v>260.258225243851</v>
      </c>
      <c r="F340">
        <v>299.508418394063</v>
      </c>
      <c r="G340">
        <v>317.188344258686</v>
      </c>
      <c r="H340">
        <v>338.903710194711</v>
      </c>
      <c r="I340">
        <v>362.715633257058</v>
      </c>
      <c r="J340">
        <v>386.643367603457</v>
      </c>
      <c r="K340">
        <v>410.163469951512</v>
      </c>
      <c r="L340">
        <v>433.312793850553</v>
      </c>
      <c r="M340">
        <v>455.762310268243</v>
      </c>
      <c r="N340">
        <v>476.45827886608</v>
      </c>
      <c r="O340">
        <v>494.088354860711</v>
      </c>
      <c r="P340">
        <v>509.092666936395</v>
      </c>
      <c r="Q340">
        <v>522.1658776013</v>
      </c>
      <c r="R340">
        <v>533.927128837685</v>
      </c>
      <c r="S340">
        <v>544.482262897172</v>
      </c>
      <c r="T340">
        <v>553.490900918431</v>
      </c>
      <c r="U340">
        <v>560.403910934441</v>
      </c>
      <c r="V340">
        <v>5</v>
      </c>
      <c r="AF340" s="99" t="s">
        <v>272</v>
      </c>
      <c r="AH340">
        <v>1</v>
      </c>
      <c r="AI340">
        <v>0.997879594864605</v>
      </c>
      <c r="AJ340">
        <v>1.18950075332934</v>
      </c>
      <c r="AK340">
        <v>1.28031640877814</v>
      </c>
      <c r="AL340">
        <v>1.39550156259639</v>
      </c>
      <c r="AM340">
        <v>1.52644808091834</v>
      </c>
      <c r="AN340">
        <v>1.66315618331258</v>
      </c>
      <c r="AO340">
        <v>1.80282166535448</v>
      </c>
      <c r="AP340">
        <v>1.94568971195739</v>
      </c>
      <c r="AQ340">
        <v>2.08969585569535</v>
      </c>
      <c r="AR340">
        <v>2.22772084678191</v>
      </c>
      <c r="AS340">
        <v>2.34984070822368</v>
      </c>
      <c r="AT340">
        <v>2.45755268861725</v>
      </c>
      <c r="AU340">
        <v>2.55464277760526</v>
      </c>
      <c r="AV340">
        <v>2.64490271543598</v>
      </c>
      <c r="AW340">
        <v>2.7285614807705</v>
      </c>
      <c r="AX340">
        <v>2.8022675160834</v>
      </c>
      <c r="AY340">
        <v>2.86060061416468</v>
      </c>
      <c r="AZ340">
        <v>0</v>
      </c>
      <c r="BA340">
        <v>0</v>
      </c>
      <c r="BB340">
        <v>0</v>
      </c>
      <c r="BC340">
        <v>0</v>
      </c>
      <c r="BD340">
        <v>0</v>
      </c>
      <c r="BE340">
        <v>0</v>
      </c>
      <c r="BF340">
        <v>0</v>
      </c>
      <c r="BG340">
        <v>0</v>
      </c>
      <c r="BI340" t="s">
        <v>287</v>
      </c>
      <c r="BK340">
        <v>0.8</v>
      </c>
      <c r="BL340">
        <v>0.797560975609756</v>
      </c>
      <c r="BM340">
        <v>0.785365853658536</v>
      </c>
      <c r="BN340">
        <v>0.773170731707317</v>
      </c>
      <c r="BO340">
        <v>0.760975609756097</v>
      </c>
      <c r="BP340">
        <v>0.748780487804878</v>
      </c>
      <c r="BQ340">
        <v>0.736585365853658</v>
      </c>
      <c r="BR340">
        <v>0.724390243902439</v>
      </c>
      <c r="BS340">
        <v>0.71219512195122</v>
      </c>
      <c r="BT340">
        <v>0.699999999999999</v>
      </c>
      <c r="BU340">
        <v>0.687499999999999</v>
      </c>
      <c r="BV340">
        <v>0.675</v>
      </c>
      <c r="BW340">
        <v>0.6625</v>
      </c>
      <c r="BX340">
        <v>0.649999999999999</v>
      </c>
      <c r="BY340">
        <v>0.637499999999999</v>
      </c>
      <c r="BZ340">
        <v>0.625</v>
      </c>
      <c r="CA340">
        <v>0.6125</v>
      </c>
      <c r="CB340">
        <v>0.6</v>
      </c>
      <c r="CC340" t="e">
        <v>#VALUE!</v>
      </c>
      <c r="CD340" t="e">
        <v>#VALUE!</v>
      </c>
      <c r="CE340" t="e">
        <v>#VALUE!</v>
      </c>
      <c r="CF340" t="e">
        <v>#VALUE!</v>
      </c>
      <c r="CG340" t="e">
        <v>#VALUE!</v>
      </c>
      <c r="CH340" t="e">
        <v>#VALUE!</v>
      </c>
      <c r="CI340" t="e">
        <v>#VALUE!</v>
      </c>
      <c r="CJ340" t="e">
        <v>#VALUE!</v>
      </c>
    </row>
    <row r="341" spans="1:88">
      <c r="A341" t="s">
        <v>32</v>
      </c>
      <c r="B341" t="s">
        <v>275</v>
      </c>
      <c r="C341" t="s">
        <v>275</v>
      </c>
      <c r="D341">
        <v>3.47931621072</v>
      </c>
      <c r="E341">
        <v>3.47343215679999</v>
      </c>
      <c r="F341">
        <v>3.99726913801669</v>
      </c>
      <c r="G341">
        <v>4.2332271868756</v>
      </c>
      <c r="H341">
        <v>4.5230426202522</v>
      </c>
      <c r="I341">
        <v>4.8408389135394</v>
      </c>
      <c r="J341">
        <v>5.16018083574101</v>
      </c>
      <c r="K341">
        <v>5.47408246075369</v>
      </c>
      <c r="L341">
        <v>5.78303563971189</v>
      </c>
      <c r="M341">
        <v>6.08264911842809</v>
      </c>
      <c r="N341">
        <v>6.35885957355009</v>
      </c>
      <c r="O341">
        <v>6.59415232108651</v>
      </c>
      <c r="P341">
        <v>6.7944013622283</v>
      </c>
      <c r="Q341">
        <v>6.96887773189368</v>
      </c>
      <c r="R341">
        <v>7.12584456055159</v>
      </c>
      <c r="S341">
        <v>7.2667144294182</v>
      </c>
      <c r="T341">
        <v>7.38694460835949</v>
      </c>
      <c r="U341">
        <v>7.4792063275324</v>
      </c>
      <c r="V341">
        <v>5</v>
      </c>
      <c r="AF341" s="99" t="s">
        <v>272</v>
      </c>
      <c r="AH341">
        <v>1</v>
      </c>
      <c r="AI341">
        <v>0.997879594864605</v>
      </c>
      <c r="AJ341">
        <v>1.18950075332934</v>
      </c>
      <c r="AK341">
        <v>1.28031640877814</v>
      </c>
      <c r="AL341">
        <v>1.39550156259639</v>
      </c>
      <c r="AM341">
        <v>1.52644808091834</v>
      </c>
      <c r="AN341">
        <v>1.66315618331258</v>
      </c>
      <c r="AO341">
        <v>1.80282166535448</v>
      </c>
      <c r="AP341">
        <v>1.94568971195739</v>
      </c>
      <c r="AQ341">
        <v>2.08969585569535</v>
      </c>
      <c r="AR341">
        <v>2.22772084678191</v>
      </c>
      <c r="AS341">
        <v>2.34984070822368</v>
      </c>
      <c r="AT341">
        <v>2.45755268861725</v>
      </c>
      <c r="AU341">
        <v>2.55464277760526</v>
      </c>
      <c r="AV341">
        <v>2.64490271543598</v>
      </c>
      <c r="AW341">
        <v>2.7285614807705</v>
      </c>
      <c r="AX341">
        <v>2.8022675160834</v>
      </c>
      <c r="AY341">
        <v>2.86060061416468</v>
      </c>
      <c r="AZ341">
        <v>0</v>
      </c>
      <c r="BA341">
        <v>0</v>
      </c>
      <c r="BB341">
        <v>0</v>
      </c>
      <c r="BC341">
        <v>0</v>
      </c>
      <c r="BD341">
        <v>0</v>
      </c>
      <c r="BE341">
        <v>0</v>
      </c>
      <c r="BF341">
        <v>0</v>
      </c>
      <c r="BG341">
        <v>0</v>
      </c>
      <c r="BI341" t="s">
        <v>287</v>
      </c>
      <c r="BK341">
        <v>0.8</v>
      </c>
      <c r="BL341">
        <v>0.797560975609756</v>
      </c>
      <c r="BM341">
        <v>0.785365853658536</v>
      </c>
      <c r="BN341">
        <v>0.773170731707317</v>
      </c>
      <c r="BO341">
        <v>0.760975609756097</v>
      </c>
      <c r="BP341">
        <v>0.748780487804878</v>
      </c>
      <c r="BQ341">
        <v>0.736585365853658</v>
      </c>
      <c r="BR341">
        <v>0.724390243902439</v>
      </c>
      <c r="BS341">
        <v>0.71219512195122</v>
      </c>
      <c r="BT341">
        <v>0.699999999999999</v>
      </c>
      <c r="BU341">
        <v>0.687499999999999</v>
      </c>
      <c r="BV341">
        <v>0.675</v>
      </c>
      <c r="BW341">
        <v>0.6625</v>
      </c>
      <c r="BX341">
        <v>0.649999999999999</v>
      </c>
      <c r="BY341">
        <v>0.637499999999999</v>
      </c>
      <c r="BZ341">
        <v>0.625</v>
      </c>
      <c r="CA341">
        <v>0.6125</v>
      </c>
      <c r="CB341">
        <v>0.6</v>
      </c>
      <c r="CC341" t="e">
        <v>#VALUE!</v>
      </c>
      <c r="CD341" t="e">
        <v>#VALUE!</v>
      </c>
      <c r="CE341" t="e">
        <v>#VALUE!</v>
      </c>
      <c r="CF341" t="e">
        <v>#VALUE!</v>
      </c>
      <c r="CG341" t="e">
        <v>#VALUE!</v>
      </c>
      <c r="CH341" t="e">
        <v>#VALUE!</v>
      </c>
      <c r="CI341" t="e">
        <v>#VALUE!</v>
      </c>
      <c r="CJ341" t="e">
        <v>#VALUE!</v>
      </c>
    </row>
    <row r="342" spans="1:88">
      <c r="A342" t="s">
        <v>32</v>
      </c>
      <c r="B342" t="s">
        <v>276</v>
      </c>
      <c r="C342" t="s">
        <v>276</v>
      </c>
      <c r="D342">
        <v>14.61933258768</v>
      </c>
      <c r="E342">
        <v>14.626041583712</v>
      </c>
      <c r="F342">
        <v>14.6590697982452</v>
      </c>
      <c r="G342">
        <v>14.6765158959317</v>
      </c>
      <c r="H342">
        <v>14.7086189446099</v>
      </c>
      <c r="I342">
        <v>14.7592524756673</v>
      </c>
      <c r="J342">
        <v>14.8227150742084</v>
      </c>
      <c r="K342">
        <v>14.8957022241977</v>
      </c>
      <c r="L342">
        <v>14.9208135792996</v>
      </c>
      <c r="M342">
        <v>14.8992217397431</v>
      </c>
      <c r="N342">
        <v>14.8303882735509</v>
      </c>
      <c r="O342">
        <v>14.7390002565986</v>
      </c>
      <c r="P342">
        <v>14.6471513086994</v>
      </c>
      <c r="Q342">
        <v>14.5731900970352</v>
      </c>
      <c r="R342">
        <v>14.5179918443971</v>
      </c>
      <c r="S342">
        <v>14.46158072709</v>
      </c>
      <c r="T342">
        <v>14.382494823261</v>
      </c>
      <c r="U342">
        <v>14.2703428586092</v>
      </c>
      <c r="V342">
        <v>5</v>
      </c>
      <c r="AF342" s="99" t="s">
        <v>277</v>
      </c>
      <c r="AH342">
        <v>1</v>
      </c>
      <c r="AI342">
        <v>1.00057539501197</v>
      </c>
      <c r="AJ342">
        <v>1.00345237007185</v>
      </c>
      <c r="AK342">
        <v>1.00499696016419</v>
      </c>
      <c r="AL342">
        <v>1.00788575912277</v>
      </c>
      <c r="AM342">
        <v>1.01251940786193</v>
      </c>
      <c r="AN342">
        <v>1.01843003766146</v>
      </c>
      <c r="AO342">
        <v>1.02535276541024</v>
      </c>
      <c r="AP342">
        <v>1.02777984199243</v>
      </c>
      <c r="AQ342">
        <v>1.02565513427365</v>
      </c>
      <c r="AR342">
        <v>1.01876282571803</v>
      </c>
      <c r="AS342">
        <v>1.00946233103805</v>
      </c>
      <c r="AT342">
        <v>0.999966993786428</v>
      </c>
      <c r="AU342">
        <v>0.992198744423495</v>
      </c>
      <c r="AV342">
        <v>0.986303671471603</v>
      </c>
      <c r="AW342">
        <v>0.98017186010727</v>
      </c>
      <c r="AX342">
        <v>0.971420421446115</v>
      </c>
      <c r="AY342">
        <v>0.958795501348584</v>
      </c>
      <c r="AZ342">
        <v>0</v>
      </c>
      <c r="BA342">
        <v>0</v>
      </c>
      <c r="BB342">
        <v>0</v>
      </c>
      <c r="BC342">
        <v>0</v>
      </c>
      <c r="BD342">
        <v>0</v>
      </c>
      <c r="BE342">
        <v>0</v>
      </c>
      <c r="BF342">
        <v>0</v>
      </c>
      <c r="BG342">
        <v>0</v>
      </c>
      <c r="BI342" t="s">
        <v>287</v>
      </c>
      <c r="BK342">
        <v>0.8</v>
      </c>
      <c r="BL342">
        <v>0.797560975609756</v>
      </c>
      <c r="BM342">
        <v>0.785365853658536</v>
      </c>
      <c r="BN342">
        <v>0.773170731707317</v>
      </c>
      <c r="BO342">
        <v>0.760975609756097</v>
      </c>
      <c r="BP342">
        <v>0.748780487804878</v>
      </c>
      <c r="BQ342">
        <v>0.736585365853658</v>
      </c>
      <c r="BR342">
        <v>0.724390243902439</v>
      </c>
      <c r="BS342">
        <v>0.71219512195122</v>
      </c>
      <c r="BT342">
        <v>0.699999999999999</v>
      </c>
      <c r="BU342">
        <v>0.687499999999999</v>
      </c>
      <c r="BV342">
        <v>0.675</v>
      </c>
      <c r="BW342">
        <v>0.6625</v>
      </c>
      <c r="BX342">
        <v>0.649999999999999</v>
      </c>
      <c r="BY342">
        <v>0.637499999999999</v>
      </c>
      <c r="BZ342">
        <v>0.625</v>
      </c>
      <c r="CA342">
        <v>0.6125</v>
      </c>
      <c r="CB342">
        <v>0.6</v>
      </c>
      <c r="CC342" t="e">
        <v>#VALUE!</v>
      </c>
      <c r="CD342" t="e">
        <v>#VALUE!</v>
      </c>
      <c r="CE342" t="e">
        <v>#VALUE!</v>
      </c>
      <c r="CF342" t="e">
        <v>#VALUE!</v>
      </c>
      <c r="CG342" t="e">
        <v>#VALUE!</v>
      </c>
      <c r="CH342" t="e">
        <v>#VALUE!</v>
      </c>
      <c r="CI342" t="e">
        <v>#VALUE!</v>
      </c>
      <c r="CJ342" t="e">
        <v>#VALUE!</v>
      </c>
    </row>
    <row r="343" spans="1:88">
      <c r="A343" t="s">
        <v>32</v>
      </c>
      <c r="B343" t="s">
        <v>278</v>
      </c>
      <c r="C343" t="s">
        <v>278</v>
      </c>
      <c r="D343">
        <v>46.7004380544</v>
      </c>
      <c r="E343">
        <v>46.6214604970415</v>
      </c>
      <c r="F343">
        <v>53.6525594286481</v>
      </c>
      <c r="G343">
        <v>56.8196599670301</v>
      </c>
      <c r="H343">
        <v>60.7096506646023</v>
      </c>
      <c r="I343">
        <v>64.9752089552946</v>
      </c>
      <c r="J343">
        <v>69.2615131463308</v>
      </c>
      <c r="K343">
        <v>73.4747960175208</v>
      </c>
      <c r="L343">
        <v>77.621659344054</v>
      </c>
      <c r="M343">
        <v>81.6431623796041</v>
      </c>
      <c r="N343">
        <v>85.3505429303167</v>
      </c>
      <c r="O343">
        <v>88.5087135924482</v>
      </c>
      <c r="P343">
        <v>91.1965169925766</v>
      </c>
      <c r="Q343">
        <v>93.5383917748715</v>
      </c>
      <c r="R343">
        <v>95.6452481841132</v>
      </c>
      <c r="S343">
        <v>97.5360463140639</v>
      </c>
      <c r="T343">
        <v>99.1498122622746</v>
      </c>
      <c r="U343">
        <v>100.388177055837</v>
      </c>
      <c r="V343">
        <v>5</v>
      </c>
      <c r="AF343" s="99" t="s">
        <v>272</v>
      </c>
      <c r="AH343">
        <v>1</v>
      </c>
      <c r="AI343">
        <v>0.997879594864605</v>
      </c>
      <c r="AJ343">
        <v>1.18950075332934</v>
      </c>
      <c r="AK343">
        <v>1.28031640877814</v>
      </c>
      <c r="AL343">
        <v>1.39550156259639</v>
      </c>
      <c r="AM343">
        <v>1.52644808091834</v>
      </c>
      <c r="AN343">
        <v>1.66315618331258</v>
      </c>
      <c r="AO343">
        <v>1.80282166535448</v>
      </c>
      <c r="AP343">
        <v>1.94568971195739</v>
      </c>
      <c r="AQ343">
        <v>2.08969585569535</v>
      </c>
      <c r="AR343">
        <v>2.22772084678191</v>
      </c>
      <c r="AS343">
        <v>2.34984070822368</v>
      </c>
      <c r="AT343">
        <v>2.45755268861725</v>
      </c>
      <c r="AU343">
        <v>2.55464277760526</v>
      </c>
      <c r="AV343">
        <v>2.64490271543598</v>
      </c>
      <c r="AW343">
        <v>2.7285614807705</v>
      </c>
      <c r="AX343">
        <v>2.8022675160834</v>
      </c>
      <c r="AY343">
        <v>2.86060061416468</v>
      </c>
      <c r="AZ343">
        <v>0</v>
      </c>
      <c r="BA343">
        <v>0</v>
      </c>
      <c r="BB343">
        <v>0</v>
      </c>
      <c r="BC343">
        <v>0</v>
      </c>
      <c r="BD343">
        <v>0</v>
      </c>
      <c r="BE343">
        <v>0</v>
      </c>
      <c r="BF343">
        <v>0</v>
      </c>
      <c r="BG343">
        <v>0</v>
      </c>
      <c r="BI343" t="s">
        <v>287</v>
      </c>
      <c r="BK343">
        <v>0.8</v>
      </c>
      <c r="BL343">
        <v>0.797560975609756</v>
      </c>
      <c r="BM343">
        <v>0.785365853658536</v>
      </c>
      <c r="BN343">
        <v>0.773170731707317</v>
      </c>
      <c r="BO343">
        <v>0.760975609756097</v>
      </c>
      <c r="BP343">
        <v>0.748780487804878</v>
      </c>
      <c r="BQ343">
        <v>0.736585365853658</v>
      </c>
      <c r="BR343">
        <v>0.724390243902439</v>
      </c>
      <c r="BS343">
        <v>0.71219512195122</v>
      </c>
      <c r="BT343">
        <v>0.699999999999999</v>
      </c>
      <c r="BU343">
        <v>0.687499999999999</v>
      </c>
      <c r="BV343">
        <v>0.675</v>
      </c>
      <c r="BW343">
        <v>0.6625</v>
      </c>
      <c r="BX343">
        <v>0.649999999999999</v>
      </c>
      <c r="BY343">
        <v>0.637499999999999</v>
      </c>
      <c r="BZ343">
        <v>0.625</v>
      </c>
      <c r="CA343">
        <v>0.6125</v>
      </c>
      <c r="CB343">
        <v>0.6</v>
      </c>
      <c r="CC343" t="e">
        <v>#VALUE!</v>
      </c>
      <c r="CD343" t="e">
        <v>#VALUE!</v>
      </c>
      <c r="CE343" t="e">
        <v>#VALUE!</v>
      </c>
      <c r="CF343" t="e">
        <v>#VALUE!</v>
      </c>
      <c r="CG343" t="e">
        <v>#VALUE!</v>
      </c>
      <c r="CH343" t="e">
        <v>#VALUE!</v>
      </c>
      <c r="CI343" t="e">
        <v>#VALUE!</v>
      </c>
      <c r="CJ343" t="e">
        <v>#VALUE!</v>
      </c>
    </row>
    <row r="344" spans="1:88">
      <c r="A344" t="s">
        <v>32</v>
      </c>
      <c r="B344" t="s">
        <v>279</v>
      </c>
      <c r="C344" t="s">
        <v>279</v>
      </c>
      <c r="D344">
        <v>337.7253247344</v>
      </c>
      <c r="E344">
        <v>337.154179744827</v>
      </c>
      <c r="F344">
        <v>388.001243901922</v>
      </c>
      <c r="G344">
        <v>410.90488468888</v>
      </c>
      <c r="H344">
        <v>439.036277589756</v>
      </c>
      <c r="I344">
        <v>469.88367686296</v>
      </c>
      <c r="J344">
        <v>500.881105048577</v>
      </c>
      <c r="K344">
        <v>531.350462192786</v>
      </c>
      <c r="L344">
        <v>561.339490602995</v>
      </c>
      <c r="M344">
        <v>590.421946254041</v>
      </c>
      <c r="N344">
        <v>617.232750447032</v>
      </c>
      <c r="O344">
        <v>640.071812710058</v>
      </c>
      <c r="P344">
        <v>659.509302248661</v>
      </c>
      <c r="Q344">
        <v>676.445126713873</v>
      </c>
      <c r="R344">
        <v>691.681359919032</v>
      </c>
      <c r="S344">
        <v>705.35511629153</v>
      </c>
      <c r="T344">
        <v>717.025448554151</v>
      </c>
      <c r="U344">
        <v>725.980978083839</v>
      </c>
      <c r="V344">
        <v>5</v>
      </c>
      <c r="AF344" s="99" t="s">
        <v>272</v>
      </c>
      <c r="AH344">
        <v>1</v>
      </c>
      <c r="AI344">
        <v>0.997879594864605</v>
      </c>
      <c r="AJ344">
        <v>1.18950075332934</v>
      </c>
      <c r="AK344">
        <v>1.28031640877814</v>
      </c>
      <c r="AL344">
        <v>1.39550156259639</v>
      </c>
      <c r="AM344">
        <v>1.52644808091834</v>
      </c>
      <c r="AN344">
        <v>1.66315618331258</v>
      </c>
      <c r="AO344">
        <v>1.80282166535448</v>
      </c>
      <c r="AP344">
        <v>1.94568971195739</v>
      </c>
      <c r="AQ344">
        <v>2.08969585569535</v>
      </c>
      <c r="AR344">
        <v>2.22772084678191</v>
      </c>
      <c r="AS344">
        <v>2.34984070822368</v>
      </c>
      <c r="AT344">
        <v>2.45755268861725</v>
      </c>
      <c r="AU344">
        <v>2.55464277760526</v>
      </c>
      <c r="AV344">
        <v>2.64490271543598</v>
      </c>
      <c r="AW344">
        <v>2.7285614807705</v>
      </c>
      <c r="AX344">
        <v>2.8022675160834</v>
      </c>
      <c r="AY344">
        <v>2.86060061416468</v>
      </c>
      <c r="AZ344">
        <v>0</v>
      </c>
      <c r="BA344">
        <v>0</v>
      </c>
      <c r="BB344">
        <v>0</v>
      </c>
      <c r="BC344">
        <v>0</v>
      </c>
      <c r="BD344">
        <v>0</v>
      </c>
      <c r="BE344">
        <v>0</v>
      </c>
      <c r="BF344">
        <v>0</v>
      </c>
      <c r="BG344">
        <v>0</v>
      </c>
      <c r="BI344" t="s">
        <v>287</v>
      </c>
      <c r="BK344">
        <v>0.8</v>
      </c>
      <c r="BL344">
        <v>0.797560975609756</v>
      </c>
      <c r="BM344">
        <v>0.785365853658536</v>
      </c>
      <c r="BN344">
        <v>0.773170731707317</v>
      </c>
      <c r="BO344">
        <v>0.760975609756097</v>
      </c>
      <c r="BP344">
        <v>0.748780487804878</v>
      </c>
      <c r="BQ344">
        <v>0.736585365853658</v>
      </c>
      <c r="BR344">
        <v>0.724390243902439</v>
      </c>
      <c r="BS344">
        <v>0.71219512195122</v>
      </c>
      <c r="BT344">
        <v>0.699999999999999</v>
      </c>
      <c r="BU344">
        <v>0.687499999999999</v>
      </c>
      <c r="BV344">
        <v>0.675</v>
      </c>
      <c r="BW344">
        <v>0.6625</v>
      </c>
      <c r="BX344">
        <v>0.649999999999999</v>
      </c>
      <c r="BY344">
        <v>0.637499999999999</v>
      </c>
      <c r="BZ344">
        <v>0.625</v>
      </c>
      <c r="CA344">
        <v>0.6125</v>
      </c>
      <c r="CB344">
        <v>0.6</v>
      </c>
      <c r="CC344" t="e">
        <v>#VALUE!</v>
      </c>
      <c r="CD344" t="e">
        <v>#VALUE!</v>
      </c>
      <c r="CE344" t="e">
        <v>#VALUE!</v>
      </c>
      <c r="CF344" t="e">
        <v>#VALUE!</v>
      </c>
      <c r="CG344" t="e">
        <v>#VALUE!</v>
      </c>
      <c r="CH344" t="e">
        <v>#VALUE!</v>
      </c>
      <c r="CI344" t="e">
        <v>#VALUE!</v>
      </c>
      <c r="CJ344" t="e">
        <v>#VALUE!</v>
      </c>
    </row>
    <row r="345" spans="1:88">
      <c r="A345" t="s">
        <v>32</v>
      </c>
      <c r="B345" t="s">
        <v>280</v>
      </c>
      <c r="C345" t="s">
        <v>280</v>
      </c>
      <c r="D345">
        <v>1.3</v>
      </c>
      <c r="E345">
        <v>1.30059658638924</v>
      </c>
      <c r="F345">
        <v>1.30353356580575</v>
      </c>
      <c r="G345">
        <v>1.3050849312225</v>
      </c>
      <c r="H345">
        <v>1.30793964179368</v>
      </c>
      <c r="I345">
        <v>1.31244214489906</v>
      </c>
      <c r="J345">
        <v>1.31808545163749</v>
      </c>
      <c r="K345">
        <v>1.3245757133794</v>
      </c>
      <c r="L345">
        <v>1.32680869914922</v>
      </c>
      <c r="M345">
        <v>1.32488868048523</v>
      </c>
      <c r="N345">
        <v>1.31876777821331</v>
      </c>
      <c r="O345">
        <v>1.31064124977396</v>
      </c>
      <c r="P345">
        <v>1.30247373381161</v>
      </c>
      <c r="Q345">
        <v>1.29589685524435</v>
      </c>
      <c r="R345">
        <v>1.29098844181308</v>
      </c>
      <c r="S345">
        <v>1.28597217639472</v>
      </c>
      <c r="T345">
        <v>1.27893959304243</v>
      </c>
      <c r="U345">
        <v>1.26896666485484</v>
      </c>
      <c r="V345">
        <v>5</v>
      </c>
      <c r="AF345" s="99" t="s">
        <v>277</v>
      </c>
      <c r="AH345">
        <v>1</v>
      </c>
      <c r="AI345">
        <v>1.00057539501197</v>
      </c>
      <c r="AJ345">
        <v>1.00345237007185</v>
      </c>
      <c r="AK345">
        <v>1.00499696016419</v>
      </c>
      <c r="AL345">
        <v>1.00788575912277</v>
      </c>
      <c r="AM345">
        <v>1.01251940786193</v>
      </c>
      <c r="AN345">
        <v>1.01843003766146</v>
      </c>
      <c r="AO345">
        <v>1.02535276541024</v>
      </c>
      <c r="AP345">
        <v>1.02777984199243</v>
      </c>
      <c r="AQ345">
        <v>1.02565513427365</v>
      </c>
      <c r="AR345">
        <v>1.01876282571803</v>
      </c>
      <c r="AS345">
        <v>1.00946233103805</v>
      </c>
      <c r="AT345">
        <v>0.999966993786428</v>
      </c>
      <c r="AU345">
        <v>0.992198744423495</v>
      </c>
      <c r="AV345">
        <v>0.986303671471603</v>
      </c>
      <c r="AW345">
        <v>0.98017186010727</v>
      </c>
      <c r="AX345">
        <v>0.971420421446115</v>
      </c>
      <c r="AY345">
        <v>0.958795501348584</v>
      </c>
      <c r="AZ345">
        <v>0</v>
      </c>
      <c r="BA345">
        <v>0</v>
      </c>
      <c r="BB345">
        <v>0</v>
      </c>
      <c r="BC345">
        <v>0</v>
      </c>
      <c r="BD345">
        <v>0</v>
      </c>
      <c r="BE345">
        <v>0</v>
      </c>
      <c r="BF345">
        <v>0</v>
      </c>
      <c r="BG345">
        <v>0</v>
      </c>
      <c r="BI345" t="s">
        <v>287</v>
      </c>
      <c r="BK345">
        <v>0.8</v>
      </c>
      <c r="BL345">
        <v>0.797560975609756</v>
      </c>
      <c r="BM345">
        <v>0.785365853658536</v>
      </c>
      <c r="BN345">
        <v>0.773170731707317</v>
      </c>
      <c r="BO345">
        <v>0.760975609756097</v>
      </c>
      <c r="BP345">
        <v>0.748780487804878</v>
      </c>
      <c r="BQ345">
        <v>0.736585365853658</v>
      </c>
      <c r="BR345">
        <v>0.724390243902439</v>
      </c>
      <c r="BS345">
        <v>0.71219512195122</v>
      </c>
      <c r="BT345">
        <v>0.699999999999999</v>
      </c>
      <c r="BU345">
        <v>0.687499999999999</v>
      </c>
      <c r="BV345">
        <v>0.675</v>
      </c>
      <c r="BW345">
        <v>0.6625</v>
      </c>
      <c r="BX345">
        <v>0.649999999999999</v>
      </c>
      <c r="BY345">
        <v>0.637499999999999</v>
      </c>
      <c r="BZ345">
        <v>0.625</v>
      </c>
      <c r="CA345">
        <v>0.6125</v>
      </c>
      <c r="CB345">
        <v>0.6</v>
      </c>
      <c r="CC345" t="e">
        <v>#VALUE!</v>
      </c>
      <c r="CD345" t="e">
        <v>#VALUE!</v>
      </c>
      <c r="CE345" t="e">
        <v>#VALUE!</v>
      </c>
      <c r="CF345" t="e">
        <v>#VALUE!</v>
      </c>
      <c r="CG345" t="e">
        <v>#VALUE!</v>
      </c>
      <c r="CH345" t="e">
        <v>#VALUE!</v>
      </c>
      <c r="CI345" t="e">
        <v>#VALUE!</v>
      </c>
      <c r="CJ345" t="e">
        <v>#VALUE!</v>
      </c>
    </row>
    <row r="346" spans="1:88">
      <c r="A346" t="s">
        <v>32</v>
      </c>
      <c r="B346" t="s">
        <v>281</v>
      </c>
      <c r="C346" t="s">
        <v>281</v>
      </c>
      <c r="D346">
        <v>0.78</v>
      </c>
      <c r="E346">
        <v>0.780357951833544</v>
      </c>
      <c r="F346">
        <v>0.782120139483452</v>
      </c>
      <c r="G346">
        <v>0.783050958733501</v>
      </c>
      <c r="H346">
        <v>0.784763785076207</v>
      </c>
      <c r="I346">
        <v>0.787465286939439</v>
      </c>
      <c r="J346">
        <v>0.790851270982497</v>
      </c>
      <c r="K346">
        <v>0.794745428027642</v>
      </c>
      <c r="L346">
        <v>0.79608521948953</v>
      </c>
      <c r="M346">
        <v>0.794933208291136</v>
      </c>
      <c r="N346">
        <v>0.791260666927985</v>
      </c>
      <c r="O346">
        <v>0.786384749864377</v>
      </c>
      <c r="P346">
        <v>0.781484240286964</v>
      </c>
      <c r="Q346">
        <v>0.77753811314661</v>
      </c>
      <c r="R346">
        <v>0.774593065087848</v>
      </c>
      <c r="S346">
        <v>0.77158330583683</v>
      </c>
      <c r="T346">
        <v>0.767363755825456</v>
      </c>
      <c r="U346">
        <v>0.761379998912904</v>
      </c>
      <c r="V346">
        <v>5</v>
      </c>
      <c r="AF346" s="99" t="s">
        <v>277</v>
      </c>
      <c r="AH346">
        <v>1</v>
      </c>
      <c r="AI346">
        <v>1.00057539501197</v>
      </c>
      <c r="AJ346">
        <v>1.00345237007185</v>
      </c>
      <c r="AK346">
        <v>1.00499696016419</v>
      </c>
      <c r="AL346">
        <v>1.00788575912277</v>
      </c>
      <c r="AM346">
        <v>1.01251940786193</v>
      </c>
      <c r="AN346">
        <v>1.01843003766146</v>
      </c>
      <c r="AO346">
        <v>1.02535276541024</v>
      </c>
      <c r="AP346">
        <v>1.02777984199243</v>
      </c>
      <c r="AQ346">
        <v>1.02565513427365</v>
      </c>
      <c r="AR346">
        <v>1.01876282571803</v>
      </c>
      <c r="AS346">
        <v>1.00946233103805</v>
      </c>
      <c r="AT346">
        <v>0.999966993786428</v>
      </c>
      <c r="AU346">
        <v>0.992198744423495</v>
      </c>
      <c r="AV346">
        <v>0.986303671471603</v>
      </c>
      <c r="AW346">
        <v>0.98017186010727</v>
      </c>
      <c r="AX346">
        <v>0.971420421446115</v>
      </c>
      <c r="AY346">
        <v>0.958795501348584</v>
      </c>
      <c r="AZ346">
        <v>0</v>
      </c>
      <c r="BA346">
        <v>0</v>
      </c>
      <c r="BB346">
        <v>0</v>
      </c>
      <c r="BC346">
        <v>0</v>
      </c>
      <c r="BD346">
        <v>0</v>
      </c>
      <c r="BE346">
        <v>0</v>
      </c>
      <c r="BF346">
        <v>0</v>
      </c>
      <c r="BG346">
        <v>0</v>
      </c>
      <c r="BI346" t="s">
        <v>287</v>
      </c>
      <c r="BK346">
        <v>0.8</v>
      </c>
      <c r="BL346">
        <v>0.797560975609756</v>
      </c>
      <c r="BM346">
        <v>0.785365853658536</v>
      </c>
      <c r="BN346">
        <v>0.773170731707317</v>
      </c>
      <c r="BO346">
        <v>0.760975609756097</v>
      </c>
      <c r="BP346">
        <v>0.748780487804878</v>
      </c>
      <c r="BQ346">
        <v>0.736585365853658</v>
      </c>
      <c r="BR346">
        <v>0.724390243902439</v>
      </c>
      <c r="BS346">
        <v>0.71219512195122</v>
      </c>
      <c r="BT346">
        <v>0.699999999999999</v>
      </c>
      <c r="BU346">
        <v>0.687499999999999</v>
      </c>
      <c r="BV346">
        <v>0.675</v>
      </c>
      <c r="BW346">
        <v>0.6625</v>
      </c>
      <c r="BX346">
        <v>0.649999999999999</v>
      </c>
      <c r="BY346">
        <v>0.637499999999999</v>
      </c>
      <c r="BZ346">
        <v>0.625</v>
      </c>
      <c r="CA346">
        <v>0.6125</v>
      </c>
      <c r="CB346">
        <v>0.6</v>
      </c>
      <c r="CC346" t="e">
        <v>#VALUE!</v>
      </c>
      <c r="CD346" t="e">
        <v>#VALUE!</v>
      </c>
      <c r="CE346" t="e">
        <v>#VALUE!</v>
      </c>
      <c r="CF346" t="e">
        <v>#VALUE!</v>
      </c>
      <c r="CG346" t="e">
        <v>#VALUE!</v>
      </c>
      <c r="CH346" t="e">
        <v>#VALUE!</v>
      </c>
      <c r="CI346" t="e">
        <v>#VALUE!</v>
      </c>
      <c r="CJ346" t="e">
        <v>#VALUE!</v>
      </c>
    </row>
    <row r="347" spans="1:88">
      <c r="A347" t="s">
        <v>32</v>
      </c>
      <c r="B347" t="s">
        <v>282</v>
      </c>
      <c r="C347" t="s">
        <v>282</v>
      </c>
      <c r="D347">
        <v>3.5</v>
      </c>
      <c r="E347">
        <v>3.50160619412488</v>
      </c>
      <c r="F347">
        <v>3.50951344640011</v>
      </c>
      <c r="G347">
        <v>3.5136901994452</v>
      </c>
      <c r="H347">
        <v>3.52137595867529</v>
      </c>
      <c r="I347">
        <v>3.53349808242056</v>
      </c>
      <c r="J347">
        <v>3.54869160056248</v>
      </c>
      <c r="K347">
        <v>3.56616538217531</v>
      </c>
      <c r="L347">
        <v>3.5721772669402</v>
      </c>
      <c r="M347">
        <v>3.56700798592176</v>
      </c>
      <c r="N347">
        <v>3.55052863365121</v>
      </c>
      <c r="O347">
        <v>3.5286495186222</v>
      </c>
      <c r="P347">
        <v>3.50666005256971</v>
      </c>
      <c r="Q347">
        <v>3.48895307181171</v>
      </c>
      <c r="R347">
        <v>3.47573811257368</v>
      </c>
      <c r="S347">
        <v>3.46223278260116</v>
      </c>
      <c r="T347">
        <v>3.443298904345</v>
      </c>
      <c r="U347">
        <v>3.41644871307072</v>
      </c>
      <c r="V347">
        <v>5</v>
      </c>
      <c r="AF347" s="99" t="s">
        <v>277</v>
      </c>
      <c r="AH347">
        <v>1</v>
      </c>
      <c r="AI347">
        <v>1.00057539501197</v>
      </c>
      <c r="AJ347">
        <v>1.00345237007185</v>
      </c>
      <c r="AK347">
        <v>1.00499696016419</v>
      </c>
      <c r="AL347">
        <v>1.00788575912277</v>
      </c>
      <c r="AM347">
        <v>1.01251940786193</v>
      </c>
      <c r="AN347">
        <v>1.01843003766146</v>
      </c>
      <c r="AO347">
        <v>1.02535276541024</v>
      </c>
      <c r="AP347">
        <v>1.02777984199243</v>
      </c>
      <c r="AQ347">
        <v>1.02565513427365</v>
      </c>
      <c r="AR347">
        <v>1.01876282571803</v>
      </c>
      <c r="AS347">
        <v>1.00946233103805</v>
      </c>
      <c r="AT347">
        <v>0.999966993786428</v>
      </c>
      <c r="AU347">
        <v>0.992198744423495</v>
      </c>
      <c r="AV347">
        <v>0.986303671471603</v>
      </c>
      <c r="AW347">
        <v>0.98017186010727</v>
      </c>
      <c r="AX347">
        <v>0.971420421446115</v>
      </c>
      <c r="AY347">
        <v>0.958795501348584</v>
      </c>
      <c r="AZ347">
        <v>0</v>
      </c>
      <c r="BA347">
        <v>0</v>
      </c>
      <c r="BB347">
        <v>0</v>
      </c>
      <c r="BC347">
        <v>0</v>
      </c>
      <c r="BD347">
        <v>0</v>
      </c>
      <c r="BE347">
        <v>0</v>
      </c>
      <c r="BF347">
        <v>0</v>
      </c>
      <c r="BG347">
        <v>0</v>
      </c>
      <c r="BI347" t="s">
        <v>287</v>
      </c>
      <c r="BK347">
        <v>0.8</v>
      </c>
      <c r="BL347">
        <v>0.797560975609756</v>
      </c>
      <c r="BM347">
        <v>0.785365853658536</v>
      </c>
      <c r="BN347">
        <v>0.773170731707317</v>
      </c>
      <c r="BO347">
        <v>0.760975609756097</v>
      </c>
      <c r="BP347">
        <v>0.748780487804878</v>
      </c>
      <c r="BQ347">
        <v>0.736585365853658</v>
      </c>
      <c r="BR347">
        <v>0.724390243902439</v>
      </c>
      <c r="BS347">
        <v>0.71219512195122</v>
      </c>
      <c r="BT347">
        <v>0.699999999999999</v>
      </c>
      <c r="BU347">
        <v>0.687499999999999</v>
      </c>
      <c r="BV347">
        <v>0.675</v>
      </c>
      <c r="BW347">
        <v>0.6625</v>
      </c>
      <c r="BX347">
        <v>0.649999999999999</v>
      </c>
      <c r="BY347">
        <v>0.637499999999999</v>
      </c>
      <c r="BZ347">
        <v>0.625</v>
      </c>
      <c r="CA347">
        <v>0.6125</v>
      </c>
      <c r="CB347">
        <v>0.6</v>
      </c>
      <c r="CC347" t="e">
        <v>#VALUE!</v>
      </c>
      <c r="CD347" t="e">
        <v>#VALUE!</v>
      </c>
      <c r="CE347" t="e">
        <v>#VALUE!</v>
      </c>
      <c r="CF347" t="e">
        <v>#VALUE!</v>
      </c>
      <c r="CG347" t="e">
        <v>#VALUE!</v>
      </c>
      <c r="CH347" t="e">
        <v>#VALUE!</v>
      </c>
      <c r="CI347" t="e">
        <v>#VALUE!</v>
      </c>
      <c r="CJ347" t="e">
        <v>#VALUE!</v>
      </c>
    </row>
    <row r="348" spans="1:88">
      <c r="A348" t="s">
        <v>32</v>
      </c>
      <c r="B348" t="s">
        <v>283</v>
      </c>
      <c r="C348" t="s">
        <v>283</v>
      </c>
      <c r="D348">
        <v>247.788</v>
      </c>
      <c r="E348">
        <v>247.255546066212</v>
      </c>
      <c r="F348">
        <v>283.881115241011</v>
      </c>
      <c r="G348">
        <v>300.275475407278</v>
      </c>
      <c r="H348">
        <v>320.119097206353</v>
      </c>
      <c r="I348">
        <v>341.411303655968</v>
      </c>
      <c r="J348">
        <v>362.343417344013</v>
      </c>
      <c r="K348">
        <v>382.464364274469</v>
      </c>
      <c r="L348">
        <v>403.356155785293</v>
      </c>
      <c r="M348">
        <v>424.88184218882</v>
      </c>
      <c r="N348">
        <v>446.282278467291</v>
      </c>
      <c r="O348">
        <v>465.723339590649</v>
      </c>
      <c r="P348">
        <v>482.930372910929</v>
      </c>
      <c r="Q348">
        <v>497.886508345663</v>
      </c>
      <c r="R348">
        <v>511.065014321247</v>
      </c>
      <c r="S348">
        <v>523.229611628041</v>
      </c>
      <c r="T348">
        <v>534.851766264126</v>
      </c>
      <c r="U348">
        <v>545.84552789317</v>
      </c>
      <c r="V348">
        <v>5</v>
      </c>
      <c r="AF348" s="99" t="s">
        <v>284</v>
      </c>
      <c r="AH348">
        <v>1</v>
      </c>
      <c r="AI348">
        <v>0.997305750110579</v>
      </c>
      <c r="AJ348">
        <v>1.18540828524245</v>
      </c>
      <c r="AK348">
        <v>1.27395052873491</v>
      </c>
      <c r="AL348">
        <v>1.38458307398944</v>
      </c>
      <c r="AM348">
        <v>1.50757414531109</v>
      </c>
      <c r="AN348">
        <v>1.6330588472543</v>
      </c>
      <c r="AO348">
        <v>1.7582452851075</v>
      </c>
      <c r="AP348">
        <v>1.89309970137722</v>
      </c>
      <c r="AQ348">
        <v>2.03742543264821</v>
      </c>
      <c r="AR348">
        <v>2.18669231988497</v>
      </c>
      <c r="AS348">
        <v>2.32781416004627</v>
      </c>
      <c r="AT348">
        <v>2.45763380580353</v>
      </c>
      <c r="AU348">
        <v>2.57472889576131</v>
      </c>
      <c r="AV348">
        <v>2.68163121758402</v>
      </c>
      <c r="AW348">
        <v>2.78375822834976</v>
      </c>
      <c r="AX348">
        <v>2.88471135073708</v>
      </c>
      <c r="AY348">
        <v>2.98353570718796</v>
      </c>
      <c r="AZ348">
        <v>0</v>
      </c>
      <c r="BA348">
        <v>0</v>
      </c>
      <c r="BB348">
        <v>0</v>
      </c>
      <c r="BC348">
        <v>0</v>
      </c>
      <c r="BD348">
        <v>0</v>
      </c>
      <c r="BE348">
        <v>0</v>
      </c>
      <c r="BF348">
        <v>0</v>
      </c>
      <c r="BG348">
        <v>0</v>
      </c>
      <c r="BI348" t="s">
        <v>287</v>
      </c>
      <c r="BK348">
        <v>0.8</v>
      </c>
      <c r="BL348">
        <v>0.797560975609756</v>
      </c>
      <c r="BM348">
        <v>0.785365853658536</v>
      </c>
      <c r="BN348">
        <v>0.773170731707317</v>
      </c>
      <c r="BO348">
        <v>0.760975609756097</v>
      </c>
      <c r="BP348">
        <v>0.748780487804878</v>
      </c>
      <c r="BQ348">
        <v>0.736585365853658</v>
      </c>
      <c r="BR348">
        <v>0.724390243902439</v>
      </c>
      <c r="BS348">
        <v>0.71219512195122</v>
      </c>
      <c r="BT348">
        <v>0.699999999999999</v>
      </c>
      <c r="BU348">
        <v>0.687499999999999</v>
      </c>
      <c r="BV348">
        <v>0.675</v>
      </c>
      <c r="BW348">
        <v>0.6625</v>
      </c>
      <c r="BX348">
        <v>0.649999999999999</v>
      </c>
      <c r="BY348">
        <v>0.637499999999999</v>
      </c>
      <c r="BZ348">
        <v>0.625</v>
      </c>
      <c r="CA348">
        <v>0.6125</v>
      </c>
      <c r="CB348">
        <v>0.6</v>
      </c>
      <c r="CC348" t="e">
        <v>#VALUE!</v>
      </c>
      <c r="CD348" t="e">
        <v>#VALUE!</v>
      </c>
      <c r="CE348" t="e">
        <v>#VALUE!</v>
      </c>
      <c r="CF348" t="e">
        <v>#VALUE!</v>
      </c>
      <c r="CG348" t="e">
        <v>#VALUE!</v>
      </c>
      <c r="CH348" t="e">
        <v>#VALUE!</v>
      </c>
      <c r="CI348" t="e">
        <v>#VALUE!</v>
      </c>
      <c r="CJ348" t="e">
        <v>#VALUE!</v>
      </c>
    </row>
    <row r="349" spans="1:88">
      <c r="A349" t="s">
        <v>32</v>
      </c>
      <c r="B349" t="s">
        <v>285</v>
      </c>
      <c r="C349" t="s">
        <v>285</v>
      </c>
      <c r="D349">
        <v>102.375</v>
      </c>
      <c r="E349">
        <v>102.20186827423</v>
      </c>
      <c r="F349">
        <v>117.615187358833</v>
      </c>
      <c r="G349">
        <v>124.557989849019</v>
      </c>
      <c r="H349">
        <v>133.085485826681</v>
      </c>
      <c r="I349">
        <v>142.436287408049</v>
      </c>
      <c r="J349">
        <v>151.832567396818</v>
      </c>
      <c r="K349">
        <v>161.068772706833</v>
      </c>
      <c r="L349">
        <v>170.159375509302</v>
      </c>
      <c r="M349">
        <v>178.975168046084</v>
      </c>
      <c r="N349">
        <v>187.102352708401</v>
      </c>
      <c r="O349">
        <v>194.025579448996</v>
      </c>
      <c r="P349">
        <v>199.917684203294</v>
      </c>
      <c r="Q349">
        <v>205.051456836393</v>
      </c>
      <c r="R349">
        <v>209.670030748802</v>
      </c>
      <c r="S349">
        <v>213.814969567753</v>
      </c>
      <c r="T349">
        <v>217.352608524279</v>
      </c>
      <c r="U349">
        <v>220.067306737458</v>
      </c>
      <c r="V349">
        <v>5</v>
      </c>
      <c r="AF349" s="99" t="s">
        <v>272</v>
      </c>
      <c r="AH349">
        <v>1</v>
      </c>
      <c r="AI349">
        <v>0.997879594864605</v>
      </c>
      <c r="AJ349">
        <v>1.18950075332934</v>
      </c>
      <c r="AK349">
        <v>1.28031640877814</v>
      </c>
      <c r="AL349">
        <v>1.39550156259639</v>
      </c>
      <c r="AM349">
        <v>1.52644808091834</v>
      </c>
      <c r="AN349">
        <v>1.66315618331258</v>
      </c>
      <c r="AO349">
        <v>1.80282166535448</v>
      </c>
      <c r="AP349">
        <v>1.94568971195739</v>
      </c>
      <c r="AQ349">
        <v>2.08969585569535</v>
      </c>
      <c r="AR349">
        <v>2.22772084678191</v>
      </c>
      <c r="AS349">
        <v>2.34984070822368</v>
      </c>
      <c r="AT349">
        <v>2.45755268861725</v>
      </c>
      <c r="AU349">
        <v>2.55464277760526</v>
      </c>
      <c r="AV349">
        <v>2.64490271543598</v>
      </c>
      <c r="AW349">
        <v>2.7285614807705</v>
      </c>
      <c r="AX349">
        <v>2.8022675160834</v>
      </c>
      <c r="AY349">
        <v>2.86060061416468</v>
      </c>
      <c r="AZ349">
        <v>0</v>
      </c>
      <c r="BA349">
        <v>0</v>
      </c>
      <c r="BB349">
        <v>0</v>
      </c>
      <c r="BC349">
        <v>0</v>
      </c>
      <c r="BD349">
        <v>0</v>
      </c>
      <c r="BE349">
        <v>0</v>
      </c>
      <c r="BF349">
        <v>0</v>
      </c>
      <c r="BG349">
        <v>0</v>
      </c>
      <c r="BI349" t="s">
        <v>287</v>
      </c>
      <c r="BK349">
        <v>0.8</v>
      </c>
      <c r="BL349">
        <v>0.797560975609756</v>
      </c>
      <c r="BM349">
        <v>0.785365853658536</v>
      </c>
      <c r="BN349">
        <v>0.773170731707317</v>
      </c>
      <c r="BO349">
        <v>0.760975609756097</v>
      </c>
      <c r="BP349">
        <v>0.748780487804878</v>
      </c>
      <c r="BQ349">
        <v>0.736585365853658</v>
      </c>
      <c r="BR349">
        <v>0.724390243902439</v>
      </c>
      <c r="BS349">
        <v>0.71219512195122</v>
      </c>
      <c r="BT349">
        <v>0.699999999999999</v>
      </c>
      <c r="BU349">
        <v>0.687499999999999</v>
      </c>
      <c r="BV349">
        <v>0.675</v>
      </c>
      <c r="BW349">
        <v>0.6625</v>
      </c>
      <c r="BX349">
        <v>0.649999999999999</v>
      </c>
      <c r="BY349">
        <v>0.637499999999999</v>
      </c>
      <c r="BZ349">
        <v>0.625</v>
      </c>
      <c r="CA349">
        <v>0.6125</v>
      </c>
      <c r="CB349">
        <v>0.6</v>
      </c>
      <c r="CC349" t="e">
        <v>#VALUE!</v>
      </c>
      <c r="CD349" t="e">
        <v>#VALUE!</v>
      </c>
      <c r="CE349" t="e">
        <v>#VALUE!</v>
      </c>
      <c r="CF349" t="e">
        <v>#VALUE!</v>
      </c>
      <c r="CG349" t="e">
        <v>#VALUE!</v>
      </c>
      <c r="CH349" t="e">
        <v>#VALUE!</v>
      </c>
      <c r="CI349" t="e">
        <v>#VALUE!</v>
      </c>
      <c r="CJ349" t="e">
        <v>#VALUE!</v>
      </c>
    </row>
    <row r="350" spans="1:88">
      <c r="A350" t="s">
        <v>32</v>
      </c>
      <c r="B350" t="s">
        <v>286</v>
      </c>
      <c r="C350" t="s">
        <v>286</v>
      </c>
      <c r="D350">
        <v>55.775</v>
      </c>
      <c r="E350">
        <v>55.6806759755329</v>
      </c>
      <c r="F350">
        <v>64.0780178260213</v>
      </c>
      <c r="G350">
        <v>67.8605312217734</v>
      </c>
      <c r="H350">
        <v>72.506402656734</v>
      </c>
      <c r="I350">
        <v>77.6008198308563</v>
      </c>
      <c r="J350">
        <v>82.7200141299881</v>
      </c>
      <c r="K350">
        <v>87.7519980241623</v>
      </c>
      <c r="L350">
        <v>92.7046561077538</v>
      </c>
      <c r="M350">
        <v>97.5075946058151</v>
      </c>
      <c r="N350">
        <v>101.935372134907</v>
      </c>
      <c r="O350">
        <v>105.707220451944</v>
      </c>
      <c r="P350">
        <v>108.917302431636</v>
      </c>
      <c r="Q350">
        <v>111.714236923564</v>
      </c>
      <c r="R350">
        <v>114.230485616747</v>
      </c>
      <c r="S350">
        <v>116.488692821895</v>
      </c>
      <c r="T350">
        <v>118.416036536671</v>
      </c>
      <c r="U350">
        <v>119.895033292129</v>
      </c>
      <c r="V350">
        <v>5</v>
      </c>
      <c r="AF350" s="99" t="s">
        <v>272</v>
      </c>
      <c r="AH350">
        <v>1</v>
      </c>
      <c r="AI350">
        <v>0.997879594864605</v>
      </c>
      <c r="AJ350">
        <v>1.18950075332934</v>
      </c>
      <c r="AK350">
        <v>1.28031640877814</v>
      </c>
      <c r="AL350">
        <v>1.39550156259639</v>
      </c>
      <c r="AM350">
        <v>1.52644808091834</v>
      </c>
      <c r="AN350">
        <v>1.66315618331258</v>
      </c>
      <c r="AO350">
        <v>1.80282166535448</v>
      </c>
      <c r="AP350">
        <v>1.94568971195739</v>
      </c>
      <c r="AQ350">
        <v>2.08969585569535</v>
      </c>
      <c r="AR350">
        <v>2.22772084678191</v>
      </c>
      <c r="AS350">
        <v>2.34984070822368</v>
      </c>
      <c r="AT350">
        <v>2.45755268861725</v>
      </c>
      <c r="AU350">
        <v>2.55464277760526</v>
      </c>
      <c r="AV350">
        <v>2.64490271543598</v>
      </c>
      <c r="AW350">
        <v>2.7285614807705</v>
      </c>
      <c r="AX350">
        <v>2.8022675160834</v>
      </c>
      <c r="AY350">
        <v>2.86060061416468</v>
      </c>
      <c r="AZ350">
        <v>0</v>
      </c>
      <c r="BA350">
        <v>0</v>
      </c>
      <c r="BB350">
        <v>0</v>
      </c>
      <c r="BC350">
        <v>0</v>
      </c>
      <c r="BD350">
        <v>0</v>
      </c>
      <c r="BE350">
        <v>0</v>
      </c>
      <c r="BF350">
        <v>0</v>
      </c>
      <c r="BG350">
        <v>0</v>
      </c>
      <c r="BI350" t="s">
        <v>287</v>
      </c>
      <c r="BK350">
        <v>0.8</v>
      </c>
      <c r="BL350">
        <v>0.797560975609756</v>
      </c>
      <c r="BM350">
        <v>0.785365853658536</v>
      </c>
      <c r="BN350">
        <v>0.773170731707317</v>
      </c>
      <c r="BO350">
        <v>0.760975609756097</v>
      </c>
      <c r="BP350">
        <v>0.748780487804878</v>
      </c>
      <c r="BQ350">
        <v>0.736585365853658</v>
      </c>
      <c r="BR350">
        <v>0.724390243902439</v>
      </c>
      <c r="BS350">
        <v>0.71219512195122</v>
      </c>
      <c r="BT350">
        <v>0.699999999999999</v>
      </c>
      <c r="BU350">
        <v>0.687499999999999</v>
      </c>
      <c r="BV350">
        <v>0.675</v>
      </c>
      <c r="BW350">
        <v>0.6625</v>
      </c>
      <c r="BX350">
        <v>0.649999999999999</v>
      </c>
      <c r="BY350">
        <v>0.637499999999999</v>
      </c>
      <c r="BZ350">
        <v>0.625</v>
      </c>
      <c r="CA350">
        <v>0.6125</v>
      </c>
      <c r="CB350">
        <v>0.6</v>
      </c>
      <c r="CC350" t="e">
        <v>#VALUE!</v>
      </c>
      <c r="CD350" t="e">
        <v>#VALUE!</v>
      </c>
      <c r="CE350" t="e">
        <v>#VALUE!</v>
      </c>
      <c r="CF350" t="e">
        <v>#VALUE!</v>
      </c>
      <c r="CG350" t="e">
        <v>#VALUE!</v>
      </c>
      <c r="CH350" t="e">
        <v>#VALUE!</v>
      </c>
      <c r="CI350" t="e">
        <v>#VALUE!</v>
      </c>
      <c r="CJ350" t="e">
        <v>#VALUE!</v>
      </c>
    </row>
    <row r="351" spans="1:88">
      <c r="A351" t="s">
        <v>33</v>
      </c>
      <c r="B351" t="s">
        <v>271</v>
      </c>
      <c r="C351" t="s">
        <v>271</v>
      </c>
      <c r="D351">
        <v>10.7713929204</v>
      </c>
      <c r="E351">
        <v>10.8787135219328</v>
      </c>
      <c r="F351">
        <v>11.882008354595</v>
      </c>
      <c r="G351">
        <v>12.8256474085285</v>
      </c>
      <c r="H351">
        <v>13.6118809196839</v>
      </c>
      <c r="I351">
        <v>14.3330902114621</v>
      </c>
      <c r="J351">
        <v>15.0310901874075</v>
      </c>
      <c r="K351">
        <v>15.7170192686984</v>
      </c>
      <c r="L351">
        <v>16.4022449425637</v>
      </c>
      <c r="M351">
        <v>17.1030590192861</v>
      </c>
      <c r="N351">
        <v>17.8147732318054</v>
      </c>
      <c r="O351">
        <v>18.4922119615554</v>
      </c>
      <c r="P351">
        <v>19.1184840471766</v>
      </c>
      <c r="Q351">
        <v>19.6896368394916</v>
      </c>
      <c r="R351">
        <v>20.2009431747793</v>
      </c>
      <c r="S351">
        <v>20.6554401184365</v>
      </c>
      <c r="T351">
        <v>21.0629681904731</v>
      </c>
      <c r="U351">
        <v>21.4255879064554</v>
      </c>
      <c r="V351">
        <v>5</v>
      </c>
      <c r="AF351" s="99" t="s">
        <v>272</v>
      </c>
      <c r="AH351">
        <v>1</v>
      </c>
      <c r="AI351">
        <v>1.01249244177222</v>
      </c>
      <c r="AJ351">
        <v>1.13138941807915</v>
      </c>
      <c r="AK351">
        <v>1.24760189562937</v>
      </c>
      <c r="AL351">
        <v>1.34810455246965</v>
      </c>
      <c r="AM351">
        <v>1.44349661274636</v>
      </c>
      <c r="AN351">
        <v>1.53893173984805</v>
      </c>
      <c r="AO351">
        <v>1.6358789910266</v>
      </c>
      <c r="AP351">
        <v>1.73602084357765</v>
      </c>
      <c r="AQ351">
        <v>1.84198437382463</v>
      </c>
      <c r="AR351">
        <v>1.95347672735771</v>
      </c>
      <c r="AS351">
        <v>2.063527777815</v>
      </c>
      <c r="AT351">
        <v>2.1690147018656</v>
      </c>
      <c r="AU351">
        <v>2.26870387423415</v>
      </c>
      <c r="AV351">
        <v>2.36111858134433</v>
      </c>
      <c r="AW351">
        <v>2.44611431007233</v>
      </c>
      <c r="AX351">
        <v>2.52490841600409</v>
      </c>
      <c r="AY351">
        <v>2.5973563860158</v>
      </c>
      <c r="AZ351">
        <v>0</v>
      </c>
      <c r="BA351">
        <v>0</v>
      </c>
      <c r="BB351">
        <v>0</v>
      </c>
      <c r="BC351">
        <v>0</v>
      </c>
      <c r="BD351">
        <v>0</v>
      </c>
      <c r="BE351">
        <v>0</v>
      </c>
      <c r="BF351">
        <v>0</v>
      </c>
      <c r="BG351">
        <v>0</v>
      </c>
      <c r="BI351" t="s">
        <v>287</v>
      </c>
      <c r="BK351">
        <v>0.8</v>
      </c>
      <c r="BL351">
        <v>0.797560975609756</v>
      </c>
      <c r="BM351">
        <v>0.785365853658536</v>
      </c>
      <c r="BN351">
        <v>0.773170731707317</v>
      </c>
      <c r="BO351">
        <v>0.760975609756097</v>
      </c>
      <c r="BP351">
        <v>0.748780487804878</v>
      </c>
      <c r="BQ351">
        <v>0.736585365853658</v>
      </c>
      <c r="BR351">
        <v>0.724390243902439</v>
      </c>
      <c r="BS351">
        <v>0.71219512195122</v>
      </c>
      <c r="BT351">
        <v>0.699999999999999</v>
      </c>
      <c r="BU351">
        <v>0.687499999999999</v>
      </c>
      <c r="BV351">
        <v>0.675</v>
      </c>
      <c r="BW351">
        <v>0.6625</v>
      </c>
      <c r="BX351">
        <v>0.649999999999999</v>
      </c>
      <c r="BY351">
        <v>0.637499999999999</v>
      </c>
      <c r="BZ351">
        <v>0.625</v>
      </c>
      <c r="CA351">
        <v>0.6125</v>
      </c>
      <c r="CB351">
        <v>0.6</v>
      </c>
      <c r="CC351" t="e">
        <v>#VALUE!</v>
      </c>
      <c r="CD351" t="e">
        <v>#VALUE!</v>
      </c>
      <c r="CE351" t="e">
        <v>#VALUE!</v>
      </c>
      <c r="CF351" t="e">
        <v>#VALUE!</v>
      </c>
      <c r="CG351" t="e">
        <v>#VALUE!</v>
      </c>
      <c r="CH351" t="e">
        <v>#VALUE!</v>
      </c>
      <c r="CI351" t="e">
        <v>#VALUE!</v>
      </c>
      <c r="CJ351" t="e">
        <v>#VALUE!</v>
      </c>
    </row>
    <row r="352" spans="1:88">
      <c r="A352" t="s">
        <v>33</v>
      </c>
      <c r="B352" t="s">
        <v>274</v>
      </c>
      <c r="C352" t="s">
        <v>274</v>
      </c>
      <c r="D352">
        <v>115.4657935908</v>
      </c>
      <c r="E352">
        <v>116.616235183285</v>
      </c>
      <c r="F352">
        <v>127.371226196517</v>
      </c>
      <c r="G352">
        <v>137.486726859327</v>
      </c>
      <c r="H352">
        <v>145.914891812934</v>
      </c>
      <c r="I352">
        <v>153.646018495957</v>
      </c>
      <c r="J352">
        <v>161.128348937757</v>
      </c>
      <c r="K352">
        <v>168.481283354276</v>
      </c>
      <c r="L352">
        <v>175.82667747427</v>
      </c>
      <c r="M352">
        <v>183.339174151938</v>
      </c>
      <c r="N352">
        <v>190.968516704538</v>
      </c>
      <c r="O352">
        <v>198.230437341709</v>
      </c>
      <c r="P352">
        <v>204.9438683626</v>
      </c>
      <c r="Q352">
        <v>211.066438666516</v>
      </c>
      <c r="R352">
        <v>216.54747461129</v>
      </c>
      <c r="S352">
        <v>221.419532540268</v>
      </c>
      <c r="T352">
        <v>225.788099595242</v>
      </c>
      <c r="U352">
        <v>229.67526382618</v>
      </c>
      <c r="V352">
        <v>5</v>
      </c>
      <c r="AF352" s="99" t="s">
        <v>272</v>
      </c>
      <c r="AH352">
        <v>1</v>
      </c>
      <c r="AI352">
        <v>1.01249244177222</v>
      </c>
      <c r="AJ352">
        <v>1.13138941807915</v>
      </c>
      <c r="AK352">
        <v>1.24760189562937</v>
      </c>
      <c r="AL352">
        <v>1.34810455246965</v>
      </c>
      <c r="AM352">
        <v>1.44349661274636</v>
      </c>
      <c r="AN352">
        <v>1.53893173984805</v>
      </c>
      <c r="AO352">
        <v>1.6358789910266</v>
      </c>
      <c r="AP352">
        <v>1.73602084357765</v>
      </c>
      <c r="AQ352">
        <v>1.84198437382463</v>
      </c>
      <c r="AR352">
        <v>1.95347672735771</v>
      </c>
      <c r="AS352">
        <v>2.063527777815</v>
      </c>
      <c r="AT352">
        <v>2.1690147018656</v>
      </c>
      <c r="AU352">
        <v>2.26870387423415</v>
      </c>
      <c r="AV352">
        <v>2.36111858134433</v>
      </c>
      <c r="AW352">
        <v>2.44611431007233</v>
      </c>
      <c r="AX352">
        <v>2.52490841600409</v>
      </c>
      <c r="AY352">
        <v>2.5973563860158</v>
      </c>
      <c r="AZ352">
        <v>0</v>
      </c>
      <c r="BA352">
        <v>0</v>
      </c>
      <c r="BB352">
        <v>0</v>
      </c>
      <c r="BC352">
        <v>0</v>
      </c>
      <c r="BD352">
        <v>0</v>
      </c>
      <c r="BE352">
        <v>0</v>
      </c>
      <c r="BF352">
        <v>0</v>
      </c>
      <c r="BG352">
        <v>0</v>
      </c>
      <c r="BI352" t="s">
        <v>287</v>
      </c>
      <c r="BK352">
        <v>0.8</v>
      </c>
      <c r="BL352">
        <v>0.797560975609756</v>
      </c>
      <c r="BM352">
        <v>0.785365853658536</v>
      </c>
      <c r="BN352">
        <v>0.773170731707317</v>
      </c>
      <c r="BO352">
        <v>0.760975609756097</v>
      </c>
      <c r="BP352">
        <v>0.748780487804878</v>
      </c>
      <c r="BQ352">
        <v>0.736585365853658</v>
      </c>
      <c r="BR352">
        <v>0.724390243902439</v>
      </c>
      <c r="BS352">
        <v>0.71219512195122</v>
      </c>
      <c r="BT352">
        <v>0.699999999999999</v>
      </c>
      <c r="BU352">
        <v>0.687499999999999</v>
      </c>
      <c r="BV352">
        <v>0.675</v>
      </c>
      <c r="BW352">
        <v>0.6625</v>
      </c>
      <c r="BX352">
        <v>0.649999999999999</v>
      </c>
      <c r="BY352">
        <v>0.637499999999999</v>
      </c>
      <c r="BZ352">
        <v>0.625</v>
      </c>
      <c r="CA352">
        <v>0.6125</v>
      </c>
      <c r="CB352">
        <v>0.6</v>
      </c>
      <c r="CC352" t="e">
        <v>#VALUE!</v>
      </c>
      <c r="CD352" t="e">
        <v>#VALUE!</v>
      </c>
      <c r="CE352" t="e">
        <v>#VALUE!</v>
      </c>
      <c r="CF352" t="e">
        <v>#VALUE!</v>
      </c>
      <c r="CG352" t="e">
        <v>#VALUE!</v>
      </c>
      <c r="CH352" t="e">
        <v>#VALUE!</v>
      </c>
      <c r="CI352" t="e">
        <v>#VALUE!</v>
      </c>
      <c r="CJ352" t="e">
        <v>#VALUE!</v>
      </c>
    </row>
    <row r="353" spans="1:88">
      <c r="A353" t="s">
        <v>33</v>
      </c>
      <c r="B353" t="s">
        <v>275</v>
      </c>
      <c r="C353" t="s">
        <v>275</v>
      </c>
      <c r="D353">
        <v>4.09802016204</v>
      </c>
      <c r="E353">
        <v>4.13885072055123</v>
      </c>
      <c r="F353">
        <v>4.52055831242017</v>
      </c>
      <c r="G353">
        <v>4.87956962110466</v>
      </c>
      <c r="H353">
        <v>5.17869535206599</v>
      </c>
      <c r="I353">
        <v>5.45308235480547</v>
      </c>
      <c r="J353">
        <v>5.71863927912028</v>
      </c>
      <c r="K353">
        <v>5.97960378256308</v>
      </c>
      <c r="L353">
        <v>6.24030067179542</v>
      </c>
      <c r="M353">
        <v>6.50692823217444</v>
      </c>
      <c r="N353">
        <v>6.77770279346543</v>
      </c>
      <c r="O353">
        <v>7.03543710819875</v>
      </c>
      <c r="P353">
        <v>7.27370486546697</v>
      </c>
      <c r="Q353">
        <v>7.49100226384517</v>
      </c>
      <c r="R353">
        <v>7.68553083470615</v>
      </c>
      <c r="S353">
        <v>7.85844604190887</v>
      </c>
      <c r="T353">
        <v>8.01349175123775</v>
      </c>
      <c r="U353">
        <v>8.15145189420441</v>
      </c>
      <c r="V353">
        <v>5</v>
      </c>
      <c r="AF353" s="99" t="s">
        <v>272</v>
      </c>
      <c r="AH353">
        <v>1</v>
      </c>
      <c r="AI353">
        <v>1.01249244177222</v>
      </c>
      <c r="AJ353">
        <v>1.13138941807915</v>
      </c>
      <c r="AK353">
        <v>1.24760189562937</v>
      </c>
      <c r="AL353">
        <v>1.34810455246965</v>
      </c>
      <c r="AM353">
        <v>1.44349661274636</v>
      </c>
      <c r="AN353">
        <v>1.53893173984805</v>
      </c>
      <c r="AO353">
        <v>1.6358789910266</v>
      </c>
      <c r="AP353">
        <v>1.73602084357765</v>
      </c>
      <c r="AQ353">
        <v>1.84198437382463</v>
      </c>
      <c r="AR353">
        <v>1.95347672735771</v>
      </c>
      <c r="AS353">
        <v>2.063527777815</v>
      </c>
      <c r="AT353">
        <v>2.1690147018656</v>
      </c>
      <c r="AU353">
        <v>2.26870387423415</v>
      </c>
      <c r="AV353">
        <v>2.36111858134433</v>
      </c>
      <c r="AW353">
        <v>2.44611431007233</v>
      </c>
      <c r="AX353">
        <v>2.52490841600409</v>
      </c>
      <c r="AY353">
        <v>2.5973563860158</v>
      </c>
      <c r="AZ353">
        <v>0</v>
      </c>
      <c r="BA353">
        <v>0</v>
      </c>
      <c r="BB353">
        <v>0</v>
      </c>
      <c r="BC353">
        <v>0</v>
      </c>
      <c r="BD353">
        <v>0</v>
      </c>
      <c r="BE353">
        <v>0</v>
      </c>
      <c r="BF353">
        <v>0</v>
      </c>
      <c r="BG353">
        <v>0</v>
      </c>
      <c r="BI353" t="s">
        <v>287</v>
      </c>
      <c r="BK353">
        <v>0.8</v>
      </c>
      <c r="BL353">
        <v>0.797560975609756</v>
      </c>
      <c r="BM353">
        <v>0.785365853658536</v>
      </c>
      <c r="BN353">
        <v>0.773170731707317</v>
      </c>
      <c r="BO353">
        <v>0.760975609756097</v>
      </c>
      <c r="BP353">
        <v>0.748780487804878</v>
      </c>
      <c r="BQ353">
        <v>0.736585365853658</v>
      </c>
      <c r="BR353">
        <v>0.724390243902439</v>
      </c>
      <c r="BS353">
        <v>0.71219512195122</v>
      </c>
      <c r="BT353">
        <v>0.699999999999999</v>
      </c>
      <c r="BU353">
        <v>0.687499999999999</v>
      </c>
      <c r="BV353">
        <v>0.675</v>
      </c>
      <c r="BW353">
        <v>0.6625</v>
      </c>
      <c r="BX353">
        <v>0.649999999999999</v>
      </c>
      <c r="BY353">
        <v>0.637499999999999</v>
      </c>
      <c r="BZ353">
        <v>0.625</v>
      </c>
      <c r="CA353">
        <v>0.6125</v>
      </c>
      <c r="CB353">
        <v>0.6</v>
      </c>
      <c r="CC353" t="e">
        <v>#VALUE!</v>
      </c>
      <c r="CD353" t="e">
        <v>#VALUE!</v>
      </c>
      <c r="CE353" t="e">
        <v>#VALUE!</v>
      </c>
      <c r="CF353" t="e">
        <v>#VALUE!</v>
      </c>
      <c r="CG353" t="e">
        <v>#VALUE!</v>
      </c>
      <c r="CH353" t="e">
        <v>#VALUE!</v>
      </c>
      <c r="CI353" t="e">
        <v>#VALUE!</v>
      </c>
      <c r="CJ353" t="e">
        <v>#VALUE!</v>
      </c>
    </row>
    <row r="354" spans="1:88">
      <c r="A354" t="s">
        <v>33</v>
      </c>
      <c r="B354" t="s">
        <v>276</v>
      </c>
      <c r="C354" t="s">
        <v>276</v>
      </c>
      <c r="D354">
        <v>13.70996841996</v>
      </c>
      <c r="E354">
        <v>13.7458008530983</v>
      </c>
      <c r="F354">
        <v>13.9221068810281</v>
      </c>
      <c r="G354">
        <v>14.0401923632029</v>
      </c>
      <c r="H354">
        <v>14.148885907274</v>
      </c>
      <c r="I354">
        <v>14.2616938690585</v>
      </c>
      <c r="J354">
        <v>14.391359336492</v>
      </c>
      <c r="K354">
        <v>14.5485180546064</v>
      </c>
      <c r="L354">
        <v>14.6896251471605</v>
      </c>
      <c r="M354">
        <v>14.8188633480305</v>
      </c>
      <c r="N354">
        <v>14.9360157035462</v>
      </c>
      <c r="O354">
        <v>15.0505108321595</v>
      </c>
      <c r="P354">
        <v>15.1595511856596</v>
      </c>
      <c r="Q354">
        <v>15.2508772466986</v>
      </c>
      <c r="R354">
        <v>15.3115562254833</v>
      </c>
      <c r="S354">
        <v>15.3416058537779</v>
      </c>
      <c r="T354">
        <v>15.3558269400266</v>
      </c>
      <c r="U354">
        <v>15.3661972671952</v>
      </c>
      <c r="V354">
        <v>5</v>
      </c>
      <c r="AF354" s="99" t="s">
        <v>277</v>
      </c>
      <c r="AH354">
        <v>1</v>
      </c>
      <c r="AI354">
        <v>1.00327699628325</v>
      </c>
      <c r="AJ354">
        <v>1.0196619776995</v>
      </c>
      <c r="AK354">
        <v>1.03084791455404</v>
      </c>
      <c r="AL354">
        <v>1.04133499382809</v>
      </c>
      <c r="AM354">
        <v>1.05242299982453</v>
      </c>
      <c r="AN354">
        <v>1.06541333821808</v>
      </c>
      <c r="AO354">
        <v>1.08147469381852</v>
      </c>
      <c r="AP354">
        <v>1.09620281853163</v>
      </c>
      <c r="AQ354">
        <v>1.10998040243245</v>
      </c>
      <c r="AR354">
        <v>1.12274416569501</v>
      </c>
      <c r="AS354">
        <v>1.13549472635844</v>
      </c>
      <c r="AT354">
        <v>1.14791225724948</v>
      </c>
      <c r="AU354">
        <v>1.15855132855068</v>
      </c>
      <c r="AV354">
        <v>1.16578199833114</v>
      </c>
      <c r="AW354">
        <v>1.16944263898258</v>
      </c>
      <c r="AX354">
        <v>1.17121248213932</v>
      </c>
      <c r="AY354">
        <v>1.17253075008098</v>
      </c>
      <c r="AZ354">
        <v>0</v>
      </c>
      <c r="BA354">
        <v>0</v>
      </c>
      <c r="BB354">
        <v>0</v>
      </c>
      <c r="BC354">
        <v>0</v>
      </c>
      <c r="BD354">
        <v>0</v>
      </c>
      <c r="BE354">
        <v>0</v>
      </c>
      <c r="BF354">
        <v>0</v>
      </c>
      <c r="BG354">
        <v>0</v>
      </c>
      <c r="BI354" t="s">
        <v>287</v>
      </c>
      <c r="BK354">
        <v>0.8</v>
      </c>
      <c r="BL354">
        <v>0.797560975609756</v>
      </c>
      <c r="BM354">
        <v>0.785365853658536</v>
      </c>
      <c r="BN354">
        <v>0.773170731707317</v>
      </c>
      <c r="BO354">
        <v>0.760975609756097</v>
      </c>
      <c r="BP354">
        <v>0.748780487804878</v>
      </c>
      <c r="BQ354">
        <v>0.736585365853658</v>
      </c>
      <c r="BR354">
        <v>0.724390243902439</v>
      </c>
      <c r="BS354">
        <v>0.71219512195122</v>
      </c>
      <c r="BT354">
        <v>0.699999999999999</v>
      </c>
      <c r="BU354">
        <v>0.687499999999999</v>
      </c>
      <c r="BV354">
        <v>0.675</v>
      </c>
      <c r="BW354">
        <v>0.6625</v>
      </c>
      <c r="BX354">
        <v>0.649999999999999</v>
      </c>
      <c r="BY354">
        <v>0.637499999999999</v>
      </c>
      <c r="BZ354">
        <v>0.625</v>
      </c>
      <c r="CA354">
        <v>0.6125</v>
      </c>
      <c r="CB354">
        <v>0.6</v>
      </c>
      <c r="CC354" t="e">
        <v>#VALUE!</v>
      </c>
      <c r="CD354" t="e">
        <v>#VALUE!</v>
      </c>
      <c r="CE354" t="e">
        <v>#VALUE!</v>
      </c>
      <c r="CF354" t="e">
        <v>#VALUE!</v>
      </c>
      <c r="CG354" t="e">
        <v>#VALUE!</v>
      </c>
      <c r="CH354" t="e">
        <v>#VALUE!</v>
      </c>
      <c r="CI354" t="e">
        <v>#VALUE!</v>
      </c>
      <c r="CJ354" t="e">
        <v>#VALUE!</v>
      </c>
    </row>
    <row r="355" spans="1:88">
      <c r="A355" t="s">
        <v>33</v>
      </c>
      <c r="B355" t="s">
        <v>278</v>
      </c>
      <c r="C355" t="s">
        <v>278</v>
      </c>
      <c r="D355">
        <v>16.4468640888</v>
      </c>
      <c r="E355">
        <v>16.6107321567818</v>
      </c>
      <c r="F355">
        <v>18.1426652944671</v>
      </c>
      <c r="G355">
        <v>19.5835098893694</v>
      </c>
      <c r="H355">
        <v>20.7840116067975</v>
      </c>
      <c r="I355">
        <v>21.885227697336</v>
      </c>
      <c r="J355">
        <v>22.9510054313018</v>
      </c>
      <c r="K355">
        <v>23.9983520890568</v>
      </c>
      <c r="L355">
        <v>25.0446247124308</v>
      </c>
      <c r="M355">
        <v>26.1146993032056</v>
      </c>
      <c r="N355">
        <v>27.2014173358569</v>
      </c>
      <c r="O355">
        <v>28.2358000567386</v>
      </c>
      <c r="P355">
        <v>29.1920563135606</v>
      </c>
      <c r="Q355">
        <v>30.0641507973997</v>
      </c>
      <c r="R355">
        <v>30.8448655913323</v>
      </c>
      <c r="S355">
        <v>31.5388379973476</v>
      </c>
      <c r="T355">
        <v>32.1610935275922</v>
      </c>
      <c r="U355">
        <v>32.7147783879211</v>
      </c>
      <c r="V355">
        <v>5</v>
      </c>
      <c r="AF355" s="99" t="s">
        <v>272</v>
      </c>
      <c r="AH355">
        <v>1</v>
      </c>
      <c r="AI355">
        <v>1.01249244177222</v>
      </c>
      <c r="AJ355">
        <v>1.13138941807915</v>
      </c>
      <c r="AK355">
        <v>1.24760189562937</v>
      </c>
      <c r="AL355">
        <v>1.34810455246965</v>
      </c>
      <c r="AM355">
        <v>1.44349661274636</v>
      </c>
      <c r="AN355">
        <v>1.53893173984805</v>
      </c>
      <c r="AO355">
        <v>1.6358789910266</v>
      </c>
      <c r="AP355">
        <v>1.73602084357765</v>
      </c>
      <c r="AQ355">
        <v>1.84198437382463</v>
      </c>
      <c r="AR355">
        <v>1.95347672735771</v>
      </c>
      <c r="AS355">
        <v>2.063527777815</v>
      </c>
      <c r="AT355">
        <v>2.1690147018656</v>
      </c>
      <c r="AU355">
        <v>2.26870387423415</v>
      </c>
      <c r="AV355">
        <v>2.36111858134433</v>
      </c>
      <c r="AW355">
        <v>2.44611431007233</v>
      </c>
      <c r="AX355">
        <v>2.52490841600409</v>
      </c>
      <c r="AY355">
        <v>2.5973563860158</v>
      </c>
      <c r="AZ355">
        <v>0</v>
      </c>
      <c r="BA355">
        <v>0</v>
      </c>
      <c r="BB355">
        <v>0</v>
      </c>
      <c r="BC355">
        <v>0</v>
      </c>
      <c r="BD355">
        <v>0</v>
      </c>
      <c r="BE355">
        <v>0</v>
      </c>
      <c r="BF355">
        <v>0</v>
      </c>
      <c r="BG355">
        <v>0</v>
      </c>
      <c r="BI355" t="s">
        <v>287</v>
      </c>
      <c r="BK355">
        <v>0.8</v>
      </c>
      <c r="BL355">
        <v>0.797560975609756</v>
      </c>
      <c r="BM355">
        <v>0.785365853658536</v>
      </c>
      <c r="BN355">
        <v>0.773170731707317</v>
      </c>
      <c r="BO355">
        <v>0.760975609756097</v>
      </c>
      <c r="BP355">
        <v>0.748780487804878</v>
      </c>
      <c r="BQ355">
        <v>0.736585365853658</v>
      </c>
      <c r="BR355">
        <v>0.724390243902439</v>
      </c>
      <c r="BS355">
        <v>0.71219512195122</v>
      </c>
      <c r="BT355">
        <v>0.699999999999999</v>
      </c>
      <c r="BU355">
        <v>0.687499999999999</v>
      </c>
      <c r="BV355">
        <v>0.675</v>
      </c>
      <c r="BW355">
        <v>0.6625</v>
      </c>
      <c r="BX355">
        <v>0.649999999999999</v>
      </c>
      <c r="BY355">
        <v>0.637499999999999</v>
      </c>
      <c r="BZ355">
        <v>0.625</v>
      </c>
      <c r="CA355">
        <v>0.6125</v>
      </c>
      <c r="CB355">
        <v>0.6</v>
      </c>
      <c r="CC355" t="e">
        <v>#VALUE!</v>
      </c>
      <c r="CD355" t="e">
        <v>#VALUE!</v>
      </c>
      <c r="CE355" t="e">
        <v>#VALUE!</v>
      </c>
      <c r="CF355" t="e">
        <v>#VALUE!</v>
      </c>
      <c r="CG355" t="e">
        <v>#VALUE!</v>
      </c>
      <c r="CH355" t="e">
        <v>#VALUE!</v>
      </c>
      <c r="CI355" t="e">
        <v>#VALUE!</v>
      </c>
      <c r="CJ355" t="e">
        <v>#VALUE!</v>
      </c>
    </row>
    <row r="356" spans="1:88">
      <c r="A356" t="s">
        <v>33</v>
      </c>
      <c r="B356" t="s">
        <v>279</v>
      </c>
      <c r="C356" t="s">
        <v>279</v>
      </c>
      <c r="D356">
        <v>128.5593700104</v>
      </c>
      <c r="E356">
        <v>129.840269242668</v>
      </c>
      <c r="F356">
        <v>141.814853456141</v>
      </c>
      <c r="G356">
        <v>153.077430467991</v>
      </c>
      <c r="H356">
        <v>162.461331475238</v>
      </c>
      <c r="I356">
        <v>171.069151548449</v>
      </c>
      <c r="J356">
        <v>179.399962413668</v>
      </c>
      <c r="K356">
        <v>187.58670401842</v>
      </c>
      <c r="L356">
        <v>195.765050272992</v>
      </c>
      <c r="M356">
        <v>204.129448161331</v>
      </c>
      <c r="N356">
        <v>212.623941999322</v>
      </c>
      <c r="O356">
        <v>220.709349054929</v>
      </c>
      <c r="P356">
        <v>228.18406893355</v>
      </c>
      <c r="Q356">
        <v>235.000925741423</v>
      </c>
      <c r="R356">
        <v>241.10349955269</v>
      </c>
      <c r="S356">
        <v>246.528038531077</v>
      </c>
      <c r="T356">
        <v>251.391991836815</v>
      </c>
      <c r="U356">
        <v>255.719952257954</v>
      </c>
      <c r="V356">
        <v>5</v>
      </c>
      <c r="AF356" s="99" t="s">
        <v>272</v>
      </c>
      <c r="AH356">
        <v>1</v>
      </c>
      <c r="AI356">
        <v>1.01249244177222</v>
      </c>
      <c r="AJ356">
        <v>1.13138941807915</v>
      </c>
      <c r="AK356">
        <v>1.24760189562937</v>
      </c>
      <c r="AL356">
        <v>1.34810455246965</v>
      </c>
      <c r="AM356">
        <v>1.44349661274636</v>
      </c>
      <c r="AN356">
        <v>1.53893173984805</v>
      </c>
      <c r="AO356">
        <v>1.6358789910266</v>
      </c>
      <c r="AP356">
        <v>1.73602084357765</v>
      </c>
      <c r="AQ356">
        <v>1.84198437382463</v>
      </c>
      <c r="AR356">
        <v>1.95347672735771</v>
      </c>
      <c r="AS356">
        <v>2.063527777815</v>
      </c>
      <c r="AT356">
        <v>2.1690147018656</v>
      </c>
      <c r="AU356">
        <v>2.26870387423415</v>
      </c>
      <c r="AV356">
        <v>2.36111858134433</v>
      </c>
      <c r="AW356">
        <v>2.44611431007233</v>
      </c>
      <c r="AX356">
        <v>2.52490841600409</v>
      </c>
      <c r="AY356">
        <v>2.5973563860158</v>
      </c>
      <c r="AZ356">
        <v>0</v>
      </c>
      <c r="BA356">
        <v>0</v>
      </c>
      <c r="BB356">
        <v>0</v>
      </c>
      <c r="BC356">
        <v>0</v>
      </c>
      <c r="BD356">
        <v>0</v>
      </c>
      <c r="BE356">
        <v>0</v>
      </c>
      <c r="BF356">
        <v>0</v>
      </c>
      <c r="BG356">
        <v>0</v>
      </c>
      <c r="BI356" t="s">
        <v>287</v>
      </c>
      <c r="BK356">
        <v>0.8</v>
      </c>
      <c r="BL356">
        <v>0.797560975609756</v>
      </c>
      <c r="BM356">
        <v>0.785365853658536</v>
      </c>
      <c r="BN356">
        <v>0.773170731707317</v>
      </c>
      <c r="BO356">
        <v>0.760975609756097</v>
      </c>
      <c r="BP356">
        <v>0.748780487804878</v>
      </c>
      <c r="BQ356">
        <v>0.736585365853658</v>
      </c>
      <c r="BR356">
        <v>0.724390243902439</v>
      </c>
      <c r="BS356">
        <v>0.71219512195122</v>
      </c>
      <c r="BT356">
        <v>0.699999999999999</v>
      </c>
      <c r="BU356">
        <v>0.687499999999999</v>
      </c>
      <c r="BV356">
        <v>0.675</v>
      </c>
      <c r="BW356">
        <v>0.6625</v>
      </c>
      <c r="BX356">
        <v>0.649999999999999</v>
      </c>
      <c r="BY356">
        <v>0.637499999999999</v>
      </c>
      <c r="BZ356">
        <v>0.625</v>
      </c>
      <c r="CA356">
        <v>0.6125</v>
      </c>
      <c r="CB356">
        <v>0.6</v>
      </c>
      <c r="CC356" t="e">
        <v>#VALUE!</v>
      </c>
      <c r="CD356" t="e">
        <v>#VALUE!</v>
      </c>
      <c r="CE356" t="e">
        <v>#VALUE!</v>
      </c>
      <c r="CF356" t="e">
        <v>#VALUE!</v>
      </c>
      <c r="CG356" t="e">
        <v>#VALUE!</v>
      </c>
      <c r="CH356" t="e">
        <v>#VALUE!</v>
      </c>
      <c r="CI356" t="e">
        <v>#VALUE!</v>
      </c>
      <c r="CJ356" t="e">
        <v>#VALUE!</v>
      </c>
    </row>
    <row r="357" spans="1:88">
      <c r="A357" t="s">
        <v>33</v>
      </c>
      <c r="B357" t="s">
        <v>280</v>
      </c>
      <c r="C357" t="s">
        <v>280</v>
      </c>
      <c r="D357">
        <v>0.91</v>
      </c>
      <c r="E357">
        <v>0.912378379960992</v>
      </c>
      <c r="F357">
        <v>0.924080703445745</v>
      </c>
      <c r="G357">
        <v>0.931918634612868</v>
      </c>
      <c r="H357">
        <v>0.939133175308723</v>
      </c>
      <c r="I357">
        <v>0.946620810734229</v>
      </c>
      <c r="J357">
        <v>0.955227364137573</v>
      </c>
      <c r="K357">
        <v>0.965658783751633</v>
      </c>
      <c r="L357">
        <v>0.975024775728481</v>
      </c>
      <c r="M357">
        <v>0.983602969287297</v>
      </c>
      <c r="N357">
        <v>0.991378964114832</v>
      </c>
      <c r="O357">
        <v>0.998978585342731</v>
      </c>
      <c r="P357">
        <v>1.00621614553584</v>
      </c>
      <c r="Q357">
        <v>1.01227791847359</v>
      </c>
      <c r="R357">
        <v>1.01630548943529</v>
      </c>
      <c r="S357">
        <v>1.01830003536789</v>
      </c>
      <c r="T357">
        <v>1.01924396084532</v>
      </c>
      <c r="U357">
        <v>1.01993229195114</v>
      </c>
      <c r="V357">
        <v>5</v>
      </c>
      <c r="AF357" s="99" t="s">
        <v>277</v>
      </c>
      <c r="AH357">
        <v>1</v>
      </c>
      <c r="AI357">
        <v>1.00327699628325</v>
      </c>
      <c r="AJ357">
        <v>1.0196619776995</v>
      </c>
      <c r="AK357">
        <v>1.03084791455404</v>
      </c>
      <c r="AL357">
        <v>1.04133499382809</v>
      </c>
      <c r="AM357">
        <v>1.05242299982453</v>
      </c>
      <c r="AN357">
        <v>1.06541333821808</v>
      </c>
      <c r="AO357">
        <v>1.08147469381852</v>
      </c>
      <c r="AP357">
        <v>1.09620281853163</v>
      </c>
      <c r="AQ357">
        <v>1.10998040243245</v>
      </c>
      <c r="AR357">
        <v>1.12274416569501</v>
      </c>
      <c r="AS357">
        <v>1.13549472635844</v>
      </c>
      <c r="AT357">
        <v>1.14791225724948</v>
      </c>
      <c r="AU357">
        <v>1.15855132855068</v>
      </c>
      <c r="AV357">
        <v>1.16578199833114</v>
      </c>
      <c r="AW357">
        <v>1.16944263898258</v>
      </c>
      <c r="AX357">
        <v>1.17121248213932</v>
      </c>
      <c r="AY357">
        <v>1.17253075008098</v>
      </c>
      <c r="AZ357">
        <v>0</v>
      </c>
      <c r="BA357">
        <v>0</v>
      </c>
      <c r="BB357">
        <v>0</v>
      </c>
      <c r="BC357">
        <v>0</v>
      </c>
      <c r="BD357">
        <v>0</v>
      </c>
      <c r="BE357">
        <v>0</v>
      </c>
      <c r="BF357">
        <v>0</v>
      </c>
      <c r="BG357">
        <v>0</v>
      </c>
      <c r="BI357" t="s">
        <v>287</v>
      </c>
      <c r="BK357">
        <v>0.8</v>
      </c>
      <c r="BL357">
        <v>0.797560975609756</v>
      </c>
      <c r="BM357">
        <v>0.785365853658536</v>
      </c>
      <c r="BN357">
        <v>0.773170731707317</v>
      </c>
      <c r="BO357">
        <v>0.760975609756097</v>
      </c>
      <c r="BP357">
        <v>0.748780487804878</v>
      </c>
      <c r="BQ357">
        <v>0.736585365853658</v>
      </c>
      <c r="BR357">
        <v>0.724390243902439</v>
      </c>
      <c r="BS357">
        <v>0.71219512195122</v>
      </c>
      <c r="BT357">
        <v>0.699999999999999</v>
      </c>
      <c r="BU357">
        <v>0.687499999999999</v>
      </c>
      <c r="BV357">
        <v>0.675</v>
      </c>
      <c r="BW357">
        <v>0.6625</v>
      </c>
      <c r="BX357">
        <v>0.649999999999999</v>
      </c>
      <c r="BY357">
        <v>0.637499999999999</v>
      </c>
      <c r="BZ357">
        <v>0.625</v>
      </c>
      <c r="CA357">
        <v>0.6125</v>
      </c>
      <c r="CB357">
        <v>0.6</v>
      </c>
      <c r="CC357" t="e">
        <v>#VALUE!</v>
      </c>
      <c r="CD357" t="e">
        <v>#VALUE!</v>
      </c>
      <c r="CE357" t="e">
        <v>#VALUE!</v>
      </c>
      <c r="CF357" t="e">
        <v>#VALUE!</v>
      </c>
      <c r="CG357" t="e">
        <v>#VALUE!</v>
      </c>
      <c r="CH357" t="e">
        <v>#VALUE!</v>
      </c>
      <c r="CI357" t="e">
        <v>#VALUE!</v>
      </c>
      <c r="CJ357" t="e">
        <v>#VALUE!</v>
      </c>
    </row>
    <row r="358" spans="1:88">
      <c r="A358" t="s">
        <v>33</v>
      </c>
      <c r="B358" t="s">
        <v>281</v>
      </c>
      <c r="C358" t="s">
        <v>281</v>
      </c>
      <c r="D358">
        <v>0.54</v>
      </c>
      <c r="E358">
        <v>0.541411346350479</v>
      </c>
      <c r="F358">
        <v>0.548355582264508</v>
      </c>
      <c r="G358">
        <v>0.553006662297746</v>
      </c>
      <c r="H358">
        <v>0.557287818315066</v>
      </c>
      <c r="I358">
        <v>0.561731030545586</v>
      </c>
      <c r="J358">
        <v>0.566838216081637</v>
      </c>
      <c r="K358">
        <v>0.573028289259211</v>
      </c>
      <c r="L358">
        <v>0.578586130652065</v>
      </c>
      <c r="M358">
        <v>0.583676487269385</v>
      </c>
      <c r="N358">
        <v>0.58829081387034</v>
      </c>
      <c r="O358">
        <v>0.592800479214368</v>
      </c>
      <c r="P358">
        <v>0.597095295153135</v>
      </c>
      <c r="Q358">
        <v>0.600692391182128</v>
      </c>
      <c r="R358">
        <v>0.603082378346216</v>
      </c>
      <c r="S358">
        <v>0.604265955053473</v>
      </c>
      <c r="T358">
        <v>0.604826086655463</v>
      </c>
      <c r="U358">
        <v>0.605234546872107</v>
      </c>
      <c r="V358">
        <v>5</v>
      </c>
      <c r="AF358" s="99" t="s">
        <v>277</v>
      </c>
      <c r="AH358">
        <v>1</v>
      </c>
      <c r="AI358">
        <v>1.00327699628325</v>
      </c>
      <c r="AJ358">
        <v>1.0196619776995</v>
      </c>
      <c r="AK358">
        <v>1.03084791455404</v>
      </c>
      <c r="AL358">
        <v>1.04133499382809</v>
      </c>
      <c r="AM358">
        <v>1.05242299982453</v>
      </c>
      <c r="AN358">
        <v>1.06541333821808</v>
      </c>
      <c r="AO358">
        <v>1.08147469381852</v>
      </c>
      <c r="AP358">
        <v>1.09620281853163</v>
      </c>
      <c r="AQ358">
        <v>1.10998040243245</v>
      </c>
      <c r="AR358">
        <v>1.12274416569501</v>
      </c>
      <c r="AS358">
        <v>1.13549472635844</v>
      </c>
      <c r="AT358">
        <v>1.14791225724948</v>
      </c>
      <c r="AU358">
        <v>1.15855132855068</v>
      </c>
      <c r="AV358">
        <v>1.16578199833114</v>
      </c>
      <c r="AW358">
        <v>1.16944263898258</v>
      </c>
      <c r="AX358">
        <v>1.17121248213932</v>
      </c>
      <c r="AY358">
        <v>1.17253075008098</v>
      </c>
      <c r="AZ358">
        <v>0</v>
      </c>
      <c r="BA358">
        <v>0</v>
      </c>
      <c r="BB358">
        <v>0</v>
      </c>
      <c r="BC358">
        <v>0</v>
      </c>
      <c r="BD358">
        <v>0</v>
      </c>
      <c r="BE358">
        <v>0</v>
      </c>
      <c r="BF358">
        <v>0</v>
      </c>
      <c r="BG358">
        <v>0</v>
      </c>
      <c r="BI358" t="s">
        <v>287</v>
      </c>
      <c r="BK358">
        <v>0.8</v>
      </c>
      <c r="BL358">
        <v>0.797560975609756</v>
      </c>
      <c r="BM358">
        <v>0.785365853658536</v>
      </c>
      <c r="BN358">
        <v>0.773170731707317</v>
      </c>
      <c r="BO358">
        <v>0.760975609756097</v>
      </c>
      <c r="BP358">
        <v>0.748780487804878</v>
      </c>
      <c r="BQ358">
        <v>0.736585365853658</v>
      </c>
      <c r="BR358">
        <v>0.724390243902439</v>
      </c>
      <c r="BS358">
        <v>0.71219512195122</v>
      </c>
      <c r="BT358">
        <v>0.699999999999999</v>
      </c>
      <c r="BU358">
        <v>0.687499999999999</v>
      </c>
      <c r="BV358">
        <v>0.675</v>
      </c>
      <c r="BW358">
        <v>0.6625</v>
      </c>
      <c r="BX358">
        <v>0.649999999999999</v>
      </c>
      <c r="BY358">
        <v>0.637499999999999</v>
      </c>
      <c r="BZ358">
        <v>0.625</v>
      </c>
      <c r="CA358">
        <v>0.6125</v>
      </c>
      <c r="CB358">
        <v>0.6</v>
      </c>
      <c r="CC358" t="e">
        <v>#VALUE!</v>
      </c>
      <c r="CD358" t="e">
        <v>#VALUE!</v>
      </c>
      <c r="CE358" t="e">
        <v>#VALUE!</v>
      </c>
      <c r="CF358" t="e">
        <v>#VALUE!</v>
      </c>
      <c r="CG358" t="e">
        <v>#VALUE!</v>
      </c>
      <c r="CH358" t="e">
        <v>#VALUE!</v>
      </c>
      <c r="CI358" t="e">
        <v>#VALUE!</v>
      </c>
      <c r="CJ358" t="e">
        <v>#VALUE!</v>
      </c>
    </row>
    <row r="359" spans="1:88">
      <c r="A359" t="s">
        <v>33</v>
      </c>
      <c r="B359" t="s">
        <v>282</v>
      </c>
      <c r="C359" t="s">
        <v>282</v>
      </c>
      <c r="D359">
        <v>1.295</v>
      </c>
      <c r="E359">
        <v>1.2983846176368</v>
      </c>
      <c r="F359">
        <v>1.31503792413433</v>
      </c>
      <c r="G359">
        <v>1.32619190310293</v>
      </c>
      <c r="H359">
        <v>1.3364587494778</v>
      </c>
      <c r="I359">
        <v>1.34711423066025</v>
      </c>
      <c r="J359">
        <v>1.35936201819578</v>
      </c>
      <c r="K359">
        <v>1.37420673072348</v>
      </c>
      <c r="L359">
        <v>1.38753525776745</v>
      </c>
      <c r="M359">
        <v>1.39974268706269</v>
      </c>
      <c r="N359">
        <v>1.41080852585572</v>
      </c>
      <c r="O359">
        <v>1.42162337144927</v>
      </c>
      <c r="P359">
        <v>1.43192297633946</v>
      </c>
      <c r="Q359">
        <v>1.4405493455201</v>
      </c>
      <c r="R359">
        <v>1.44628088881176</v>
      </c>
      <c r="S359">
        <v>1.44911928110046</v>
      </c>
      <c r="T359">
        <v>1.45046255966449</v>
      </c>
      <c r="U359">
        <v>1.45144210777663</v>
      </c>
      <c r="V359">
        <v>5</v>
      </c>
      <c r="AF359" s="99" t="s">
        <v>277</v>
      </c>
      <c r="AH359">
        <v>1</v>
      </c>
      <c r="AI359">
        <v>1.00327699628325</v>
      </c>
      <c r="AJ359">
        <v>1.0196619776995</v>
      </c>
      <c r="AK359">
        <v>1.03084791455404</v>
      </c>
      <c r="AL359">
        <v>1.04133499382809</v>
      </c>
      <c r="AM359">
        <v>1.05242299982453</v>
      </c>
      <c r="AN359">
        <v>1.06541333821808</v>
      </c>
      <c r="AO359">
        <v>1.08147469381852</v>
      </c>
      <c r="AP359">
        <v>1.09620281853163</v>
      </c>
      <c r="AQ359">
        <v>1.10998040243245</v>
      </c>
      <c r="AR359">
        <v>1.12274416569501</v>
      </c>
      <c r="AS359">
        <v>1.13549472635844</v>
      </c>
      <c r="AT359">
        <v>1.14791225724948</v>
      </c>
      <c r="AU359">
        <v>1.15855132855068</v>
      </c>
      <c r="AV359">
        <v>1.16578199833114</v>
      </c>
      <c r="AW359">
        <v>1.16944263898258</v>
      </c>
      <c r="AX359">
        <v>1.17121248213932</v>
      </c>
      <c r="AY359">
        <v>1.17253075008098</v>
      </c>
      <c r="AZ359">
        <v>0</v>
      </c>
      <c r="BA359">
        <v>0</v>
      </c>
      <c r="BB359">
        <v>0</v>
      </c>
      <c r="BC359">
        <v>0</v>
      </c>
      <c r="BD359">
        <v>0</v>
      </c>
      <c r="BE359">
        <v>0</v>
      </c>
      <c r="BF359">
        <v>0</v>
      </c>
      <c r="BG359">
        <v>0</v>
      </c>
      <c r="BI359" t="s">
        <v>287</v>
      </c>
      <c r="BK359">
        <v>0.8</v>
      </c>
      <c r="BL359">
        <v>0.797560975609756</v>
      </c>
      <c r="BM359">
        <v>0.785365853658536</v>
      </c>
      <c r="BN359">
        <v>0.773170731707317</v>
      </c>
      <c r="BO359">
        <v>0.760975609756097</v>
      </c>
      <c r="BP359">
        <v>0.748780487804878</v>
      </c>
      <c r="BQ359">
        <v>0.736585365853658</v>
      </c>
      <c r="BR359">
        <v>0.724390243902439</v>
      </c>
      <c r="BS359">
        <v>0.71219512195122</v>
      </c>
      <c r="BT359">
        <v>0.699999999999999</v>
      </c>
      <c r="BU359">
        <v>0.687499999999999</v>
      </c>
      <c r="BV359">
        <v>0.675</v>
      </c>
      <c r="BW359">
        <v>0.6625</v>
      </c>
      <c r="BX359">
        <v>0.649999999999999</v>
      </c>
      <c r="BY359">
        <v>0.637499999999999</v>
      </c>
      <c r="BZ359">
        <v>0.625</v>
      </c>
      <c r="CA359">
        <v>0.6125</v>
      </c>
      <c r="CB359">
        <v>0.6</v>
      </c>
      <c r="CC359" t="e">
        <v>#VALUE!</v>
      </c>
      <c r="CD359" t="e">
        <v>#VALUE!</v>
      </c>
      <c r="CE359" t="e">
        <v>#VALUE!</v>
      </c>
      <c r="CF359" t="e">
        <v>#VALUE!</v>
      </c>
      <c r="CG359" t="e">
        <v>#VALUE!</v>
      </c>
      <c r="CH359" t="e">
        <v>#VALUE!</v>
      </c>
      <c r="CI359" t="e">
        <v>#VALUE!</v>
      </c>
      <c r="CJ359" t="e">
        <v>#VALUE!</v>
      </c>
    </row>
    <row r="360" spans="1:88">
      <c r="A360" t="s">
        <v>33</v>
      </c>
      <c r="B360" t="s">
        <v>283</v>
      </c>
      <c r="C360" t="s">
        <v>283</v>
      </c>
      <c r="D360">
        <v>129.828</v>
      </c>
      <c r="E360">
        <v>130.779103418656</v>
      </c>
      <c r="F360">
        <v>140.996019415507</v>
      </c>
      <c r="G360">
        <v>150.889127209822</v>
      </c>
      <c r="H360">
        <v>158.889369906315</v>
      </c>
      <c r="I360">
        <v>165.965772660955</v>
      </c>
      <c r="J360">
        <v>172.458970125086</v>
      </c>
      <c r="K360">
        <v>178.35674327232</v>
      </c>
      <c r="L360">
        <v>184.321557918893</v>
      </c>
      <c r="M360">
        <v>190.497740827703</v>
      </c>
      <c r="N360">
        <v>196.845972436944</v>
      </c>
      <c r="O360">
        <v>202.755320097654</v>
      </c>
      <c r="P360">
        <v>208.094650392729</v>
      </c>
      <c r="Q360">
        <v>213.012142310774</v>
      </c>
      <c r="R360">
        <v>217.667136650226</v>
      </c>
      <c r="S360">
        <v>222.123211533299</v>
      </c>
      <c r="T360">
        <v>226.293450990218</v>
      </c>
      <c r="U360">
        <v>230.032283184352</v>
      </c>
      <c r="V360">
        <v>5</v>
      </c>
      <c r="AF360" s="99" t="s">
        <v>284</v>
      </c>
      <c r="AH360">
        <v>1</v>
      </c>
      <c r="AI360">
        <v>1.00918534514706</v>
      </c>
      <c r="AJ360">
        <v>1.1095730181405</v>
      </c>
      <c r="AK360">
        <v>1.21026766219836</v>
      </c>
      <c r="AL360">
        <v>1.29459257631768</v>
      </c>
      <c r="AM360">
        <v>1.37159356360231</v>
      </c>
      <c r="AN360">
        <v>1.44444572321756</v>
      </c>
      <c r="AO360">
        <v>1.51263732787917</v>
      </c>
      <c r="AP360">
        <v>1.58366756062812</v>
      </c>
      <c r="AQ360">
        <v>1.65947468062322</v>
      </c>
      <c r="AR360">
        <v>1.73991260613539</v>
      </c>
      <c r="AS360">
        <v>1.81729402164005</v>
      </c>
      <c r="AT360">
        <v>1.88953004741214</v>
      </c>
      <c r="AU360">
        <v>1.95822474009178</v>
      </c>
      <c r="AV360">
        <v>2.02535172504325</v>
      </c>
      <c r="AW360">
        <v>2.09169242554766</v>
      </c>
      <c r="AX360">
        <v>2.15580729757264</v>
      </c>
      <c r="AY360">
        <v>2.21517123183031</v>
      </c>
      <c r="AZ360">
        <v>0</v>
      </c>
      <c r="BA360">
        <v>0</v>
      </c>
      <c r="BB360">
        <v>0</v>
      </c>
      <c r="BC360">
        <v>0</v>
      </c>
      <c r="BD360">
        <v>0</v>
      </c>
      <c r="BE360">
        <v>0</v>
      </c>
      <c r="BF360">
        <v>0</v>
      </c>
      <c r="BG360">
        <v>0</v>
      </c>
      <c r="BI360" t="s">
        <v>287</v>
      </c>
      <c r="BK360">
        <v>0.8</v>
      </c>
      <c r="BL360">
        <v>0.797560975609756</v>
      </c>
      <c r="BM360">
        <v>0.785365853658536</v>
      </c>
      <c r="BN360">
        <v>0.773170731707317</v>
      </c>
      <c r="BO360">
        <v>0.760975609756097</v>
      </c>
      <c r="BP360">
        <v>0.748780487804878</v>
      </c>
      <c r="BQ360">
        <v>0.736585365853658</v>
      </c>
      <c r="BR360">
        <v>0.724390243902439</v>
      </c>
      <c r="BS360">
        <v>0.71219512195122</v>
      </c>
      <c r="BT360">
        <v>0.699999999999999</v>
      </c>
      <c r="BU360">
        <v>0.687499999999999</v>
      </c>
      <c r="BV360">
        <v>0.675</v>
      </c>
      <c r="BW360">
        <v>0.6625</v>
      </c>
      <c r="BX360">
        <v>0.649999999999999</v>
      </c>
      <c r="BY360">
        <v>0.637499999999999</v>
      </c>
      <c r="BZ360">
        <v>0.625</v>
      </c>
      <c r="CA360">
        <v>0.6125</v>
      </c>
      <c r="CB360">
        <v>0.6</v>
      </c>
      <c r="CC360" t="e">
        <v>#VALUE!</v>
      </c>
      <c r="CD360" t="e">
        <v>#VALUE!</v>
      </c>
      <c r="CE360" t="e">
        <v>#VALUE!</v>
      </c>
      <c r="CF360" t="e">
        <v>#VALUE!</v>
      </c>
      <c r="CG360" t="e">
        <v>#VALUE!</v>
      </c>
      <c r="CH360" t="e">
        <v>#VALUE!</v>
      </c>
      <c r="CI360" t="e">
        <v>#VALUE!</v>
      </c>
      <c r="CJ360" t="e">
        <v>#VALUE!</v>
      </c>
    </row>
    <row r="361" spans="1:88">
      <c r="A361" t="s">
        <v>33</v>
      </c>
      <c r="B361" t="s">
        <v>285</v>
      </c>
      <c r="C361" t="s">
        <v>285</v>
      </c>
      <c r="D361">
        <v>35.2</v>
      </c>
      <c r="E361">
        <v>35.5507146384755</v>
      </c>
      <c r="F361">
        <v>38.829397197982</v>
      </c>
      <c r="G361">
        <v>41.9131297239351</v>
      </c>
      <c r="H361">
        <v>44.4824742643479</v>
      </c>
      <c r="I361">
        <v>46.8393251617387</v>
      </c>
      <c r="J361">
        <v>49.1203299802284</v>
      </c>
      <c r="K361">
        <v>51.3618881370857</v>
      </c>
      <c r="L361">
        <v>53.6011476180372</v>
      </c>
      <c r="M361">
        <v>55.8913486795833</v>
      </c>
      <c r="N361">
        <v>58.2171704619482</v>
      </c>
      <c r="O361">
        <v>60.4309828688878</v>
      </c>
      <c r="P361">
        <v>62.4775870153316</v>
      </c>
      <c r="Q361">
        <v>64.3440659784574</v>
      </c>
      <c r="R361">
        <v>66.0149717874951</v>
      </c>
      <c r="S361">
        <v>67.5002293149998</v>
      </c>
      <c r="T361">
        <v>68.8319965471208</v>
      </c>
      <c r="U361">
        <v>70.0170070742553</v>
      </c>
      <c r="V361">
        <v>5</v>
      </c>
      <c r="AF361" s="99" t="s">
        <v>272</v>
      </c>
      <c r="AH361">
        <v>1</v>
      </c>
      <c r="AI361">
        <v>1.01249244177222</v>
      </c>
      <c r="AJ361">
        <v>1.13138941807915</v>
      </c>
      <c r="AK361">
        <v>1.24760189562937</v>
      </c>
      <c r="AL361">
        <v>1.34810455246965</v>
      </c>
      <c r="AM361">
        <v>1.44349661274636</v>
      </c>
      <c r="AN361">
        <v>1.53893173984805</v>
      </c>
      <c r="AO361">
        <v>1.6358789910266</v>
      </c>
      <c r="AP361">
        <v>1.73602084357765</v>
      </c>
      <c r="AQ361">
        <v>1.84198437382463</v>
      </c>
      <c r="AR361">
        <v>1.95347672735771</v>
      </c>
      <c r="AS361">
        <v>2.063527777815</v>
      </c>
      <c r="AT361">
        <v>2.1690147018656</v>
      </c>
      <c r="AU361">
        <v>2.26870387423415</v>
      </c>
      <c r="AV361">
        <v>2.36111858134433</v>
      </c>
      <c r="AW361">
        <v>2.44611431007233</v>
      </c>
      <c r="AX361">
        <v>2.52490841600409</v>
      </c>
      <c r="AY361">
        <v>2.5973563860158</v>
      </c>
      <c r="AZ361">
        <v>0</v>
      </c>
      <c r="BA361">
        <v>0</v>
      </c>
      <c r="BB361">
        <v>0</v>
      </c>
      <c r="BC361">
        <v>0</v>
      </c>
      <c r="BD361">
        <v>0</v>
      </c>
      <c r="BE361">
        <v>0</v>
      </c>
      <c r="BF361">
        <v>0</v>
      </c>
      <c r="BG361">
        <v>0</v>
      </c>
      <c r="BI361" t="s">
        <v>287</v>
      </c>
      <c r="BK361">
        <v>0.8</v>
      </c>
      <c r="BL361">
        <v>0.797560975609756</v>
      </c>
      <c r="BM361">
        <v>0.785365853658536</v>
      </c>
      <c r="BN361">
        <v>0.773170731707317</v>
      </c>
      <c r="BO361">
        <v>0.760975609756097</v>
      </c>
      <c r="BP361">
        <v>0.748780487804878</v>
      </c>
      <c r="BQ361">
        <v>0.736585365853658</v>
      </c>
      <c r="BR361">
        <v>0.724390243902439</v>
      </c>
      <c r="BS361">
        <v>0.71219512195122</v>
      </c>
      <c r="BT361">
        <v>0.699999999999999</v>
      </c>
      <c r="BU361">
        <v>0.687499999999999</v>
      </c>
      <c r="BV361">
        <v>0.675</v>
      </c>
      <c r="BW361">
        <v>0.6625</v>
      </c>
      <c r="BX361">
        <v>0.649999999999999</v>
      </c>
      <c r="BY361">
        <v>0.637499999999999</v>
      </c>
      <c r="BZ361">
        <v>0.625</v>
      </c>
      <c r="CA361">
        <v>0.6125</v>
      </c>
      <c r="CB361">
        <v>0.6</v>
      </c>
      <c r="CC361" t="e">
        <v>#VALUE!</v>
      </c>
      <c r="CD361" t="e">
        <v>#VALUE!</v>
      </c>
      <c r="CE361" t="e">
        <v>#VALUE!</v>
      </c>
      <c r="CF361" t="e">
        <v>#VALUE!</v>
      </c>
      <c r="CG361" t="e">
        <v>#VALUE!</v>
      </c>
      <c r="CH361" t="e">
        <v>#VALUE!</v>
      </c>
      <c r="CI361" t="e">
        <v>#VALUE!</v>
      </c>
      <c r="CJ361" t="e">
        <v>#VALUE!</v>
      </c>
    </row>
    <row r="362" spans="1:88">
      <c r="A362" t="s">
        <v>33</v>
      </c>
      <c r="B362" t="s">
        <v>286</v>
      </c>
      <c r="C362" t="s">
        <v>286</v>
      </c>
      <c r="D362">
        <v>19.96</v>
      </c>
      <c r="E362">
        <v>20.1588711415901</v>
      </c>
      <c r="F362">
        <v>22.0180331838557</v>
      </c>
      <c r="G362">
        <v>23.7666496957314</v>
      </c>
      <c r="H362">
        <v>25.2235848385336</v>
      </c>
      <c r="I362">
        <v>26.5600264269405</v>
      </c>
      <c r="J362">
        <v>27.8534598410613</v>
      </c>
      <c r="K362">
        <v>29.1245252050066</v>
      </c>
      <c r="L362">
        <v>30.3942871152279</v>
      </c>
      <c r="M362">
        <v>31.6929352171728</v>
      </c>
      <c r="N362">
        <v>33.0117818869456</v>
      </c>
      <c r="O362">
        <v>34.267114149517</v>
      </c>
      <c r="P362">
        <v>35.4276317280119</v>
      </c>
      <c r="Q362">
        <v>36.4860101400571</v>
      </c>
      <c r="R362">
        <v>37.4334896840455</v>
      </c>
      <c r="S362">
        <v>38.2756982138464</v>
      </c>
      <c r="T362">
        <v>39.0308707693333</v>
      </c>
      <c r="U362">
        <v>39.7028256023334</v>
      </c>
      <c r="V362">
        <v>5</v>
      </c>
      <c r="AF362" s="99" t="s">
        <v>272</v>
      </c>
      <c r="AH362">
        <v>1</v>
      </c>
      <c r="AI362">
        <v>1.01249244177222</v>
      </c>
      <c r="AJ362">
        <v>1.13138941807915</v>
      </c>
      <c r="AK362">
        <v>1.24760189562937</v>
      </c>
      <c r="AL362">
        <v>1.34810455246965</v>
      </c>
      <c r="AM362">
        <v>1.44349661274636</v>
      </c>
      <c r="AN362">
        <v>1.53893173984805</v>
      </c>
      <c r="AO362">
        <v>1.6358789910266</v>
      </c>
      <c r="AP362">
        <v>1.73602084357765</v>
      </c>
      <c r="AQ362">
        <v>1.84198437382463</v>
      </c>
      <c r="AR362">
        <v>1.95347672735771</v>
      </c>
      <c r="AS362">
        <v>2.063527777815</v>
      </c>
      <c r="AT362">
        <v>2.1690147018656</v>
      </c>
      <c r="AU362">
        <v>2.26870387423415</v>
      </c>
      <c r="AV362">
        <v>2.36111858134433</v>
      </c>
      <c r="AW362">
        <v>2.44611431007233</v>
      </c>
      <c r="AX362">
        <v>2.52490841600409</v>
      </c>
      <c r="AY362">
        <v>2.5973563860158</v>
      </c>
      <c r="AZ362">
        <v>0</v>
      </c>
      <c r="BA362">
        <v>0</v>
      </c>
      <c r="BB362">
        <v>0</v>
      </c>
      <c r="BC362">
        <v>0</v>
      </c>
      <c r="BD362">
        <v>0</v>
      </c>
      <c r="BE362">
        <v>0</v>
      </c>
      <c r="BF362">
        <v>0</v>
      </c>
      <c r="BG362">
        <v>0</v>
      </c>
      <c r="BI362" t="s">
        <v>287</v>
      </c>
      <c r="BK362">
        <v>0.8</v>
      </c>
      <c r="BL362">
        <v>0.797560975609756</v>
      </c>
      <c r="BM362">
        <v>0.785365853658536</v>
      </c>
      <c r="BN362">
        <v>0.773170731707317</v>
      </c>
      <c r="BO362">
        <v>0.760975609756097</v>
      </c>
      <c r="BP362">
        <v>0.748780487804878</v>
      </c>
      <c r="BQ362">
        <v>0.736585365853658</v>
      </c>
      <c r="BR362">
        <v>0.724390243902439</v>
      </c>
      <c r="BS362">
        <v>0.71219512195122</v>
      </c>
      <c r="BT362">
        <v>0.699999999999999</v>
      </c>
      <c r="BU362">
        <v>0.687499999999999</v>
      </c>
      <c r="BV362">
        <v>0.675</v>
      </c>
      <c r="BW362">
        <v>0.6625</v>
      </c>
      <c r="BX362">
        <v>0.649999999999999</v>
      </c>
      <c r="BY362">
        <v>0.637499999999999</v>
      </c>
      <c r="BZ362">
        <v>0.625</v>
      </c>
      <c r="CA362">
        <v>0.6125</v>
      </c>
      <c r="CB362">
        <v>0.6</v>
      </c>
      <c r="CC362" t="e">
        <v>#VALUE!</v>
      </c>
      <c r="CD362" t="e">
        <v>#VALUE!</v>
      </c>
      <c r="CE362" t="e">
        <v>#VALUE!</v>
      </c>
      <c r="CF362" t="e">
        <v>#VALUE!</v>
      </c>
      <c r="CG362" t="e">
        <v>#VALUE!</v>
      </c>
      <c r="CH362" t="e">
        <v>#VALUE!</v>
      </c>
      <c r="CI362" t="e">
        <v>#VALUE!</v>
      </c>
      <c r="CJ362" t="e">
        <v>#VALUE!</v>
      </c>
    </row>
    <row r="363" spans="1:88">
      <c r="A363" t="s">
        <v>34</v>
      </c>
      <c r="B363" t="s">
        <v>271</v>
      </c>
      <c r="C363" t="s">
        <v>271</v>
      </c>
      <c r="D363">
        <v>2.769819408</v>
      </c>
      <c r="E363">
        <v>2.7922333831801</v>
      </c>
      <c r="F363">
        <v>3.04675387512057</v>
      </c>
      <c r="G363">
        <v>3.17907607787623</v>
      </c>
      <c r="H363">
        <v>3.3116610369234</v>
      </c>
      <c r="I363">
        <v>3.42969425819242</v>
      </c>
      <c r="J363">
        <v>3.54261171349891</v>
      </c>
      <c r="K363">
        <v>3.65339920893801</v>
      </c>
      <c r="L363">
        <v>3.76339236152459</v>
      </c>
      <c r="M363">
        <v>3.87771962421738</v>
      </c>
      <c r="N363">
        <v>3.9969208818431</v>
      </c>
      <c r="O363">
        <v>4.11493284478982</v>
      </c>
      <c r="P363">
        <v>4.22708110894691</v>
      </c>
      <c r="Q363">
        <v>4.32802976200151</v>
      </c>
      <c r="R363">
        <v>4.41549332100385</v>
      </c>
      <c r="S363">
        <v>4.49045419968839</v>
      </c>
      <c r="T363">
        <v>4.55475162176333</v>
      </c>
      <c r="U363">
        <v>4.60862323695236</v>
      </c>
      <c r="V363">
        <v>5</v>
      </c>
      <c r="AF363" s="99" t="s">
        <v>272</v>
      </c>
      <c r="AH363">
        <v>1</v>
      </c>
      <c r="AI363">
        <v>1.01014620275503</v>
      </c>
      <c r="AJ363">
        <v>1.12738821387204</v>
      </c>
      <c r="AK363">
        <v>1.19071587294486</v>
      </c>
      <c r="AL363">
        <v>1.25597341974685</v>
      </c>
      <c r="AM363">
        <v>1.31575732913481</v>
      </c>
      <c r="AN363">
        <v>1.37456830524255</v>
      </c>
      <c r="AO363">
        <v>1.43391013363274</v>
      </c>
      <c r="AP363">
        <v>1.4945267176711</v>
      </c>
      <c r="AQ363">
        <v>1.55938656911768</v>
      </c>
      <c r="AR363">
        <v>1.62911108696532</v>
      </c>
      <c r="AS363">
        <v>1.70037134803812</v>
      </c>
      <c r="AT363">
        <v>1.77032134494888</v>
      </c>
      <c r="AU363">
        <v>1.83536406524192</v>
      </c>
      <c r="AV363">
        <v>1.89354476522836</v>
      </c>
      <c r="AW363">
        <v>1.94497884757828</v>
      </c>
      <c r="AX363">
        <v>1.99044749959698</v>
      </c>
      <c r="AY363">
        <v>2.02968440743037</v>
      </c>
      <c r="AZ363">
        <v>0</v>
      </c>
      <c r="BA363">
        <v>0</v>
      </c>
      <c r="BB363">
        <v>0</v>
      </c>
      <c r="BC363">
        <v>0</v>
      </c>
      <c r="BD363">
        <v>0</v>
      </c>
      <c r="BE363">
        <v>0</v>
      </c>
      <c r="BF363">
        <v>0</v>
      </c>
      <c r="BG363">
        <v>0</v>
      </c>
      <c r="BI363" t="s">
        <v>287</v>
      </c>
      <c r="BK363">
        <v>0.8</v>
      </c>
      <c r="BL363">
        <v>0.797560975609756</v>
      </c>
      <c r="BM363">
        <v>0.785365853658536</v>
      </c>
      <c r="BN363">
        <v>0.773170731707317</v>
      </c>
      <c r="BO363">
        <v>0.760975609756097</v>
      </c>
      <c r="BP363">
        <v>0.748780487804878</v>
      </c>
      <c r="BQ363">
        <v>0.736585365853658</v>
      </c>
      <c r="BR363">
        <v>0.724390243902439</v>
      </c>
      <c r="BS363">
        <v>0.71219512195122</v>
      </c>
      <c r="BT363">
        <v>0.699999999999999</v>
      </c>
      <c r="BU363">
        <v>0.687499999999999</v>
      </c>
      <c r="BV363">
        <v>0.675</v>
      </c>
      <c r="BW363">
        <v>0.6625</v>
      </c>
      <c r="BX363">
        <v>0.649999999999999</v>
      </c>
      <c r="BY363">
        <v>0.637499999999999</v>
      </c>
      <c r="BZ363">
        <v>0.625</v>
      </c>
      <c r="CA363">
        <v>0.6125</v>
      </c>
      <c r="CB363">
        <v>0.6</v>
      </c>
      <c r="CC363" t="e">
        <v>#VALUE!</v>
      </c>
      <c r="CD363" t="e">
        <v>#VALUE!</v>
      </c>
      <c r="CE363" t="e">
        <v>#VALUE!</v>
      </c>
      <c r="CF363" t="e">
        <v>#VALUE!</v>
      </c>
      <c r="CG363" t="e">
        <v>#VALUE!</v>
      </c>
      <c r="CH363" t="e">
        <v>#VALUE!</v>
      </c>
      <c r="CI363" t="e">
        <v>#VALUE!</v>
      </c>
      <c r="CJ363" t="e">
        <v>#VALUE!</v>
      </c>
    </row>
    <row r="364" spans="1:88">
      <c r="A364" t="s">
        <v>34</v>
      </c>
      <c r="B364" t="s">
        <v>274</v>
      </c>
      <c r="C364" t="s">
        <v>274</v>
      </c>
      <c r="D364">
        <v>77.9501857176</v>
      </c>
      <c r="E364">
        <v>78.5809754084052</v>
      </c>
      <c r="F364">
        <v>85.7438682520293</v>
      </c>
      <c r="G364">
        <v>89.4677717850807</v>
      </c>
      <c r="H364">
        <v>93.1990699885799</v>
      </c>
      <c r="I364">
        <v>96.5208430587637</v>
      </c>
      <c r="J364">
        <v>99.6986446823919</v>
      </c>
      <c r="K364">
        <v>102.81650349287</v>
      </c>
      <c r="L364">
        <v>105.912007353888</v>
      </c>
      <c r="M364">
        <v>109.129484758281</v>
      </c>
      <c r="N364">
        <v>112.484129520629</v>
      </c>
      <c r="O364">
        <v>115.805304324309</v>
      </c>
      <c r="P364">
        <v>118.961458835215</v>
      </c>
      <c r="Q364">
        <v>121.802426094964</v>
      </c>
      <c r="R364">
        <v>124.263886451572</v>
      </c>
      <c r="S364">
        <v>126.373487676164</v>
      </c>
      <c r="T364">
        <v>128.18299048253</v>
      </c>
      <c r="U364">
        <v>129.699082974612</v>
      </c>
      <c r="V364">
        <v>5</v>
      </c>
      <c r="AF364" s="99" t="s">
        <v>272</v>
      </c>
      <c r="AH364">
        <v>1</v>
      </c>
      <c r="AI364">
        <v>1.01014620275503</v>
      </c>
      <c r="AJ364">
        <v>1.12738821387204</v>
      </c>
      <c r="AK364">
        <v>1.19071587294486</v>
      </c>
      <c r="AL364">
        <v>1.25597341974685</v>
      </c>
      <c r="AM364">
        <v>1.31575732913481</v>
      </c>
      <c r="AN364">
        <v>1.37456830524255</v>
      </c>
      <c r="AO364">
        <v>1.43391013363274</v>
      </c>
      <c r="AP364">
        <v>1.4945267176711</v>
      </c>
      <c r="AQ364">
        <v>1.55938656911768</v>
      </c>
      <c r="AR364">
        <v>1.62911108696532</v>
      </c>
      <c r="AS364">
        <v>1.70037134803812</v>
      </c>
      <c r="AT364">
        <v>1.77032134494888</v>
      </c>
      <c r="AU364">
        <v>1.83536406524192</v>
      </c>
      <c r="AV364">
        <v>1.89354476522836</v>
      </c>
      <c r="AW364">
        <v>1.94497884757828</v>
      </c>
      <c r="AX364">
        <v>1.99044749959698</v>
      </c>
      <c r="AY364">
        <v>2.02968440743037</v>
      </c>
      <c r="AZ364">
        <v>0</v>
      </c>
      <c r="BA364">
        <v>0</v>
      </c>
      <c r="BB364">
        <v>0</v>
      </c>
      <c r="BC364">
        <v>0</v>
      </c>
      <c r="BD364">
        <v>0</v>
      </c>
      <c r="BE364">
        <v>0</v>
      </c>
      <c r="BF364">
        <v>0</v>
      </c>
      <c r="BG364">
        <v>0</v>
      </c>
      <c r="BI364" t="s">
        <v>287</v>
      </c>
      <c r="BK364">
        <v>0.8</v>
      </c>
      <c r="BL364">
        <v>0.797560975609756</v>
      </c>
      <c r="BM364">
        <v>0.785365853658536</v>
      </c>
      <c r="BN364">
        <v>0.773170731707317</v>
      </c>
      <c r="BO364">
        <v>0.760975609756097</v>
      </c>
      <c r="BP364">
        <v>0.748780487804878</v>
      </c>
      <c r="BQ364">
        <v>0.736585365853658</v>
      </c>
      <c r="BR364">
        <v>0.724390243902439</v>
      </c>
      <c r="BS364">
        <v>0.71219512195122</v>
      </c>
      <c r="BT364">
        <v>0.699999999999999</v>
      </c>
      <c r="BU364">
        <v>0.687499999999999</v>
      </c>
      <c r="BV364">
        <v>0.675</v>
      </c>
      <c r="BW364">
        <v>0.6625</v>
      </c>
      <c r="BX364">
        <v>0.649999999999999</v>
      </c>
      <c r="BY364">
        <v>0.637499999999999</v>
      </c>
      <c r="BZ364">
        <v>0.625</v>
      </c>
      <c r="CA364">
        <v>0.6125</v>
      </c>
      <c r="CB364">
        <v>0.6</v>
      </c>
      <c r="CC364" t="e">
        <v>#VALUE!</v>
      </c>
      <c r="CD364" t="e">
        <v>#VALUE!</v>
      </c>
      <c r="CE364" t="e">
        <v>#VALUE!</v>
      </c>
      <c r="CF364" t="e">
        <v>#VALUE!</v>
      </c>
      <c r="CG364" t="e">
        <v>#VALUE!</v>
      </c>
      <c r="CH364" t="e">
        <v>#VALUE!</v>
      </c>
      <c r="CI364" t="e">
        <v>#VALUE!</v>
      </c>
      <c r="CJ364" t="e">
        <v>#VALUE!</v>
      </c>
    </row>
    <row r="365" spans="1:88">
      <c r="A365" t="s">
        <v>34</v>
      </c>
      <c r="B365" t="s">
        <v>275</v>
      </c>
      <c r="C365" t="s">
        <v>275</v>
      </c>
      <c r="D365">
        <v>0.35317835136</v>
      </c>
      <c r="E365">
        <v>0.356036346642533</v>
      </c>
      <c r="F365">
        <v>0.388490133149783</v>
      </c>
      <c r="G365">
        <v>0.40536247409829</v>
      </c>
      <c r="H365">
        <v>0.422268318976179</v>
      </c>
      <c r="I365">
        <v>0.437318678711944</v>
      </c>
      <c r="J365">
        <v>0.451716729570324</v>
      </c>
      <c r="K365">
        <v>0.465843190262119</v>
      </c>
      <c r="L365">
        <v>0.479868364675735</v>
      </c>
      <c r="M365">
        <v>0.494446179401387</v>
      </c>
      <c r="N365">
        <v>0.509645474895778</v>
      </c>
      <c r="O365">
        <v>0.524693123993007</v>
      </c>
      <c r="P365">
        <v>0.538993095654874</v>
      </c>
      <c r="Q365">
        <v>0.551865010247884</v>
      </c>
      <c r="R365">
        <v>0.563017446931411</v>
      </c>
      <c r="S365">
        <v>0.572575672812071</v>
      </c>
      <c r="T365">
        <v>0.580774206427489</v>
      </c>
      <c r="U365">
        <v>0.587643350380561</v>
      </c>
      <c r="V365">
        <v>5</v>
      </c>
      <c r="AF365" s="99" t="s">
        <v>272</v>
      </c>
      <c r="AH365">
        <v>1</v>
      </c>
      <c r="AI365">
        <v>1.01014620275503</v>
      </c>
      <c r="AJ365">
        <v>1.12738821387204</v>
      </c>
      <c r="AK365">
        <v>1.19071587294486</v>
      </c>
      <c r="AL365">
        <v>1.25597341974685</v>
      </c>
      <c r="AM365">
        <v>1.31575732913481</v>
      </c>
      <c r="AN365">
        <v>1.37456830524255</v>
      </c>
      <c r="AO365">
        <v>1.43391013363274</v>
      </c>
      <c r="AP365">
        <v>1.4945267176711</v>
      </c>
      <c r="AQ365">
        <v>1.55938656911768</v>
      </c>
      <c r="AR365">
        <v>1.62911108696532</v>
      </c>
      <c r="AS365">
        <v>1.70037134803812</v>
      </c>
      <c r="AT365">
        <v>1.77032134494888</v>
      </c>
      <c r="AU365">
        <v>1.83536406524192</v>
      </c>
      <c r="AV365">
        <v>1.89354476522836</v>
      </c>
      <c r="AW365">
        <v>1.94497884757828</v>
      </c>
      <c r="AX365">
        <v>1.99044749959698</v>
      </c>
      <c r="AY365">
        <v>2.02968440743037</v>
      </c>
      <c r="AZ365">
        <v>0</v>
      </c>
      <c r="BA365">
        <v>0</v>
      </c>
      <c r="BB365">
        <v>0</v>
      </c>
      <c r="BC365">
        <v>0</v>
      </c>
      <c r="BD365">
        <v>0</v>
      </c>
      <c r="BE365">
        <v>0</v>
      </c>
      <c r="BF365">
        <v>0</v>
      </c>
      <c r="BG365">
        <v>0</v>
      </c>
      <c r="BI365" t="s">
        <v>287</v>
      </c>
      <c r="BK365">
        <v>0.8</v>
      </c>
      <c r="BL365">
        <v>0.797560975609756</v>
      </c>
      <c r="BM365">
        <v>0.785365853658536</v>
      </c>
      <c r="BN365">
        <v>0.773170731707317</v>
      </c>
      <c r="BO365">
        <v>0.760975609756097</v>
      </c>
      <c r="BP365">
        <v>0.748780487804878</v>
      </c>
      <c r="BQ365">
        <v>0.736585365853658</v>
      </c>
      <c r="BR365">
        <v>0.724390243902439</v>
      </c>
      <c r="BS365">
        <v>0.71219512195122</v>
      </c>
      <c r="BT365">
        <v>0.699999999999999</v>
      </c>
      <c r="BU365">
        <v>0.687499999999999</v>
      </c>
      <c r="BV365">
        <v>0.675</v>
      </c>
      <c r="BW365">
        <v>0.6625</v>
      </c>
      <c r="BX365">
        <v>0.649999999999999</v>
      </c>
      <c r="BY365">
        <v>0.637499999999999</v>
      </c>
      <c r="BZ365">
        <v>0.625</v>
      </c>
      <c r="CA365">
        <v>0.6125</v>
      </c>
      <c r="CB365">
        <v>0.6</v>
      </c>
      <c r="CC365" t="e">
        <v>#VALUE!</v>
      </c>
      <c r="CD365" t="e">
        <v>#VALUE!</v>
      </c>
      <c r="CE365" t="e">
        <v>#VALUE!</v>
      </c>
      <c r="CF365" t="e">
        <v>#VALUE!</v>
      </c>
      <c r="CG365" t="e">
        <v>#VALUE!</v>
      </c>
      <c r="CH365" t="e">
        <v>#VALUE!</v>
      </c>
      <c r="CI365" t="e">
        <v>#VALUE!</v>
      </c>
      <c r="CJ365" t="e">
        <v>#VALUE!</v>
      </c>
    </row>
    <row r="366" spans="1:88">
      <c r="A366" t="s">
        <v>34</v>
      </c>
      <c r="B366" t="s">
        <v>276</v>
      </c>
      <c r="C366" t="s">
        <v>276</v>
      </c>
      <c r="D366">
        <v>10.98924384744</v>
      </c>
      <c r="E366">
        <v>11.0388847973258</v>
      </c>
      <c r="F366">
        <v>11.2830157113565</v>
      </c>
      <c r="G366">
        <v>11.4502252398302</v>
      </c>
      <c r="H366">
        <v>11.6000229964462</v>
      </c>
      <c r="I366">
        <v>11.7445834962148</v>
      </c>
      <c r="J366">
        <v>11.8971411453655</v>
      </c>
      <c r="K366">
        <v>12.0632503469926</v>
      </c>
      <c r="L366">
        <v>12.2090114234576</v>
      </c>
      <c r="M366">
        <v>12.3300205545094</v>
      </c>
      <c r="N366">
        <v>12.4216579834987</v>
      </c>
      <c r="O366">
        <v>12.4997918715714</v>
      </c>
      <c r="P366">
        <v>12.5686182554686</v>
      </c>
      <c r="Q366">
        <v>12.6225217095576</v>
      </c>
      <c r="R366">
        <v>12.6553694883827</v>
      </c>
      <c r="S366">
        <v>12.6663830709555</v>
      </c>
      <c r="T366">
        <v>12.6581130617616</v>
      </c>
      <c r="U366">
        <v>12.6327834024112</v>
      </c>
      <c r="V366">
        <v>5</v>
      </c>
      <c r="AF366" s="99" t="s">
        <v>277</v>
      </c>
      <c r="AH366">
        <v>1</v>
      </c>
      <c r="AI366">
        <v>1.00566380610023</v>
      </c>
      <c r="AJ366">
        <v>1.03398283660137</v>
      </c>
      <c r="AK366">
        <v>1.05380147225352</v>
      </c>
      <c r="AL366">
        <v>1.07191818270051</v>
      </c>
      <c r="AM366">
        <v>1.08975830839221</v>
      </c>
      <c r="AN366">
        <v>1.108976099595</v>
      </c>
      <c r="AO366">
        <v>1.13035083122775</v>
      </c>
      <c r="AP366">
        <v>1.14952830906317</v>
      </c>
      <c r="AQ366">
        <v>1.16580474350217</v>
      </c>
      <c r="AR366">
        <v>1.17840740324494</v>
      </c>
      <c r="AS366">
        <v>1.18938864766694</v>
      </c>
      <c r="AT366">
        <v>1.19927395274811</v>
      </c>
      <c r="AU366">
        <v>1.20718682408651</v>
      </c>
      <c r="AV366">
        <v>1.21211463663389</v>
      </c>
      <c r="AW366">
        <v>1.21380242294789</v>
      </c>
      <c r="AX366">
        <v>1.21250853913074</v>
      </c>
      <c r="AY366">
        <v>1.20846469940706</v>
      </c>
      <c r="AZ366">
        <v>0</v>
      </c>
      <c r="BA366">
        <v>0</v>
      </c>
      <c r="BB366">
        <v>0</v>
      </c>
      <c r="BC366">
        <v>0</v>
      </c>
      <c r="BD366">
        <v>0</v>
      </c>
      <c r="BE366">
        <v>0</v>
      </c>
      <c r="BF366">
        <v>0</v>
      </c>
      <c r="BG366">
        <v>0</v>
      </c>
      <c r="BI366" t="s">
        <v>287</v>
      </c>
      <c r="BK366">
        <v>0.8</v>
      </c>
      <c r="BL366">
        <v>0.797560975609756</v>
      </c>
      <c r="BM366">
        <v>0.785365853658536</v>
      </c>
      <c r="BN366">
        <v>0.773170731707317</v>
      </c>
      <c r="BO366">
        <v>0.760975609756097</v>
      </c>
      <c r="BP366">
        <v>0.748780487804878</v>
      </c>
      <c r="BQ366">
        <v>0.736585365853658</v>
      </c>
      <c r="BR366">
        <v>0.724390243902439</v>
      </c>
      <c r="BS366">
        <v>0.71219512195122</v>
      </c>
      <c r="BT366">
        <v>0.699999999999999</v>
      </c>
      <c r="BU366">
        <v>0.687499999999999</v>
      </c>
      <c r="BV366">
        <v>0.675</v>
      </c>
      <c r="BW366">
        <v>0.6625</v>
      </c>
      <c r="BX366">
        <v>0.649999999999999</v>
      </c>
      <c r="BY366">
        <v>0.637499999999999</v>
      </c>
      <c r="BZ366">
        <v>0.625</v>
      </c>
      <c r="CA366">
        <v>0.6125</v>
      </c>
      <c r="CB366">
        <v>0.6</v>
      </c>
      <c r="CC366" t="e">
        <v>#VALUE!</v>
      </c>
      <c r="CD366" t="e">
        <v>#VALUE!</v>
      </c>
      <c r="CE366" t="e">
        <v>#VALUE!</v>
      </c>
      <c r="CF366" t="e">
        <v>#VALUE!</v>
      </c>
      <c r="CG366" t="e">
        <v>#VALUE!</v>
      </c>
      <c r="CH366" t="e">
        <v>#VALUE!</v>
      </c>
      <c r="CI366" t="e">
        <v>#VALUE!</v>
      </c>
      <c r="CJ366" t="e">
        <v>#VALUE!</v>
      </c>
    </row>
    <row r="367" spans="1:88">
      <c r="A367" t="s">
        <v>34</v>
      </c>
      <c r="B367" t="s">
        <v>278</v>
      </c>
      <c r="C367" t="s">
        <v>278</v>
      </c>
      <c r="D367">
        <v>1.548676386</v>
      </c>
      <c r="E367">
        <v>1.5612086088509</v>
      </c>
      <c r="F367">
        <v>1.70351748085997</v>
      </c>
      <c r="G367">
        <v>1.77750218547982</v>
      </c>
      <c r="H367">
        <v>1.85163380381641</v>
      </c>
      <c r="I367">
        <v>1.91762917593882</v>
      </c>
      <c r="J367">
        <v>1.98076419336822</v>
      </c>
      <c r="K367">
        <v>2.04270829613357</v>
      </c>
      <c r="L367">
        <v>2.10420826163332</v>
      </c>
      <c r="M367">
        <v>2.16813153818231</v>
      </c>
      <c r="N367">
        <v>2.23477998910054</v>
      </c>
      <c r="O367">
        <v>2.30076347515498</v>
      </c>
      <c r="P367">
        <v>2.36346841827486</v>
      </c>
      <c r="Q367">
        <v>2.41991137435085</v>
      </c>
      <c r="R367">
        <v>2.46881447181317</v>
      </c>
      <c r="S367">
        <v>2.51072700313462</v>
      </c>
      <c r="T367">
        <v>2.54667732500778</v>
      </c>
      <c r="U367">
        <v>2.57679831342961</v>
      </c>
      <c r="V367">
        <v>5</v>
      </c>
      <c r="AF367" s="99" t="s">
        <v>272</v>
      </c>
      <c r="AH367">
        <v>1</v>
      </c>
      <c r="AI367">
        <v>1.01014620275503</v>
      </c>
      <c r="AJ367">
        <v>1.12738821387204</v>
      </c>
      <c r="AK367">
        <v>1.19071587294486</v>
      </c>
      <c r="AL367">
        <v>1.25597341974685</v>
      </c>
      <c r="AM367">
        <v>1.31575732913481</v>
      </c>
      <c r="AN367">
        <v>1.37456830524255</v>
      </c>
      <c r="AO367">
        <v>1.43391013363274</v>
      </c>
      <c r="AP367">
        <v>1.4945267176711</v>
      </c>
      <c r="AQ367">
        <v>1.55938656911768</v>
      </c>
      <c r="AR367">
        <v>1.62911108696532</v>
      </c>
      <c r="AS367">
        <v>1.70037134803812</v>
      </c>
      <c r="AT367">
        <v>1.77032134494888</v>
      </c>
      <c r="AU367">
        <v>1.83536406524192</v>
      </c>
      <c r="AV367">
        <v>1.89354476522836</v>
      </c>
      <c r="AW367">
        <v>1.94497884757828</v>
      </c>
      <c r="AX367">
        <v>1.99044749959698</v>
      </c>
      <c r="AY367">
        <v>2.02968440743037</v>
      </c>
      <c r="AZ367">
        <v>0</v>
      </c>
      <c r="BA367">
        <v>0</v>
      </c>
      <c r="BB367">
        <v>0</v>
      </c>
      <c r="BC367">
        <v>0</v>
      </c>
      <c r="BD367">
        <v>0</v>
      </c>
      <c r="BE367">
        <v>0</v>
      </c>
      <c r="BF367">
        <v>0</v>
      </c>
      <c r="BG367">
        <v>0</v>
      </c>
      <c r="BI367" t="s">
        <v>287</v>
      </c>
      <c r="BK367">
        <v>0.8</v>
      </c>
      <c r="BL367">
        <v>0.797560975609756</v>
      </c>
      <c r="BM367">
        <v>0.785365853658536</v>
      </c>
      <c r="BN367">
        <v>0.773170731707317</v>
      </c>
      <c r="BO367">
        <v>0.760975609756097</v>
      </c>
      <c r="BP367">
        <v>0.748780487804878</v>
      </c>
      <c r="BQ367">
        <v>0.736585365853658</v>
      </c>
      <c r="BR367">
        <v>0.724390243902439</v>
      </c>
      <c r="BS367">
        <v>0.71219512195122</v>
      </c>
      <c r="BT367">
        <v>0.699999999999999</v>
      </c>
      <c r="BU367">
        <v>0.687499999999999</v>
      </c>
      <c r="BV367">
        <v>0.675</v>
      </c>
      <c r="BW367">
        <v>0.6625</v>
      </c>
      <c r="BX367">
        <v>0.649999999999999</v>
      </c>
      <c r="BY367">
        <v>0.637499999999999</v>
      </c>
      <c r="BZ367">
        <v>0.625</v>
      </c>
      <c r="CA367">
        <v>0.6125</v>
      </c>
      <c r="CB367">
        <v>0.6</v>
      </c>
      <c r="CC367" t="e">
        <v>#VALUE!</v>
      </c>
      <c r="CD367" t="e">
        <v>#VALUE!</v>
      </c>
      <c r="CE367" t="e">
        <v>#VALUE!</v>
      </c>
      <c r="CF367" t="e">
        <v>#VALUE!</v>
      </c>
      <c r="CG367" t="e">
        <v>#VALUE!</v>
      </c>
      <c r="CH367" t="e">
        <v>#VALUE!</v>
      </c>
      <c r="CI367" t="e">
        <v>#VALUE!</v>
      </c>
      <c r="CJ367" t="e">
        <v>#VALUE!</v>
      </c>
    </row>
    <row r="368" spans="1:88">
      <c r="A368" t="s">
        <v>34</v>
      </c>
      <c r="B368" t="s">
        <v>279</v>
      </c>
      <c r="C368" t="s">
        <v>279</v>
      </c>
      <c r="D368">
        <v>0.1114861104</v>
      </c>
      <c r="E368">
        <v>0.112388280015901</v>
      </c>
      <c r="F368">
        <v>0.122632810609333</v>
      </c>
      <c r="G368">
        <v>0.127958821273487</v>
      </c>
      <c r="H368">
        <v>0.133295407961782</v>
      </c>
      <c r="I368">
        <v>0.138046282585325</v>
      </c>
      <c r="J368">
        <v>0.142591246004972</v>
      </c>
      <c r="K368">
        <v>0.147050477863839</v>
      </c>
      <c r="L368">
        <v>0.151477737170743</v>
      </c>
      <c r="M368">
        <v>0.156079445785205</v>
      </c>
      <c r="N368">
        <v>0.160877334242878</v>
      </c>
      <c r="O368">
        <v>0.1656273532122</v>
      </c>
      <c r="P368">
        <v>0.170141356443918</v>
      </c>
      <c r="Q368">
        <v>0.174204571773651</v>
      </c>
      <c r="R368">
        <v>0.177725007787186</v>
      </c>
      <c r="S368">
        <v>0.180742206949184</v>
      </c>
      <c r="T368">
        <v>0.183330198597729</v>
      </c>
      <c r="U368">
        <v>0.185498548209637</v>
      </c>
      <c r="V368">
        <v>5</v>
      </c>
      <c r="AF368" s="99" t="s">
        <v>272</v>
      </c>
      <c r="AH368">
        <v>1</v>
      </c>
      <c r="AI368">
        <v>1.01014620275503</v>
      </c>
      <c r="AJ368">
        <v>1.12738821387204</v>
      </c>
      <c r="AK368">
        <v>1.19071587294486</v>
      </c>
      <c r="AL368">
        <v>1.25597341974685</v>
      </c>
      <c r="AM368">
        <v>1.31575732913481</v>
      </c>
      <c r="AN368">
        <v>1.37456830524255</v>
      </c>
      <c r="AO368">
        <v>1.43391013363274</v>
      </c>
      <c r="AP368">
        <v>1.4945267176711</v>
      </c>
      <c r="AQ368">
        <v>1.55938656911768</v>
      </c>
      <c r="AR368">
        <v>1.62911108696532</v>
      </c>
      <c r="AS368">
        <v>1.70037134803812</v>
      </c>
      <c r="AT368">
        <v>1.77032134494888</v>
      </c>
      <c r="AU368">
        <v>1.83536406524192</v>
      </c>
      <c r="AV368">
        <v>1.89354476522836</v>
      </c>
      <c r="AW368">
        <v>1.94497884757828</v>
      </c>
      <c r="AX368">
        <v>1.99044749959698</v>
      </c>
      <c r="AY368">
        <v>2.02968440743037</v>
      </c>
      <c r="AZ368">
        <v>0</v>
      </c>
      <c r="BA368">
        <v>0</v>
      </c>
      <c r="BB368">
        <v>0</v>
      </c>
      <c r="BC368">
        <v>0</v>
      </c>
      <c r="BD368">
        <v>0</v>
      </c>
      <c r="BE368">
        <v>0</v>
      </c>
      <c r="BF368">
        <v>0</v>
      </c>
      <c r="BG368">
        <v>0</v>
      </c>
      <c r="BI368" t="s">
        <v>287</v>
      </c>
      <c r="BK368">
        <v>0.8</v>
      </c>
      <c r="BL368">
        <v>0.797560975609756</v>
      </c>
      <c r="BM368">
        <v>0.785365853658536</v>
      </c>
      <c r="BN368">
        <v>0.773170731707317</v>
      </c>
      <c r="BO368">
        <v>0.760975609756097</v>
      </c>
      <c r="BP368">
        <v>0.748780487804878</v>
      </c>
      <c r="BQ368">
        <v>0.736585365853658</v>
      </c>
      <c r="BR368">
        <v>0.724390243902439</v>
      </c>
      <c r="BS368">
        <v>0.71219512195122</v>
      </c>
      <c r="BT368">
        <v>0.699999999999999</v>
      </c>
      <c r="BU368">
        <v>0.687499999999999</v>
      </c>
      <c r="BV368">
        <v>0.675</v>
      </c>
      <c r="BW368">
        <v>0.6625</v>
      </c>
      <c r="BX368">
        <v>0.649999999999999</v>
      </c>
      <c r="BY368">
        <v>0.637499999999999</v>
      </c>
      <c r="BZ368">
        <v>0.625</v>
      </c>
      <c r="CA368">
        <v>0.6125</v>
      </c>
      <c r="CB368">
        <v>0.6</v>
      </c>
      <c r="CC368" t="e">
        <v>#VALUE!</v>
      </c>
      <c r="CD368" t="e">
        <v>#VALUE!</v>
      </c>
      <c r="CE368" t="e">
        <v>#VALUE!</v>
      </c>
      <c r="CF368" t="e">
        <v>#VALUE!</v>
      </c>
      <c r="CG368" t="e">
        <v>#VALUE!</v>
      </c>
      <c r="CH368" t="e">
        <v>#VALUE!</v>
      </c>
      <c r="CI368" t="e">
        <v>#VALUE!</v>
      </c>
      <c r="CJ368" t="e">
        <v>#VALUE!</v>
      </c>
    </row>
    <row r="369" spans="1:88">
      <c r="A369" t="s">
        <v>34</v>
      </c>
      <c r="B369" t="s">
        <v>280</v>
      </c>
      <c r="C369" t="s">
        <v>280</v>
      </c>
      <c r="D369">
        <v>0.483</v>
      </c>
      <c r="E369">
        <v>0.48518182243726</v>
      </c>
      <c r="F369">
        <v>0.495911881130451</v>
      </c>
      <c r="G369">
        <v>0.503261085804945</v>
      </c>
      <c r="H369">
        <v>0.509845007087426</v>
      </c>
      <c r="I369">
        <v>0.516198740097412</v>
      </c>
      <c r="J369">
        <v>0.522903964366043</v>
      </c>
      <c r="K369">
        <v>0.530204807399444</v>
      </c>
      <c r="L369">
        <v>0.536611308238805</v>
      </c>
      <c r="M369">
        <v>0.541929909874136</v>
      </c>
      <c r="N369">
        <v>0.545957564444029</v>
      </c>
      <c r="O369">
        <v>0.549391710456534</v>
      </c>
      <c r="P369">
        <v>0.552416772406551</v>
      </c>
      <c r="Q369">
        <v>0.554785940721169</v>
      </c>
      <c r="R369">
        <v>0.556229668551109</v>
      </c>
      <c r="S369">
        <v>0.556713738288434</v>
      </c>
      <c r="T369">
        <v>0.556350254276603</v>
      </c>
      <c r="U369">
        <v>0.555236963349941</v>
      </c>
      <c r="V369">
        <v>5</v>
      </c>
      <c r="AF369" s="99" t="s">
        <v>277</v>
      </c>
      <c r="AH369">
        <v>1</v>
      </c>
      <c r="AI369">
        <v>1.00566380610023</v>
      </c>
      <c r="AJ369">
        <v>1.03398283660137</v>
      </c>
      <c r="AK369">
        <v>1.05380147225352</v>
      </c>
      <c r="AL369">
        <v>1.07191818270051</v>
      </c>
      <c r="AM369">
        <v>1.08975830839221</v>
      </c>
      <c r="AN369">
        <v>1.108976099595</v>
      </c>
      <c r="AO369">
        <v>1.13035083122775</v>
      </c>
      <c r="AP369">
        <v>1.14952830906317</v>
      </c>
      <c r="AQ369">
        <v>1.16580474350217</v>
      </c>
      <c r="AR369">
        <v>1.17840740324494</v>
      </c>
      <c r="AS369">
        <v>1.18938864766694</v>
      </c>
      <c r="AT369">
        <v>1.19927395274811</v>
      </c>
      <c r="AU369">
        <v>1.20718682408651</v>
      </c>
      <c r="AV369">
        <v>1.21211463663389</v>
      </c>
      <c r="AW369">
        <v>1.21380242294789</v>
      </c>
      <c r="AX369">
        <v>1.21250853913074</v>
      </c>
      <c r="AY369">
        <v>1.20846469940706</v>
      </c>
      <c r="AZ369">
        <v>0</v>
      </c>
      <c r="BA369">
        <v>0</v>
      </c>
      <c r="BB369">
        <v>0</v>
      </c>
      <c r="BC369">
        <v>0</v>
      </c>
      <c r="BD369">
        <v>0</v>
      </c>
      <c r="BE369">
        <v>0</v>
      </c>
      <c r="BF369">
        <v>0</v>
      </c>
      <c r="BG369">
        <v>0</v>
      </c>
      <c r="BI369" t="s">
        <v>287</v>
      </c>
      <c r="BK369">
        <v>0.8</v>
      </c>
      <c r="BL369">
        <v>0.797560975609756</v>
      </c>
      <c r="BM369">
        <v>0.785365853658536</v>
      </c>
      <c r="BN369">
        <v>0.773170731707317</v>
      </c>
      <c r="BO369">
        <v>0.760975609756097</v>
      </c>
      <c r="BP369">
        <v>0.748780487804878</v>
      </c>
      <c r="BQ369">
        <v>0.736585365853658</v>
      </c>
      <c r="BR369">
        <v>0.724390243902439</v>
      </c>
      <c r="BS369">
        <v>0.71219512195122</v>
      </c>
      <c r="BT369">
        <v>0.699999999999999</v>
      </c>
      <c r="BU369">
        <v>0.687499999999999</v>
      </c>
      <c r="BV369">
        <v>0.675</v>
      </c>
      <c r="BW369">
        <v>0.6625</v>
      </c>
      <c r="BX369">
        <v>0.649999999999999</v>
      </c>
      <c r="BY369">
        <v>0.637499999999999</v>
      </c>
      <c r="BZ369">
        <v>0.625</v>
      </c>
      <c r="CA369">
        <v>0.6125</v>
      </c>
      <c r="CB369">
        <v>0.6</v>
      </c>
      <c r="CC369" t="e">
        <v>#VALUE!</v>
      </c>
      <c r="CD369" t="e">
        <v>#VALUE!</v>
      </c>
      <c r="CE369" t="e">
        <v>#VALUE!</v>
      </c>
      <c r="CF369" t="e">
        <v>#VALUE!</v>
      </c>
      <c r="CG369" t="e">
        <v>#VALUE!</v>
      </c>
      <c r="CH369" t="e">
        <v>#VALUE!</v>
      </c>
      <c r="CI369" t="e">
        <v>#VALUE!</v>
      </c>
      <c r="CJ369" t="e">
        <v>#VALUE!</v>
      </c>
    </row>
    <row r="370" spans="1:88">
      <c r="A370" t="s">
        <v>34</v>
      </c>
      <c r="B370" t="s">
        <v>281</v>
      </c>
      <c r="C370" t="s">
        <v>281</v>
      </c>
      <c r="D370">
        <v>0.285</v>
      </c>
      <c r="E370">
        <v>0.286287410754905</v>
      </c>
      <c r="F370">
        <v>0.29261881184716</v>
      </c>
      <c r="G370">
        <v>0.296955299077452</v>
      </c>
      <c r="H370">
        <v>0.300840221573326</v>
      </c>
      <c r="I370">
        <v>0.30458931869102</v>
      </c>
      <c r="J370">
        <v>0.308545817483069</v>
      </c>
      <c r="K370">
        <v>0.312853768341287</v>
      </c>
      <c r="L370">
        <v>0.316634001755817</v>
      </c>
      <c r="M370">
        <v>0.319772307068589</v>
      </c>
      <c r="N370">
        <v>0.322148873429706</v>
      </c>
      <c r="O370">
        <v>0.324175232878079</v>
      </c>
      <c r="P370">
        <v>0.325960207320636</v>
      </c>
      <c r="Q370">
        <v>0.327358163779572</v>
      </c>
      <c r="R370">
        <v>0.328210052871772</v>
      </c>
      <c r="S370">
        <v>0.328495684083237</v>
      </c>
      <c r="T370">
        <v>0.32828120593961</v>
      </c>
      <c r="U370">
        <v>0.327624295144375</v>
      </c>
      <c r="V370">
        <v>5</v>
      </c>
      <c r="AF370" s="99" t="s">
        <v>277</v>
      </c>
      <c r="AH370">
        <v>1</v>
      </c>
      <c r="AI370">
        <v>1.00566380610023</v>
      </c>
      <c r="AJ370">
        <v>1.03398283660137</v>
      </c>
      <c r="AK370">
        <v>1.05380147225352</v>
      </c>
      <c r="AL370">
        <v>1.07191818270051</v>
      </c>
      <c r="AM370">
        <v>1.08975830839221</v>
      </c>
      <c r="AN370">
        <v>1.108976099595</v>
      </c>
      <c r="AO370">
        <v>1.13035083122775</v>
      </c>
      <c r="AP370">
        <v>1.14952830906317</v>
      </c>
      <c r="AQ370">
        <v>1.16580474350217</v>
      </c>
      <c r="AR370">
        <v>1.17840740324494</v>
      </c>
      <c r="AS370">
        <v>1.18938864766694</v>
      </c>
      <c r="AT370">
        <v>1.19927395274811</v>
      </c>
      <c r="AU370">
        <v>1.20718682408651</v>
      </c>
      <c r="AV370">
        <v>1.21211463663389</v>
      </c>
      <c r="AW370">
        <v>1.21380242294789</v>
      </c>
      <c r="AX370">
        <v>1.21250853913074</v>
      </c>
      <c r="AY370">
        <v>1.20846469940706</v>
      </c>
      <c r="AZ370">
        <v>0</v>
      </c>
      <c r="BA370">
        <v>0</v>
      </c>
      <c r="BB370">
        <v>0</v>
      </c>
      <c r="BC370">
        <v>0</v>
      </c>
      <c r="BD370">
        <v>0</v>
      </c>
      <c r="BE370">
        <v>0</v>
      </c>
      <c r="BF370">
        <v>0</v>
      </c>
      <c r="BG370">
        <v>0</v>
      </c>
      <c r="BI370" t="s">
        <v>287</v>
      </c>
      <c r="BK370">
        <v>0.8</v>
      </c>
      <c r="BL370">
        <v>0.797560975609756</v>
      </c>
      <c r="BM370">
        <v>0.785365853658536</v>
      </c>
      <c r="BN370">
        <v>0.773170731707317</v>
      </c>
      <c r="BO370">
        <v>0.760975609756097</v>
      </c>
      <c r="BP370">
        <v>0.748780487804878</v>
      </c>
      <c r="BQ370">
        <v>0.736585365853658</v>
      </c>
      <c r="BR370">
        <v>0.724390243902439</v>
      </c>
      <c r="BS370">
        <v>0.71219512195122</v>
      </c>
      <c r="BT370">
        <v>0.699999999999999</v>
      </c>
      <c r="BU370">
        <v>0.687499999999999</v>
      </c>
      <c r="BV370">
        <v>0.675</v>
      </c>
      <c r="BW370">
        <v>0.6625</v>
      </c>
      <c r="BX370">
        <v>0.649999999999999</v>
      </c>
      <c r="BY370">
        <v>0.637499999999999</v>
      </c>
      <c r="BZ370">
        <v>0.625</v>
      </c>
      <c r="CA370">
        <v>0.6125</v>
      </c>
      <c r="CB370">
        <v>0.6</v>
      </c>
      <c r="CC370" t="e">
        <v>#VALUE!</v>
      </c>
      <c r="CD370" t="e">
        <v>#VALUE!</v>
      </c>
      <c r="CE370" t="e">
        <v>#VALUE!</v>
      </c>
      <c r="CF370" t="e">
        <v>#VALUE!</v>
      </c>
      <c r="CG370" t="e">
        <v>#VALUE!</v>
      </c>
      <c r="CH370" t="e">
        <v>#VALUE!</v>
      </c>
      <c r="CI370" t="e">
        <v>#VALUE!</v>
      </c>
      <c r="CJ370" t="e">
        <v>#VALUE!</v>
      </c>
    </row>
    <row r="371" spans="1:88">
      <c r="A371" t="s">
        <v>34</v>
      </c>
      <c r="B371" t="s">
        <v>282</v>
      </c>
      <c r="C371" t="s">
        <v>282</v>
      </c>
      <c r="D371">
        <v>0.35</v>
      </c>
      <c r="E371">
        <v>0.351581030751637</v>
      </c>
      <c r="F371">
        <v>0.359356435601776</v>
      </c>
      <c r="G371">
        <v>0.364681946235467</v>
      </c>
      <c r="H371">
        <v>0.369452903686541</v>
      </c>
      <c r="I371">
        <v>0.374057058041603</v>
      </c>
      <c r="J371">
        <v>0.378915916207278</v>
      </c>
      <c r="K371">
        <v>0.38420638217351</v>
      </c>
      <c r="L371">
        <v>0.388848774086091</v>
      </c>
      <c r="M371">
        <v>0.392702833242127</v>
      </c>
      <c r="N371">
        <v>0.395621423510166</v>
      </c>
      <c r="O371">
        <v>0.39810993511343</v>
      </c>
      <c r="P371">
        <v>0.400302008990255</v>
      </c>
      <c r="Q371">
        <v>0.402018797624036</v>
      </c>
      <c r="R371">
        <v>0.403064977210948</v>
      </c>
      <c r="S371">
        <v>0.403415752382923</v>
      </c>
      <c r="T371">
        <v>0.403152358171451</v>
      </c>
      <c r="U371">
        <v>0.402345625615899</v>
      </c>
      <c r="V371">
        <v>5</v>
      </c>
      <c r="AF371" s="99" t="s">
        <v>277</v>
      </c>
      <c r="AH371">
        <v>1</v>
      </c>
      <c r="AI371">
        <v>1.00566380610023</v>
      </c>
      <c r="AJ371">
        <v>1.03398283660137</v>
      </c>
      <c r="AK371">
        <v>1.05380147225352</v>
      </c>
      <c r="AL371">
        <v>1.07191818270051</v>
      </c>
      <c r="AM371">
        <v>1.08975830839221</v>
      </c>
      <c r="AN371">
        <v>1.108976099595</v>
      </c>
      <c r="AO371">
        <v>1.13035083122775</v>
      </c>
      <c r="AP371">
        <v>1.14952830906317</v>
      </c>
      <c r="AQ371">
        <v>1.16580474350217</v>
      </c>
      <c r="AR371">
        <v>1.17840740324494</v>
      </c>
      <c r="AS371">
        <v>1.18938864766694</v>
      </c>
      <c r="AT371">
        <v>1.19927395274811</v>
      </c>
      <c r="AU371">
        <v>1.20718682408651</v>
      </c>
      <c r="AV371">
        <v>1.21211463663389</v>
      </c>
      <c r="AW371">
        <v>1.21380242294789</v>
      </c>
      <c r="AX371">
        <v>1.21250853913074</v>
      </c>
      <c r="AY371">
        <v>1.20846469940706</v>
      </c>
      <c r="AZ371">
        <v>0</v>
      </c>
      <c r="BA371">
        <v>0</v>
      </c>
      <c r="BB371">
        <v>0</v>
      </c>
      <c r="BC371">
        <v>0</v>
      </c>
      <c r="BD371">
        <v>0</v>
      </c>
      <c r="BE371">
        <v>0</v>
      </c>
      <c r="BF371">
        <v>0</v>
      </c>
      <c r="BG371">
        <v>0</v>
      </c>
      <c r="BI371" t="s">
        <v>287</v>
      </c>
      <c r="BK371">
        <v>0.8</v>
      </c>
      <c r="BL371">
        <v>0.797560975609756</v>
      </c>
      <c r="BM371">
        <v>0.785365853658536</v>
      </c>
      <c r="BN371">
        <v>0.773170731707317</v>
      </c>
      <c r="BO371">
        <v>0.760975609756097</v>
      </c>
      <c r="BP371">
        <v>0.748780487804878</v>
      </c>
      <c r="BQ371">
        <v>0.736585365853658</v>
      </c>
      <c r="BR371">
        <v>0.724390243902439</v>
      </c>
      <c r="BS371">
        <v>0.71219512195122</v>
      </c>
      <c r="BT371">
        <v>0.699999999999999</v>
      </c>
      <c r="BU371">
        <v>0.687499999999999</v>
      </c>
      <c r="BV371">
        <v>0.675</v>
      </c>
      <c r="BW371">
        <v>0.6625</v>
      </c>
      <c r="BX371">
        <v>0.649999999999999</v>
      </c>
      <c r="BY371">
        <v>0.637499999999999</v>
      </c>
      <c r="BZ371">
        <v>0.625</v>
      </c>
      <c r="CA371">
        <v>0.6125</v>
      </c>
      <c r="CB371">
        <v>0.6</v>
      </c>
      <c r="CC371" t="e">
        <v>#VALUE!</v>
      </c>
      <c r="CD371" t="e">
        <v>#VALUE!</v>
      </c>
      <c r="CE371" t="e">
        <v>#VALUE!</v>
      </c>
      <c r="CF371" t="e">
        <v>#VALUE!</v>
      </c>
      <c r="CG371" t="e">
        <v>#VALUE!</v>
      </c>
      <c r="CH371" t="e">
        <v>#VALUE!</v>
      </c>
      <c r="CI371" t="e">
        <v>#VALUE!</v>
      </c>
      <c r="CJ371" t="e">
        <v>#VALUE!</v>
      </c>
    </row>
    <row r="372" spans="1:88">
      <c r="A372" t="s">
        <v>34</v>
      </c>
      <c r="B372" t="s">
        <v>283</v>
      </c>
      <c r="C372" t="s">
        <v>283</v>
      </c>
      <c r="D372">
        <v>57.564</v>
      </c>
      <c r="E372">
        <v>57.7686314236342</v>
      </c>
      <c r="F372">
        <v>61.6476017768071</v>
      </c>
      <c r="G372">
        <v>63.3782283286491</v>
      </c>
      <c r="H372">
        <v>65.1616423283287</v>
      </c>
      <c r="I372">
        <v>66.6473371182639</v>
      </c>
      <c r="J372">
        <v>67.9528530131528</v>
      </c>
      <c r="K372">
        <v>69.1069219435617</v>
      </c>
      <c r="L372">
        <v>70.3317254034313</v>
      </c>
      <c r="M372">
        <v>71.7511295394044</v>
      </c>
      <c r="N372">
        <v>73.4056181300633</v>
      </c>
      <c r="O372">
        <v>75.095493175947</v>
      </c>
      <c r="P372">
        <v>76.7151909420303</v>
      </c>
      <c r="Q372">
        <v>78.2083945540549</v>
      </c>
      <c r="R372">
        <v>79.5797583083369</v>
      </c>
      <c r="S372">
        <v>80.8597286074797</v>
      </c>
      <c r="T372">
        <v>82.0716199812662</v>
      </c>
      <c r="U372">
        <v>83.2103554351266</v>
      </c>
      <c r="V372">
        <v>5</v>
      </c>
      <c r="AF372" s="99" t="s">
        <v>284</v>
      </c>
      <c r="AH372">
        <v>1</v>
      </c>
      <c r="AI372">
        <v>1.00445715220894</v>
      </c>
      <c r="AJ372">
        <v>1.0903355200534</v>
      </c>
      <c r="AK372">
        <v>1.12992428298524</v>
      </c>
      <c r="AL372">
        <v>1.17170642313637</v>
      </c>
      <c r="AM372">
        <v>1.2073845356371</v>
      </c>
      <c r="AN372">
        <v>1.23949317369828</v>
      </c>
      <c r="AO372">
        <v>1.26855317306687</v>
      </c>
      <c r="AP372">
        <v>1.30012171591415</v>
      </c>
      <c r="AQ372">
        <v>1.3376052703587</v>
      </c>
      <c r="AR372">
        <v>1.38246847607992</v>
      </c>
      <c r="AS372">
        <v>1.42961793974871</v>
      </c>
      <c r="AT372">
        <v>1.47616092294194</v>
      </c>
      <c r="AU372">
        <v>1.52036456049854</v>
      </c>
      <c r="AV372">
        <v>1.56218290580736</v>
      </c>
      <c r="AW372">
        <v>1.6023850429089</v>
      </c>
      <c r="AX372">
        <v>1.64159462416979</v>
      </c>
      <c r="AY372">
        <v>1.67955622404714</v>
      </c>
      <c r="AZ372">
        <v>0</v>
      </c>
      <c r="BA372">
        <v>0</v>
      </c>
      <c r="BB372">
        <v>0</v>
      </c>
      <c r="BC372">
        <v>0</v>
      </c>
      <c r="BD372">
        <v>0</v>
      </c>
      <c r="BE372">
        <v>0</v>
      </c>
      <c r="BF372">
        <v>0</v>
      </c>
      <c r="BG372">
        <v>0</v>
      </c>
      <c r="BI372" t="s">
        <v>287</v>
      </c>
      <c r="BK372">
        <v>0.8</v>
      </c>
      <c r="BL372">
        <v>0.797560975609756</v>
      </c>
      <c r="BM372">
        <v>0.785365853658536</v>
      </c>
      <c r="BN372">
        <v>0.773170731707317</v>
      </c>
      <c r="BO372">
        <v>0.760975609756097</v>
      </c>
      <c r="BP372">
        <v>0.748780487804878</v>
      </c>
      <c r="BQ372">
        <v>0.736585365853658</v>
      </c>
      <c r="BR372">
        <v>0.724390243902439</v>
      </c>
      <c r="BS372">
        <v>0.71219512195122</v>
      </c>
      <c r="BT372">
        <v>0.699999999999999</v>
      </c>
      <c r="BU372">
        <v>0.687499999999999</v>
      </c>
      <c r="BV372">
        <v>0.675</v>
      </c>
      <c r="BW372">
        <v>0.6625</v>
      </c>
      <c r="BX372">
        <v>0.649999999999999</v>
      </c>
      <c r="BY372">
        <v>0.637499999999999</v>
      </c>
      <c r="BZ372">
        <v>0.625</v>
      </c>
      <c r="CA372">
        <v>0.6125</v>
      </c>
      <c r="CB372">
        <v>0.6</v>
      </c>
      <c r="CC372" t="e">
        <v>#VALUE!</v>
      </c>
      <c r="CD372" t="e">
        <v>#VALUE!</v>
      </c>
      <c r="CE372" t="e">
        <v>#VALUE!</v>
      </c>
      <c r="CF372" t="e">
        <v>#VALUE!</v>
      </c>
      <c r="CG372" t="e">
        <v>#VALUE!</v>
      </c>
      <c r="CH372" t="e">
        <v>#VALUE!</v>
      </c>
      <c r="CI372" t="e">
        <v>#VALUE!</v>
      </c>
      <c r="CJ372" t="e">
        <v>#VALUE!</v>
      </c>
    </row>
    <row r="373" spans="1:88">
      <c r="A373" t="s">
        <v>34</v>
      </c>
      <c r="B373" t="s">
        <v>285</v>
      </c>
      <c r="C373" t="s">
        <v>285</v>
      </c>
      <c r="D373">
        <v>10.8</v>
      </c>
      <c r="E373">
        <v>10.8873959259748</v>
      </c>
      <c r="F373">
        <v>11.8798148919975</v>
      </c>
      <c r="G373">
        <v>12.3957618110037</v>
      </c>
      <c r="H373">
        <v>12.9127332617682</v>
      </c>
      <c r="I373">
        <v>13.372964996019</v>
      </c>
      <c r="J373">
        <v>13.8132494830826</v>
      </c>
      <c r="K373">
        <v>14.245228892024</v>
      </c>
      <c r="L373">
        <v>14.6741110222106</v>
      </c>
      <c r="M373">
        <v>15.1198925895994</v>
      </c>
      <c r="N373">
        <v>15.5846786975454</v>
      </c>
      <c r="O373">
        <v>16.0448275419587</v>
      </c>
      <c r="P373">
        <v>16.4821128210633</v>
      </c>
      <c r="Q373">
        <v>16.8757288993681</v>
      </c>
      <c r="R373">
        <v>17.216764287631</v>
      </c>
      <c r="S373">
        <v>17.5090495851687</v>
      </c>
      <c r="T373">
        <v>17.7597562400516</v>
      </c>
      <c r="U373">
        <v>17.9698108892324</v>
      </c>
      <c r="V373">
        <v>5</v>
      </c>
      <c r="AF373" s="99" t="s">
        <v>272</v>
      </c>
      <c r="AH373">
        <v>1</v>
      </c>
      <c r="AI373">
        <v>1.01014620275503</v>
      </c>
      <c r="AJ373">
        <v>1.12738821387204</v>
      </c>
      <c r="AK373">
        <v>1.19071587294486</v>
      </c>
      <c r="AL373">
        <v>1.25597341974685</v>
      </c>
      <c r="AM373">
        <v>1.31575732913481</v>
      </c>
      <c r="AN373">
        <v>1.37456830524255</v>
      </c>
      <c r="AO373">
        <v>1.43391013363274</v>
      </c>
      <c r="AP373">
        <v>1.4945267176711</v>
      </c>
      <c r="AQ373">
        <v>1.55938656911768</v>
      </c>
      <c r="AR373">
        <v>1.62911108696532</v>
      </c>
      <c r="AS373">
        <v>1.70037134803812</v>
      </c>
      <c r="AT373">
        <v>1.77032134494888</v>
      </c>
      <c r="AU373">
        <v>1.83536406524192</v>
      </c>
      <c r="AV373">
        <v>1.89354476522836</v>
      </c>
      <c r="AW373">
        <v>1.94497884757828</v>
      </c>
      <c r="AX373">
        <v>1.99044749959698</v>
      </c>
      <c r="AY373">
        <v>2.02968440743037</v>
      </c>
      <c r="AZ373">
        <v>0</v>
      </c>
      <c r="BA373">
        <v>0</v>
      </c>
      <c r="BB373">
        <v>0</v>
      </c>
      <c r="BC373">
        <v>0</v>
      </c>
      <c r="BD373">
        <v>0</v>
      </c>
      <c r="BE373">
        <v>0</v>
      </c>
      <c r="BF373">
        <v>0</v>
      </c>
      <c r="BG373">
        <v>0</v>
      </c>
      <c r="BI373" t="s">
        <v>287</v>
      </c>
      <c r="BK373">
        <v>0.8</v>
      </c>
      <c r="BL373">
        <v>0.797560975609756</v>
      </c>
      <c r="BM373">
        <v>0.785365853658536</v>
      </c>
      <c r="BN373">
        <v>0.773170731707317</v>
      </c>
      <c r="BO373">
        <v>0.760975609756097</v>
      </c>
      <c r="BP373">
        <v>0.748780487804878</v>
      </c>
      <c r="BQ373">
        <v>0.736585365853658</v>
      </c>
      <c r="BR373">
        <v>0.724390243902439</v>
      </c>
      <c r="BS373">
        <v>0.71219512195122</v>
      </c>
      <c r="BT373">
        <v>0.699999999999999</v>
      </c>
      <c r="BU373">
        <v>0.687499999999999</v>
      </c>
      <c r="BV373">
        <v>0.675</v>
      </c>
      <c r="BW373">
        <v>0.6625</v>
      </c>
      <c r="BX373">
        <v>0.649999999999999</v>
      </c>
      <c r="BY373">
        <v>0.637499999999999</v>
      </c>
      <c r="BZ373">
        <v>0.625</v>
      </c>
      <c r="CA373">
        <v>0.6125</v>
      </c>
      <c r="CB373">
        <v>0.6</v>
      </c>
      <c r="CC373" t="e">
        <v>#VALUE!</v>
      </c>
      <c r="CD373" t="e">
        <v>#VALUE!</v>
      </c>
      <c r="CE373" t="e">
        <v>#VALUE!</v>
      </c>
      <c r="CF373" t="e">
        <v>#VALUE!</v>
      </c>
      <c r="CG373" t="e">
        <v>#VALUE!</v>
      </c>
      <c r="CH373" t="e">
        <v>#VALUE!</v>
      </c>
      <c r="CI373" t="e">
        <v>#VALUE!</v>
      </c>
      <c r="CJ373" t="e">
        <v>#VALUE!</v>
      </c>
    </row>
    <row r="374" spans="1:88">
      <c r="A374" t="s">
        <v>34</v>
      </c>
      <c r="B374" t="s">
        <v>286</v>
      </c>
      <c r="C374" t="s">
        <v>286</v>
      </c>
      <c r="D374">
        <v>6.56</v>
      </c>
      <c r="E374">
        <v>6.61308493281432</v>
      </c>
      <c r="F374">
        <v>7.21588756402812</v>
      </c>
      <c r="G374">
        <v>7.52927754446151</v>
      </c>
      <c r="H374">
        <v>7.84328983307403</v>
      </c>
      <c r="I374">
        <v>8.12283799758193</v>
      </c>
      <c r="J374">
        <v>8.39027005639093</v>
      </c>
      <c r="K374">
        <v>8.6526575492294</v>
      </c>
      <c r="L374">
        <v>8.91316373200939</v>
      </c>
      <c r="M374">
        <v>9.18393475812702</v>
      </c>
      <c r="N374">
        <v>9.46624928295352</v>
      </c>
      <c r="O374">
        <v>9.74574709956007</v>
      </c>
      <c r="P374">
        <v>10.0113574172384</v>
      </c>
      <c r="Q374">
        <v>10.2504427388755</v>
      </c>
      <c r="R374">
        <v>10.4575901598944</v>
      </c>
      <c r="S374">
        <v>10.6351264146951</v>
      </c>
      <c r="T374">
        <v>10.7874074939572</v>
      </c>
      <c r="U374">
        <v>10.91499624383</v>
      </c>
      <c r="V374">
        <v>5</v>
      </c>
      <c r="AF374" s="99" t="s">
        <v>272</v>
      </c>
      <c r="AH374">
        <v>1</v>
      </c>
      <c r="AI374">
        <v>1.01014620275503</v>
      </c>
      <c r="AJ374">
        <v>1.12738821387204</v>
      </c>
      <c r="AK374">
        <v>1.19071587294486</v>
      </c>
      <c r="AL374">
        <v>1.25597341974685</v>
      </c>
      <c r="AM374">
        <v>1.31575732913481</v>
      </c>
      <c r="AN374">
        <v>1.37456830524255</v>
      </c>
      <c r="AO374">
        <v>1.43391013363274</v>
      </c>
      <c r="AP374">
        <v>1.4945267176711</v>
      </c>
      <c r="AQ374">
        <v>1.55938656911768</v>
      </c>
      <c r="AR374">
        <v>1.62911108696532</v>
      </c>
      <c r="AS374">
        <v>1.70037134803812</v>
      </c>
      <c r="AT374">
        <v>1.77032134494888</v>
      </c>
      <c r="AU374">
        <v>1.83536406524192</v>
      </c>
      <c r="AV374">
        <v>1.89354476522836</v>
      </c>
      <c r="AW374">
        <v>1.94497884757828</v>
      </c>
      <c r="AX374">
        <v>1.99044749959698</v>
      </c>
      <c r="AY374">
        <v>2.02968440743037</v>
      </c>
      <c r="AZ374">
        <v>0</v>
      </c>
      <c r="BA374">
        <v>0</v>
      </c>
      <c r="BB374">
        <v>0</v>
      </c>
      <c r="BC374">
        <v>0</v>
      </c>
      <c r="BD374">
        <v>0</v>
      </c>
      <c r="BE374">
        <v>0</v>
      </c>
      <c r="BF374">
        <v>0</v>
      </c>
      <c r="BG374">
        <v>0</v>
      </c>
      <c r="BI374" t="s">
        <v>287</v>
      </c>
      <c r="BK374">
        <v>0.8</v>
      </c>
      <c r="BL374">
        <v>0.797560975609756</v>
      </c>
      <c r="BM374">
        <v>0.785365853658536</v>
      </c>
      <c r="BN374">
        <v>0.773170731707317</v>
      </c>
      <c r="BO374">
        <v>0.760975609756097</v>
      </c>
      <c r="BP374">
        <v>0.748780487804878</v>
      </c>
      <c r="BQ374">
        <v>0.736585365853658</v>
      </c>
      <c r="BR374">
        <v>0.724390243902439</v>
      </c>
      <c r="BS374">
        <v>0.71219512195122</v>
      </c>
      <c r="BT374">
        <v>0.699999999999999</v>
      </c>
      <c r="BU374">
        <v>0.687499999999999</v>
      </c>
      <c r="BV374">
        <v>0.675</v>
      </c>
      <c r="BW374">
        <v>0.6625</v>
      </c>
      <c r="BX374">
        <v>0.649999999999999</v>
      </c>
      <c r="BY374">
        <v>0.637499999999999</v>
      </c>
      <c r="BZ374">
        <v>0.625</v>
      </c>
      <c r="CA374">
        <v>0.6125</v>
      </c>
      <c r="CB374">
        <v>0.6</v>
      </c>
      <c r="CC374" t="e">
        <v>#VALUE!</v>
      </c>
      <c r="CD374" t="e">
        <v>#VALUE!</v>
      </c>
      <c r="CE374" t="e">
        <v>#VALUE!</v>
      </c>
      <c r="CF374" t="e">
        <v>#VALUE!</v>
      </c>
      <c r="CG374" t="e">
        <v>#VALUE!</v>
      </c>
      <c r="CH374" t="e">
        <v>#VALUE!</v>
      </c>
      <c r="CI374" t="e">
        <v>#VALUE!</v>
      </c>
      <c r="CJ374" t="e">
        <v>#VALUE!</v>
      </c>
    </row>
    <row r="375" spans="1:88">
      <c r="A375" t="s">
        <v>35</v>
      </c>
      <c r="B375" t="s">
        <v>271</v>
      </c>
      <c r="C375" t="s">
        <v>271</v>
      </c>
      <c r="D375">
        <v>50.4389992464</v>
      </c>
      <c r="E375">
        <v>51.6742677900742</v>
      </c>
      <c r="F375">
        <v>64.0211471286624</v>
      </c>
      <c r="G375">
        <v>74.4138863987063</v>
      </c>
      <c r="H375">
        <v>84.1703023825923</v>
      </c>
      <c r="I375">
        <v>92.7134580001973</v>
      </c>
      <c r="J375">
        <v>100.440260651775</v>
      </c>
      <c r="K375">
        <v>107.299052640197</v>
      </c>
      <c r="L375">
        <v>113.515172979808</v>
      </c>
      <c r="M375">
        <v>119.058703895838</v>
      </c>
      <c r="N375">
        <v>123.723418066123</v>
      </c>
      <c r="O375">
        <v>127.399700311051</v>
      </c>
      <c r="P375">
        <v>130.268831644974</v>
      </c>
      <c r="Q375">
        <v>132.471082634242</v>
      </c>
      <c r="R375">
        <v>134.220235163327</v>
      </c>
      <c r="S375">
        <v>135.68176652368</v>
      </c>
      <c r="T375">
        <v>136.936982571323</v>
      </c>
      <c r="U375">
        <v>138.003364921854</v>
      </c>
      <c r="V375">
        <v>5</v>
      </c>
      <c r="AF375" s="99" t="s">
        <v>272</v>
      </c>
      <c r="AH375">
        <v>1</v>
      </c>
      <c r="AI375">
        <v>1.03070655003645</v>
      </c>
      <c r="AJ375">
        <v>1.34428477211982</v>
      </c>
      <c r="AK375">
        <v>1.62652730049637</v>
      </c>
      <c r="AL375">
        <v>1.90676524697143</v>
      </c>
      <c r="AM375">
        <v>2.16523048352945</v>
      </c>
      <c r="AN375">
        <v>2.41021468985387</v>
      </c>
      <c r="AO375">
        <v>2.63742233329862</v>
      </c>
      <c r="AP375">
        <v>2.85196032489847</v>
      </c>
      <c r="AQ375">
        <v>3.05092592592593</v>
      </c>
      <c r="AR375">
        <v>3.22479520288799</v>
      </c>
      <c r="AS375">
        <v>3.36675170953521</v>
      </c>
      <c r="AT375">
        <v>3.48119945156028</v>
      </c>
      <c r="AU375">
        <v>3.57173973411087</v>
      </c>
      <c r="AV375">
        <v>3.64571835190392</v>
      </c>
      <c r="AW375">
        <v>3.70923582908119</v>
      </c>
      <c r="AX375">
        <v>3.76525998819813</v>
      </c>
      <c r="AY375">
        <v>3.81412926516019</v>
      </c>
      <c r="AZ375">
        <v>0</v>
      </c>
      <c r="BA375">
        <v>0</v>
      </c>
      <c r="BB375">
        <v>0</v>
      </c>
      <c r="BC375">
        <v>0</v>
      </c>
      <c r="BD375">
        <v>0</v>
      </c>
      <c r="BE375">
        <v>0</v>
      </c>
      <c r="BF375">
        <v>0</v>
      </c>
      <c r="BG375">
        <v>0</v>
      </c>
      <c r="BI375" t="s">
        <v>287</v>
      </c>
      <c r="BK375">
        <v>0.8</v>
      </c>
      <c r="BL375">
        <v>0.797560975609756</v>
      </c>
      <c r="BM375">
        <v>0.785365853658536</v>
      </c>
      <c r="BN375">
        <v>0.773170731707317</v>
      </c>
      <c r="BO375">
        <v>0.760975609756097</v>
      </c>
      <c r="BP375">
        <v>0.748780487804878</v>
      </c>
      <c r="BQ375">
        <v>0.736585365853658</v>
      </c>
      <c r="BR375">
        <v>0.724390243902439</v>
      </c>
      <c r="BS375">
        <v>0.71219512195122</v>
      </c>
      <c r="BT375">
        <v>0.699999999999999</v>
      </c>
      <c r="BU375">
        <v>0.687499999999999</v>
      </c>
      <c r="BV375">
        <v>0.675</v>
      </c>
      <c r="BW375">
        <v>0.6625</v>
      </c>
      <c r="BX375">
        <v>0.649999999999999</v>
      </c>
      <c r="BY375">
        <v>0.637499999999999</v>
      </c>
      <c r="BZ375">
        <v>0.625</v>
      </c>
      <c r="CA375">
        <v>0.6125</v>
      </c>
      <c r="CB375">
        <v>0.6</v>
      </c>
      <c r="CC375" t="e">
        <v>#VALUE!</v>
      </c>
      <c r="CD375" t="e">
        <v>#VALUE!</v>
      </c>
      <c r="CE375" t="e">
        <v>#VALUE!</v>
      </c>
      <c r="CF375" t="e">
        <v>#VALUE!</v>
      </c>
      <c r="CG375" t="e">
        <v>#VALUE!</v>
      </c>
      <c r="CH375" t="e">
        <v>#VALUE!</v>
      </c>
      <c r="CI375" t="e">
        <v>#VALUE!</v>
      </c>
      <c r="CJ375" t="e">
        <v>#VALUE!</v>
      </c>
    </row>
    <row r="376" spans="1:88">
      <c r="A376" t="s">
        <v>35</v>
      </c>
      <c r="B376" t="s">
        <v>274</v>
      </c>
      <c r="C376" t="s">
        <v>274</v>
      </c>
      <c r="D376">
        <v>184.4269992576</v>
      </c>
      <c r="E376">
        <v>188.943680282024</v>
      </c>
      <c r="F376">
        <v>234.089260896889</v>
      </c>
      <c r="G376">
        <v>272.08965238518</v>
      </c>
      <c r="H376">
        <v>307.763368166633</v>
      </c>
      <c r="I376">
        <v>339.000874427387</v>
      </c>
      <c r="J376">
        <v>367.253437883784</v>
      </c>
      <c r="K376">
        <v>392.33217544512</v>
      </c>
      <c r="L376">
        <v>415.06102491452</v>
      </c>
      <c r="M376">
        <v>435.330593847493</v>
      </c>
      <c r="N376">
        <v>452.386825130302</v>
      </c>
      <c r="O376">
        <v>465.828917816241</v>
      </c>
      <c r="P376">
        <v>476.319714427935</v>
      </c>
      <c r="Q376">
        <v>484.372105387926</v>
      </c>
      <c r="R376">
        <v>490.767770587529</v>
      </c>
      <c r="S376">
        <v>496.111767239683</v>
      </c>
      <c r="T376">
        <v>500.701385046253</v>
      </c>
      <c r="U376">
        <v>504.60054442507</v>
      </c>
      <c r="V376">
        <v>5</v>
      </c>
      <c r="AF376" s="99" t="s">
        <v>272</v>
      </c>
      <c r="AH376">
        <v>1</v>
      </c>
      <c r="AI376">
        <v>1.03070655003645</v>
      </c>
      <c r="AJ376">
        <v>1.34428477211982</v>
      </c>
      <c r="AK376">
        <v>1.62652730049637</v>
      </c>
      <c r="AL376">
        <v>1.90676524697143</v>
      </c>
      <c r="AM376">
        <v>2.16523048352945</v>
      </c>
      <c r="AN376">
        <v>2.41021468985387</v>
      </c>
      <c r="AO376">
        <v>2.63742233329862</v>
      </c>
      <c r="AP376">
        <v>2.85196032489847</v>
      </c>
      <c r="AQ376">
        <v>3.05092592592593</v>
      </c>
      <c r="AR376">
        <v>3.22479520288799</v>
      </c>
      <c r="AS376">
        <v>3.36675170953521</v>
      </c>
      <c r="AT376">
        <v>3.48119945156028</v>
      </c>
      <c r="AU376">
        <v>3.57173973411087</v>
      </c>
      <c r="AV376">
        <v>3.64571835190392</v>
      </c>
      <c r="AW376">
        <v>3.70923582908119</v>
      </c>
      <c r="AX376">
        <v>3.76525998819813</v>
      </c>
      <c r="AY376">
        <v>3.81412926516019</v>
      </c>
      <c r="AZ376">
        <v>0</v>
      </c>
      <c r="BA376">
        <v>0</v>
      </c>
      <c r="BB376">
        <v>0</v>
      </c>
      <c r="BC376">
        <v>0</v>
      </c>
      <c r="BD376">
        <v>0</v>
      </c>
      <c r="BE376">
        <v>0</v>
      </c>
      <c r="BF376">
        <v>0</v>
      </c>
      <c r="BG376">
        <v>0</v>
      </c>
      <c r="BI376" t="s">
        <v>287</v>
      </c>
      <c r="BK376">
        <v>0.8</v>
      </c>
      <c r="BL376">
        <v>0.797560975609756</v>
      </c>
      <c r="BM376">
        <v>0.785365853658536</v>
      </c>
      <c r="BN376">
        <v>0.773170731707317</v>
      </c>
      <c r="BO376">
        <v>0.760975609756097</v>
      </c>
      <c r="BP376">
        <v>0.748780487804878</v>
      </c>
      <c r="BQ376">
        <v>0.736585365853658</v>
      </c>
      <c r="BR376">
        <v>0.724390243902439</v>
      </c>
      <c r="BS376">
        <v>0.71219512195122</v>
      </c>
      <c r="BT376">
        <v>0.699999999999999</v>
      </c>
      <c r="BU376">
        <v>0.687499999999999</v>
      </c>
      <c r="BV376">
        <v>0.675</v>
      </c>
      <c r="BW376">
        <v>0.6625</v>
      </c>
      <c r="BX376">
        <v>0.649999999999999</v>
      </c>
      <c r="BY376">
        <v>0.637499999999999</v>
      </c>
      <c r="BZ376">
        <v>0.625</v>
      </c>
      <c r="CA376">
        <v>0.6125</v>
      </c>
      <c r="CB376">
        <v>0.6</v>
      </c>
      <c r="CC376" t="e">
        <v>#VALUE!</v>
      </c>
      <c r="CD376" t="e">
        <v>#VALUE!</v>
      </c>
      <c r="CE376" t="e">
        <v>#VALUE!</v>
      </c>
      <c r="CF376" t="e">
        <v>#VALUE!</v>
      </c>
      <c r="CG376" t="e">
        <v>#VALUE!</v>
      </c>
      <c r="CH376" t="e">
        <v>#VALUE!</v>
      </c>
      <c r="CI376" t="e">
        <v>#VALUE!</v>
      </c>
      <c r="CJ376" t="e">
        <v>#VALUE!</v>
      </c>
    </row>
    <row r="377" spans="1:88">
      <c r="A377" t="s">
        <v>35</v>
      </c>
      <c r="B377" t="s">
        <v>275</v>
      </c>
      <c r="C377" t="s">
        <v>275</v>
      </c>
      <c r="D377">
        <v>3.86304145488</v>
      </c>
      <c r="E377">
        <v>3.95764867674044</v>
      </c>
      <c r="F377">
        <v>4.9032762156685</v>
      </c>
      <c r="G377">
        <v>5.69923932417138</v>
      </c>
      <c r="H377">
        <v>6.4464674603342</v>
      </c>
      <c r="I377">
        <v>7.10077394538316</v>
      </c>
      <c r="J377">
        <v>7.6925572757959</v>
      </c>
      <c r="K377">
        <v>8.21786107201598</v>
      </c>
      <c r="L377">
        <v>8.6939436850578</v>
      </c>
      <c r="M377">
        <v>9.11851376089172</v>
      </c>
      <c r="N377">
        <v>9.47577668212748</v>
      </c>
      <c r="O377">
        <v>9.75733719927057</v>
      </c>
      <c r="P377">
        <v>9.97707933230329</v>
      </c>
      <c r="Q377">
        <v>10.1457461772586</v>
      </c>
      <c r="R377">
        <v>10.2797109432476</v>
      </c>
      <c r="S377">
        <v>10.3916472686506</v>
      </c>
      <c r="T377">
        <v>10.4877822376097</v>
      </c>
      <c r="U377">
        <v>10.5694547388171</v>
      </c>
      <c r="V377">
        <v>5</v>
      </c>
      <c r="AF377" s="99" t="s">
        <v>272</v>
      </c>
      <c r="AH377">
        <v>1</v>
      </c>
      <c r="AI377">
        <v>1.03070655003645</v>
      </c>
      <c r="AJ377">
        <v>1.34428477211982</v>
      </c>
      <c r="AK377">
        <v>1.62652730049637</v>
      </c>
      <c r="AL377">
        <v>1.90676524697143</v>
      </c>
      <c r="AM377">
        <v>2.16523048352945</v>
      </c>
      <c r="AN377">
        <v>2.41021468985387</v>
      </c>
      <c r="AO377">
        <v>2.63742233329862</v>
      </c>
      <c r="AP377">
        <v>2.85196032489847</v>
      </c>
      <c r="AQ377">
        <v>3.05092592592593</v>
      </c>
      <c r="AR377">
        <v>3.22479520288799</v>
      </c>
      <c r="AS377">
        <v>3.36675170953521</v>
      </c>
      <c r="AT377">
        <v>3.48119945156028</v>
      </c>
      <c r="AU377">
        <v>3.57173973411087</v>
      </c>
      <c r="AV377">
        <v>3.64571835190392</v>
      </c>
      <c r="AW377">
        <v>3.70923582908119</v>
      </c>
      <c r="AX377">
        <v>3.76525998819813</v>
      </c>
      <c r="AY377">
        <v>3.81412926516019</v>
      </c>
      <c r="AZ377">
        <v>0</v>
      </c>
      <c r="BA377">
        <v>0</v>
      </c>
      <c r="BB377">
        <v>0</v>
      </c>
      <c r="BC377">
        <v>0</v>
      </c>
      <c r="BD377">
        <v>0</v>
      </c>
      <c r="BE377">
        <v>0</v>
      </c>
      <c r="BF377">
        <v>0</v>
      </c>
      <c r="BG377">
        <v>0</v>
      </c>
      <c r="BI377" t="s">
        <v>287</v>
      </c>
      <c r="BK377">
        <v>0.8</v>
      </c>
      <c r="BL377">
        <v>0.797560975609756</v>
      </c>
      <c r="BM377">
        <v>0.785365853658536</v>
      </c>
      <c r="BN377">
        <v>0.773170731707317</v>
      </c>
      <c r="BO377">
        <v>0.760975609756097</v>
      </c>
      <c r="BP377">
        <v>0.748780487804878</v>
      </c>
      <c r="BQ377">
        <v>0.736585365853658</v>
      </c>
      <c r="BR377">
        <v>0.724390243902439</v>
      </c>
      <c r="BS377">
        <v>0.71219512195122</v>
      </c>
      <c r="BT377">
        <v>0.699999999999999</v>
      </c>
      <c r="BU377">
        <v>0.687499999999999</v>
      </c>
      <c r="BV377">
        <v>0.675</v>
      </c>
      <c r="BW377">
        <v>0.6625</v>
      </c>
      <c r="BX377">
        <v>0.649999999999999</v>
      </c>
      <c r="BY377">
        <v>0.637499999999999</v>
      </c>
      <c r="BZ377">
        <v>0.625</v>
      </c>
      <c r="CA377">
        <v>0.6125</v>
      </c>
      <c r="CB377">
        <v>0.6</v>
      </c>
      <c r="CC377" t="e">
        <v>#VALUE!</v>
      </c>
      <c r="CD377" t="e">
        <v>#VALUE!</v>
      </c>
      <c r="CE377" t="e">
        <v>#VALUE!</v>
      </c>
      <c r="CF377" t="e">
        <v>#VALUE!</v>
      </c>
      <c r="CG377" t="e">
        <v>#VALUE!</v>
      </c>
      <c r="CH377" t="e">
        <v>#VALUE!</v>
      </c>
      <c r="CI377" t="e">
        <v>#VALUE!</v>
      </c>
      <c r="CJ377" t="e">
        <v>#VALUE!</v>
      </c>
    </row>
    <row r="378" spans="1:88">
      <c r="A378" t="s">
        <v>35</v>
      </c>
      <c r="B378" t="s">
        <v>276</v>
      </c>
      <c r="C378" t="s">
        <v>276</v>
      </c>
      <c r="D378">
        <v>5.62897842912</v>
      </c>
      <c r="E378">
        <v>5.66430246258363</v>
      </c>
      <c r="F378">
        <v>5.8379471530912</v>
      </c>
      <c r="G378">
        <v>5.98651108093662</v>
      </c>
      <c r="H378">
        <v>6.10401954633122</v>
      </c>
      <c r="I378">
        <v>6.19700482916527</v>
      </c>
      <c r="J378">
        <v>6.26534474370255</v>
      </c>
      <c r="K378">
        <v>6.30371330506704</v>
      </c>
      <c r="L378">
        <v>6.31442967110048</v>
      </c>
      <c r="M378">
        <v>6.29796274593707</v>
      </c>
      <c r="N378">
        <v>6.26139975887897</v>
      </c>
      <c r="O378">
        <v>6.21154664343118</v>
      </c>
      <c r="P378">
        <v>6.1519431973617</v>
      </c>
      <c r="Q378">
        <v>6.08462251654381</v>
      </c>
      <c r="R378">
        <v>6.01141875756563</v>
      </c>
      <c r="S378">
        <v>5.93455034096627</v>
      </c>
      <c r="T378">
        <v>5.85587739919977</v>
      </c>
      <c r="U378">
        <v>5.7761418345808</v>
      </c>
      <c r="V378">
        <v>5</v>
      </c>
      <c r="AF378" s="99" t="s">
        <v>277</v>
      </c>
      <c r="AH378">
        <v>1</v>
      </c>
      <c r="AI378">
        <v>1.00786822566407</v>
      </c>
      <c r="AJ378">
        <v>1.04720935398443</v>
      </c>
      <c r="AK378">
        <v>1.0816769759546</v>
      </c>
      <c r="AL378">
        <v>1.10957813291271</v>
      </c>
      <c r="AM378">
        <v>1.13215177689108</v>
      </c>
      <c r="AN378">
        <v>1.14910195098027</v>
      </c>
      <c r="AO378">
        <v>1.15881636284435</v>
      </c>
      <c r="AP378">
        <v>1.16158245541562</v>
      </c>
      <c r="AQ378">
        <v>1.15725502209209</v>
      </c>
      <c r="AR378">
        <v>1.14748269594269</v>
      </c>
      <c r="AS378">
        <v>1.13394754062466</v>
      </c>
      <c r="AT378">
        <v>1.11752354956462</v>
      </c>
      <c r="AU378">
        <v>1.09870962017849</v>
      </c>
      <c r="AV378">
        <v>1.07797469463202</v>
      </c>
      <c r="AW378">
        <v>1.05592007857487</v>
      </c>
      <c r="AX378">
        <v>1.03306606259438</v>
      </c>
      <c r="AY378">
        <v>1.00962178027359</v>
      </c>
      <c r="AZ378">
        <v>0</v>
      </c>
      <c r="BA378">
        <v>0</v>
      </c>
      <c r="BB378">
        <v>0</v>
      </c>
      <c r="BC378">
        <v>0</v>
      </c>
      <c r="BD378">
        <v>0</v>
      </c>
      <c r="BE378">
        <v>0</v>
      </c>
      <c r="BF378">
        <v>0</v>
      </c>
      <c r="BG378">
        <v>0</v>
      </c>
      <c r="BI378" t="s">
        <v>287</v>
      </c>
      <c r="BK378">
        <v>0.8</v>
      </c>
      <c r="BL378">
        <v>0.797560975609756</v>
      </c>
      <c r="BM378">
        <v>0.785365853658536</v>
      </c>
      <c r="BN378">
        <v>0.773170731707317</v>
      </c>
      <c r="BO378">
        <v>0.760975609756097</v>
      </c>
      <c r="BP378">
        <v>0.748780487804878</v>
      </c>
      <c r="BQ378">
        <v>0.736585365853658</v>
      </c>
      <c r="BR378">
        <v>0.724390243902439</v>
      </c>
      <c r="BS378">
        <v>0.71219512195122</v>
      </c>
      <c r="BT378">
        <v>0.699999999999999</v>
      </c>
      <c r="BU378">
        <v>0.687499999999999</v>
      </c>
      <c r="BV378">
        <v>0.675</v>
      </c>
      <c r="BW378">
        <v>0.6625</v>
      </c>
      <c r="BX378">
        <v>0.649999999999999</v>
      </c>
      <c r="BY378">
        <v>0.637499999999999</v>
      </c>
      <c r="BZ378">
        <v>0.625</v>
      </c>
      <c r="CA378">
        <v>0.6125</v>
      </c>
      <c r="CB378">
        <v>0.6</v>
      </c>
      <c r="CC378" t="e">
        <v>#VALUE!</v>
      </c>
      <c r="CD378" t="e">
        <v>#VALUE!</v>
      </c>
      <c r="CE378" t="e">
        <v>#VALUE!</v>
      </c>
      <c r="CF378" t="e">
        <v>#VALUE!</v>
      </c>
      <c r="CG378" t="e">
        <v>#VALUE!</v>
      </c>
      <c r="CH378" t="e">
        <v>#VALUE!</v>
      </c>
      <c r="CI378" t="e">
        <v>#VALUE!</v>
      </c>
      <c r="CJ378" t="e">
        <v>#VALUE!</v>
      </c>
    </row>
    <row r="379" spans="1:88">
      <c r="A379" t="s">
        <v>35</v>
      </c>
      <c r="B379" t="s">
        <v>278</v>
      </c>
      <c r="C379" t="s">
        <v>278</v>
      </c>
      <c r="D379">
        <v>16.2248004036</v>
      </c>
      <c r="E379">
        <v>16.622151379341</v>
      </c>
      <c r="F379">
        <v>20.5937934790844</v>
      </c>
      <c r="G379">
        <v>23.9368439523777</v>
      </c>
      <c r="H379">
        <v>27.0752072101369</v>
      </c>
      <c r="I379">
        <v>29.8232989007631</v>
      </c>
      <c r="J379">
        <v>32.3087929163645</v>
      </c>
      <c r="K379">
        <v>34.5150724358757</v>
      </c>
      <c r="L379">
        <v>36.5146226510228</v>
      </c>
      <c r="M379">
        <v>38.297819859286</v>
      </c>
      <c r="N379">
        <v>39.7983265601226</v>
      </c>
      <c r="O379">
        <v>40.9808826485151</v>
      </c>
      <c r="P379">
        <v>41.9038011028883</v>
      </c>
      <c r="Q379">
        <v>42.6122029997013</v>
      </c>
      <c r="R379">
        <v>43.1748559286625</v>
      </c>
      <c r="S379">
        <v>43.64498925723</v>
      </c>
      <c r="T379">
        <v>44.0487567811835</v>
      </c>
      <c r="U379">
        <v>44.3917818421442</v>
      </c>
      <c r="V379">
        <v>5</v>
      </c>
      <c r="AF379" s="99" t="s">
        <v>272</v>
      </c>
      <c r="AH379">
        <v>1</v>
      </c>
      <c r="AI379">
        <v>1.03070655003645</v>
      </c>
      <c r="AJ379">
        <v>1.34428477211982</v>
      </c>
      <c r="AK379">
        <v>1.62652730049637</v>
      </c>
      <c r="AL379">
        <v>1.90676524697143</v>
      </c>
      <c r="AM379">
        <v>2.16523048352945</v>
      </c>
      <c r="AN379">
        <v>2.41021468985387</v>
      </c>
      <c r="AO379">
        <v>2.63742233329862</v>
      </c>
      <c r="AP379">
        <v>2.85196032489847</v>
      </c>
      <c r="AQ379">
        <v>3.05092592592593</v>
      </c>
      <c r="AR379">
        <v>3.22479520288799</v>
      </c>
      <c r="AS379">
        <v>3.36675170953521</v>
      </c>
      <c r="AT379">
        <v>3.48119945156028</v>
      </c>
      <c r="AU379">
        <v>3.57173973411087</v>
      </c>
      <c r="AV379">
        <v>3.64571835190392</v>
      </c>
      <c r="AW379">
        <v>3.70923582908119</v>
      </c>
      <c r="AX379">
        <v>3.76525998819813</v>
      </c>
      <c r="AY379">
        <v>3.81412926516019</v>
      </c>
      <c r="AZ379">
        <v>0</v>
      </c>
      <c r="BA379">
        <v>0</v>
      </c>
      <c r="BB379">
        <v>0</v>
      </c>
      <c r="BC379">
        <v>0</v>
      </c>
      <c r="BD379">
        <v>0</v>
      </c>
      <c r="BE379">
        <v>0</v>
      </c>
      <c r="BF379">
        <v>0</v>
      </c>
      <c r="BG379">
        <v>0</v>
      </c>
      <c r="BI379" t="s">
        <v>287</v>
      </c>
      <c r="BK379">
        <v>0.8</v>
      </c>
      <c r="BL379">
        <v>0.797560975609756</v>
      </c>
      <c r="BM379">
        <v>0.785365853658536</v>
      </c>
      <c r="BN379">
        <v>0.773170731707317</v>
      </c>
      <c r="BO379">
        <v>0.760975609756097</v>
      </c>
      <c r="BP379">
        <v>0.748780487804878</v>
      </c>
      <c r="BQ379">
        <v>0.736585365853658</v>
      </c>
      <c r="BR379">
        <v>0.724390243902439</v>
      </c>
      <c r="BS379">
        <v>0.71219512195122</v>
      </c>
      <c r="BT379">
        <v>0.699999999999999</v>
      </c>
      <c r="BU379">
        <v>0.687499999999999</v>
      </c>
      <c r="BV379">
        <v>0.675</v>
      </c>
      <c r="BW379">
        <v>0.6625</v>
      </c>
      <c r="BX379">
        <v>0.649999999999999</v>
      </c>
      <c r="BY379">
        <v>0.637499999999999</v>
      </c>
      <c r="BZ379">
        <v>0.625</v>
      </c>
      <c r="CA379">
        <v>0.6125</v>
      </c>
      <c r="CB379">
        <v>0.6</v>
      </c>
      <c r="CC379" t="e">
        <v>#VALUE!</v>
      </c>
      <c r="CD379" t="e">
        <v>#VALUE!</v>
      </c>
      <c r="CE379" t="e">
        <v>#VALUE!</v>
      </c>
      <c r="CF379" t="e">
        <v>#VALUE!</v>
      </c>
      <c r="CG379" t="e">
        <v>#VALUE!</v>
      </c>
      <c r="CH379" t="e">
        <v>#VALUE!</v>
      </c>
      <c r="CI379" t="e">
        <v>#VALUE!</v>
      </c>
      <c r="CJ379" t="e">
        <v>#VALUE!</v>
      </c>
    </row>
    <row r="380" spans="1:88">
      <c r="A380" t="s">
        <v>35</v>
      </c>
      <c r="B380" t="s">
        <v>279</v>
      </c>
      <c r="C380" t="s">
        <v>279</v>
      </c>
      <c r="D380">
        <v>36.8969997996</v>
      </c>
      <c r="E380">
        <v>37.8006200912268</v>
      </c>
      <c r="F380">
        <v>46.8325757463362</v>
      </c>
      <c r="G380">
        <v>54.4350441635</v>
      </c>
      <c r="H380">
        <v>61.5720310978303</v>
      </c>
      <c r="I380">
        <v>67.8214971027139</v>
      </c>
      <c r="J380">
        <v>73.4737868020808</v>
      </c>
      <c r="K380">
        <v>78.4911116975661</v>
      </c>
      <c r="L380">
        <v>83.0383111732038</v>
      </c>
      <c r="M380">
        <v>87.0934998596133</v>
      </c>
      <c r="N380">
        <v>90.505818905941</v>
      </c>
      <c r="O380">
        <v>93.1950829135742</v>
      </c>
      <c r="P380">
        <v>95.2939020779997</v>
      </c>
      <c r="Q380">
        <v>96.9048867431142</v>
      </c>
      <c r="R380">
        <v>98.1844220526839</v>
      </c>
      <c r="S380">
        <v>99.2535575057212</v>
      </c>
      <c r="T380">
        <v>100.171769741299</v>
      </c>
      <c r="U380">
        <v>100.951846863401</v>
      </c>
      <c r="V380">
        <v>5</v>
      </c>
      <c r="AF380" s="99" t="s">
        <v>272</v>
      </c>
      <c r="AH380">
        <v>1</v>
      </c>
      <c r="AI380">
        <v>1.03070655003645</v>
      </c>
      <c r="AJ380">
        <v>1.34428477211982</v>
      </c>
      <c r="AK380">
        <v>1.62652730049637</v>
      </c>
      <c r="AL380">
        <v>1.90676524697143</v>
      </c>
      <c r="AM380">
        <v>2.16523048352945</v>
      </c>
      <c r="AN380">
        <v>2.41021468985387</v>
      </c>
      <c r="AO380">
        <v>2.63742233329862</v>
      </c>
      <c r="AP380">
        <v>2.85196032489847</v>
      </c>
      <c r="AQ380">
        <v>3.05092592592593</v>
      </c>
      <c r="AR380">
        <v>3.22479520288799</v>
      </c>
      <c r="AS380">
        <v>3.36675170953521</v>
      </c>
      <c r="AT380">
        <v>3.48119945156028</v>
      </c>
      <c r="AU380">
        <v>3.57173973411087</v>
      </c>
      <c r="AV380">
        <v>3.64571835190392</v>
      </c>
      <c r="AW380">
        <v>3.70923582908119</v>
      </c>
      <c r="AX380">
        <v>3.76525998819813</v>
      </c>
      <c r="AY380">
        <v>3.81412926516019</v>
      </c>
      <c r="AZ380">
        <v>0</v>
      </c>
      <c r="BA380">
        <v>0</v>
      </c>
      <c r="BB380">
        <v>0</v>
      </c>
      <c r="BC380">
        <v>0</v>
      </c>
      <c r="BD380">
        <v>0</v>
      </c>
      <c r="BE380">
        <v>0</v>
      </c>
      <c r="BF380">
        <v>0</v>
      </c>
      <c r="BG380">
        <v>0</v>
      </c>
      <c r="BI380" t="s">
        <v>287</v>
      </c>
      <c r="BK380">
        <v>0.8</v>
      </c>
      <c r="BL380">
        <v>0.797560975609756</v>
      </c>
      <c r="BM380">
        <v>0.785365853658536</v>
      </c>
      <c r="BN380">
        <v>0.773170731707317</v>
      </c>
      <c r="BO380">
        <v>0.760975609756097</v>
      </c>
      <c r="BP380">
        <v>0.748780487804878</v>
      </c>
      <c r="BQ380">
        <v>0.736585365853658</v>
      </c>
      <c r="BR380">
        <v>0.724390243902439</v>
      </c>
      <c r="BS380">
        <v>0.71219512195122</v>
      </c>
      <c r="BT380">
        <v>0.699999999999999</v>
      </c>
      <c r="BU380">
        <v>0.687499999999999</v>
      </c>
      <c r="BV380">
        <v>0.675</v>
      </c>
      <c r="BW380">
        <v>0.6625</v>
      </c>
      <c r="BX380">
        <v>0.649999999999999</v>
      </c>
      <c r="BY380">
        <v>0.637499999999999</v>
      </c>
      <c r="BZ380">
        <v>0.625</v>
      </c>
      <c r="CA380">
        <v>0.6125</v>
      </c>
      <c r="CB380">
        <v>0.6</v>
      </c>
      <c r="CC380" t="e">
        <v>#VALUE!</v>
      </c>
      <c r="CD380" t="e">
        <v>#VALUE!</v>
      </c>
      <c r="CE380" t="e">
        <v>#VALUE!</v>
      </c>
      <c r="CF380" t="e">
        <v>#VALUE!</v>
      </c>
      <c r="CG380" t="e">
        <v>#VALUE!</v>
      </c>
      <c r="CH380" t="e">
        <v>#VALUE!</v>
      </c>
      <c r="CI380" t="e">
        <v>#VALUE!</v>
      </c>
      <c r="CJ380" t="e">
        <v>#VALUE!</v>
      </c>
    </row>
    <row r="381" spans="1:88">
      <c r="A381" t="s">
        <v>35</v>
      </c>
      <c r="B381" t="s">
        <v>280</v>
      </c>
      <c r="C381" t="s">
        <v>280</v>
      </c>
      <c r="D381">
        <v>1.379</v>
      </c>
      <c r="E381">
        <v>1.38765376244726</v>
      </c>
      <c r="F381">
        <v>1.43019363557436</v>
      </c>
      <c r="G381">
        <v>1.46658916614505</v>
      </c>
      <c r="H381">
        <v>1.49537665855058</v>
      </c>
      <c r="I381">
        <v>1.51815640564728</v>
      </c>
      <c r="J381">
        <v>1.53489847409426</v>
      </c>
      <c r="K381">
        <v>1.54429809194462</v>
      </c>
      <c r="L381">
        <v>1.54692341178661</v>
      </c>
      <c r="M381">
        <v>1.54288930682667</v>
      </c>
      <c r="N381">
        <v>1.53393202269634</v>
      </c>
      <c r="O381">
        <v>1.52171889253992</v>
      </c>
      <c r="P381">
        <v>1.50711710410446</v>
      </c>
      <c r="Q381">
        <v>1.4906247298634</v>
      </c>
      <c r="R381">
        <v>1.47269110568949</v>
      </c>
      <c r="S381">
        <v>1.45385970531635</v>
      </c>
      <c r="T381">
        <v>1.43458622824371</v>
      </c>
      <c r="U381">
        <v>1.41505242739617</v>
      </c>
      <c r="V381">
        <v>5</v>
      </c>
      <c r="AF381" s="99" t="s">
        <v>277</v>
      </c>
      <c r="AH381">
        <v>1</v>
      </c>
      <c r="AI381">
        <v>1.00786822566407</v>
      </c>
      <c r="AJ381">
        <v>1.04720935398443</v>
      </c>
      <c r="AK381">
        <v>1.0816769759546</v>
      </c>
      <c r="AL381">
        <v>1.10957813291271</v>
      </c>
      <c r="AM381">
        <v>1.13215177689108</v>
      </c>
      <c r="AN381">
        <v>1.14910195098027</v>
      </c>
      <c r="AO381">
        <v>1.15881636284435</v>
      </c>
      <c r="AP381">
        <v>1.16158245541562</v>
      </c>
      <c r="AQ381">
        <v>1.15725502209209</v>
      </c>
      <c r="AR381">
        <v>1.14748269594269</v>
      </c>
      <c r="AS381">
        <v>1.13394754062466</v>
      </c>
      <c r="AT381">
        <v>1.11752354956462</v>
      </c>
      <c r="AU381">
        <v>1.09870962017849</v>
      </c>
      <c r="AV381">
        <v>1.07797469463202</v>
      </c>
      <c r="AW381">
        <v>1.05592007857487</v>
      </c>
      <c r="AX381">
        <v>1.03306606259438</v>
      </c>
      <c r="AY381">
        <v>1.00962178027359</v>
      </c>
      <c r="AZ381">
        <v>0</v>
      </c>
      <c r="BA381">
        <v>0</v>
      </c>
      <c r="BB381">
        <v>0</v>
      </c>
      <c r="BC381">
        <v>0</v>
      </c>
      <c r="BD381">
        <v>0</v>
      </c>
      <c r="BE381">
        <v>0</v>
      </c>
      <c r="BF381">
        <v>0</v>
      </c>
      <c r="BG381">
        <v>0</v>
      </c>
      <c r="BI381" t="s">
        <v>287</v>
      </c>
      <c r="BK381">
        <v>0.8</v>
      </c>
      <c r="BL381">
        <v>0.797560975609756</v>
      </c>
      <c r="BM381">
        <v>0.785365853658536</v>
      </c>
      <c r="BN381">
        <v>0.773170731707317</v>
      </c>
      <c r="BO381">
        <v>0.760975609756097</v>
      </c>
      <c r="BP381">
        <v>0.748780487804878</v>
      </c>
      <c r="BQ381">
        <v>0.736585365853658</v>
      </c>
      <c r="BR381">
        <v>0.724390243902439</v>
      </c>
      <c r="BS381">
        <v>0.71219512195122</v>
      </c>
      <c r="BT381">
        <v>0.699999999999999</v>
      </c>
      <c r="BU381">
        <v>0.687499999999999</v>
      </c>
      <c r="BV381">
        <v>0.675</v>
      </c>
      <c r="BW381">
        <v>0.6625</v>
      </c>
      <c r="BX381">
        <v>0.649999999999999</v>
      </c>
      <c r="BY381">
        <v>0.637499999999999</v>
      </c>
      <c r="BZ381">
        <v>0.625</v>
      </c>
      <c r="CA381">
        <v>0.6125</v>
      </c>
      <c r="CB381">
        <v>0.6</v>
      </c>
      <c r="CC381" t="e">
        <v>#VALUE!</v>
      </c>
      <c r="CD381" t="e">
        <v>#VALUE!</v>
      </c>
      <c r="CE381" t="e">
        <v>#VALUE!</v>
      </c>
      <c r="CF381" t="e">
        <v>#VALUE!</v>
      </c>
      <c r="CG381" t="e">
        <v>#VALUE!</v>
      </c>
      <c r="CH381" t="e">
        <v>#VALUE!</v>
      </c>
      <c r="CI381" t="e">
        <v>#VALUE!</v>
      </c>
      <c r="CJ381" t="e">
        <v>#VALUE!</v>
      </c>
    </row>
    <row r="382" spans="1:88">
      <c r="A382" t="s">
        <v>35</v>
      </c>
      <c r="B382" t="s">
        <v>281</v>
      </c>
      <c r="C382" t="s">
        <v>281</v>
      </c>
      <c r="D382">
        <v>0.405</v>
      </c>
      <c r="E382">
        <v>0.407541532843466</v>
      </c>
      <c r="F382">
        <v>0.420035114146203</v>
      </c>
      <c r="G382">
        <v>0.430724156844632</v>
      </c>
      <c r="H382">
        <v>0.439178786593898</v>
      </c>
      <c r="I382">
        <v>0.445868995132088</v>
      </c>
      <c r="J382">
        <v>0.450785991303972</v>
      </c>
      <c r="K382">
        <v>0.453546575226665</v>
      </c>
      <c r="L382">
        <v>0.4543176082477</v>
      </c>
      <c r="M382">
        <v>0.453132827603191</v>
      </c>
      <c r="N382">
        <v>0.450502153148671</v>
      </c>
      <c r="O382">
        <v>0.44691526575683</v>
      </c>
      <c r="P382">
        <v>0.442626850734086</v>
      </c>
      <c r="Q382">
        <v>0.437783187523334</v>
      </c>
      <c r="R382">
        <v>0.432516242062539</v>
      </c>
      <c r="S382">
        <v>0.426985627739754</v>
      </c>
      <c r="T382">
        <v>0.421325179433433</v>
      </c>
      <c r="U382">
        <v>0.41558827635638</v>
      </c>
      <c r="V382">
        <v>5</v>
      </c>
      <c r="AF382" s="99" t="s">
        <v>277</v>
      </c>
      <c r="AH382">
        <v>1</v>
      </c>
      <c r="AI382">
        <v>1.00786822566407</v>
      </c>
      <c r="AJ382">
        <v>1.04720935398443</v>
      </c>
      <c r="AK382">
        <v>1.0816769759546</v>
      </c>
      <c r="AL382">
        <v>1.10957813291271</v>
      </c>
      <c r="AM382">
        <v>1.13215177689108</v>
      </c>
      <c r="AN382">
        <v>1.14910195098027</v>
      </c>
      <c r="AO382">
        <v>1.15881636284435</v>
      </c>
      <c r="AP382">
        <v>1.16158245541562</v>
      </c>
      <c r="AQ382">
        <v>1.15725502209209</v>
      </c>
      <c r="AR382">
        <v>1.14748269594269</v>
      </c>
      <c r="AS382">
        <v>1.13394754062466</v>
      </c>
      <c r="AT382">
        <v>1.11752354956462</v>
      </c>
      <c r="AU382">
        <v>1.09870962017849</v>
      </c>
      <c r="AV382">
        <v>1.07797469463202</v>
      </c>
      <c r="AW382">
        <v>1.05592007857487</v>
      </c>
      <c r="AX382">
        <v>1.03306606259438</v>
      </c>
      <c r="AY382">
        <v>1.00962178027359</v>
      </c>
      <c r="AZ382">
        <v>0</v>
      </c>
      <c r="BA382">
        <v>0</v>
      </c>
      <c r="BB382">
        <v>0</v>
      </c>
      <c r="BC382">
        <v>0</v>
      </c>
      <c r="BD382">
        <v>0</v>
      </c>
      <c r="BE382">
        <v>0</v>
      </c>
      <c r="BF382">
        <v>0</v>
      </c>
      <c r="BG382">
        <v>0</v>
      </c>
      <c r="BI382" t="s">
        <v>287</v>
      </c>
      <c r="BK382">
        <v>0.8</v>
      </c>
      <c r="BL382">
        <v>0.797560975609756</v>
      </c>
      <c r="BM382">
        <v>0.785365853658536</v>
      </c>
      <c r="BN382">
        <v>0.773170731707317</v>
      </c>
      <c r="BO382">
        <v>0.760975609756097</v>
      </c>
      <c r="BP382">
        <v>0.748780487804878</v>
      </c>
      <c r="BQ382">
        <v>0.736585365853658</v>
      </c>
      <c r="BR382">
        <v>0.724390243902439</v>
      </c>
      <c r="BS382">
        <v>0.71219512195122</v>
      </c>
      <c r="BT382">
        <v>0.699999999999999</v>
      </c>
      <c r="BU382">
        <v>0.687499999999999</v>
      </c>
      <c r="BV382">
        <v>0.675</v>
      </c>
      <c r="BW382">
        <v>0.6625</v>
      </c>
      <c r="BX382">
        <v>0.649999999999999</v>
      </c>
      <c r="BY382">
        <v>0.637499999999999</v>
      </c>
      <c r="BZ382">
        <v>0.625</v>
      </c>
      <c r="CA382">
        <v>0.6125</v>
      </c>
      <c r="CB382">
        <v>0.6</v>
      </c>
      <c r="CC382" t="e">
        <v>#VALUE!</v>
      </c>
      <c r="CD382" t="e">
        <v>#VALUE!</v>
      </c>
      <c r="CE382" t="e">
        <v>#VALUE!</v>
      </c>
      <c r="CF382" t="e">
        <v>#VALUE!</v>
      </c>
      <c r="CG382" t="e">
        <v>#VALUE!</v>
      </c>
      <c r="CH382" t="e">
        <v>#VALUE!</v>
      </c>
      <c r="CI382" t="e">
        <v>#VALUE!</v>
      </c>
      <c r="CJ382" t="e">
        <v>#VALUE!</v>
      </c>
    </row>
    <row r="383" spans="1:88">
      <c r="A383" t="s">
        <v>35</v>
      </c>
      <c r="B383" t="s">
        <v>282</v>
      </c>
      <c r="C383" t="s">
        <v>282</v>
      </c>
      <c r="D383">
        <v>7.07</v>
      </c>
      <c r="E383">
        <v>7.11436700544026</v>
      </c>
      <c r="F383">
        <v>7.33246483213249</v>
      </c>
      <c r="G383">
        <v>7.51906120713962</v>
      </c>
      <c r="H383">
        <v>7.66665190424409</v>
      </c>
      <c r="I383">
        <v>7.78344147057745</v>
      </c>
      <c r="J383">
        <v>7.86927644078785</v>
      </c>
      <c r="K383">
        <v>7.91746737494451</v>
      </c>
      <c r="L383">
        <v>7.93092713657097</v>
      </c>
      <c r="M383">
        <v>7.91024466951743</v>
      </c>
      <c r="N383">
        <v>7.86432153768174</v>
      </c>
      <c r="O383">
        <v>7.80170599728589</v>
      </c>
      <c r="P383">
        <v>7.72684403627158</v>
      </c>
      <c r="Q383">
        <v>7.64228922417277</v>
      </c>
      <c r="R383">
        <v>7.55034526267198</v>
      </c>
      <c r="S383">
        <v>7.45379848918534</v>
      </c>
      <c r="T383">
        <v>7.35498523109721</v>
      </c>
      <c r="U383">
        <v>7.25483731812248</v>
      </c>
      <c r="V383">
        <v>5</v>
      </c>
      <c r="AF383" s="99" t="s">
        <v>277</v>
      </c>
      <c r="AH383">
        <v>1</v>
      </c>
      <c r="AI383">
        <v>1.00786822566407</v>
      </c>
      <c r="AJ383">
        <v>1.04720935398443</v>
      </c>
      <c r="AK383">
        <v>1.0816769759546</v>
      </c>
      <c r="AL383">
        <v>1.10957813291271</v>
      </c>
      <c r="AM383">
        <v>1.13215177689108</v>
      </c>
      <c r="AN383">
        <v>1.14910195098027</v>
      </c>
      <c r="AO383">
        <v>1.15881636284435</v>
      </c>
      <c r="AP383">
        <v>1.16158245541562</v>
      </c>
      <c r="AQ383">
        <v>1.15725502209209</v>
      </c>
      <c r="AR383">
        <v>1.14748269594269</v>
      </c>
      <c r="AS383">
        <v>1.13394754062466</v>
      </c>
      <c r="AT383">
        <v>1.11752354956462</v>
      </c>
      <c r="AU383">
        <v>1.09870962017849</v>
      </c>
      <c r="AV383">
        <v>1.07797469463202</v>
      </c>
      <c r="AW383">
        <v>1.05592007857487</v>
      </c>
      <c r="AX383">
        <v>1.03306606259438</v>
      </c>
      <c r="AY383">
        <v>1.00962178027359</v>
      </c>
      <c r="AZ383">
        <v>0</v>
      </c>
      <c r="BA383">
        <v>0</v>
      </c>
      <c r="BB383">
        <v>0</v>
      </c>
      <c r="BC383">
        <v>0</v>
      </c>
      <c r="BD383">
        <v>0</v>
      </c>
      <c r="BE383">
        <v>0</v>
      </c>
      <c r="BF383">
        <v>0</v>
      </c>
      <c r="BG383">
        <v>0</v>
      </c>
      <c r="BI383" t="s">
        <v>287</v>
      </c>
      <c r="BK383">
        <v>0.8</v>
      </c>
      <c r="BL383">
        <v>0.797560975609756</v>
      </c>
      <c r="BM383">
        <v>0.785365853658536</v>
      </c>
      <c r="BN383">
        <v>0.773170731707317</v>
      </c>
      <c r="BO383">
        <v>0.760975609756097</v>
      </c>
      <c r="BP383">
        <v>0.748780487804878</v>
      </c>
      <c r="BQ383">
        <v>0.736585365853658</v>
      </c>
      <c r="BR383">
        <v>0.724390243902439</v>
      </c>
      <c r="BS383">
        <v>0.71219512195122</v>
      </c>
      <c r="BT383">
        <v>0.699999999999999</v>
      </c>
      <c r="BU383">
        <v>0.687499999999999</v>
      </c>
      <c r="BV383">
        <v>0.675</v>
      </c>
      <c r="BW383">
        <v>0.6625</v>
      </c>
      <c r="BX383">
        <v>0.649999999999999</v>
      </c>
      <c r="BY383">
        <v>0.637499999999999</v>
      </c>
      <c r="BZ383">
        <v>0.625</v>
      </c>
      <c r="CA383">
        <v>0.6125</v>
      </c>
      <c r="CB383">
        <v>0.6</v>
      </c>
      <c r="CC383" t="e">
        <v>#VALUE!</v>
      </c>
      <c r="CD383" t="e">
        <v>#VALUE!</v>
      </c>
      <c r="CE383" t="e">
        <v>#VALUE!</v>
      </c>
      <c r="CF383" t="e">
        <v>#VALUE!</v>
      </c>
      <c r="CG383" t="e">
        <v>#VALUE!</v>
      </c>
      <c r="CH383" t="e">
        <v>#VALUE!</v>
      </c>
      <c r="CI383" t="e">
        <v>#VALUE!</v>
      </c>
      <c r="CJ383" t="e">
        <v>#VALUE!</v>
      </c>
    </row>
    <row r="384" spans="1:88">
      <c r="A384" t="s">
        <v>35</v>
      </c>
      <c r="B384" t="s">
        <v>283</v>
      </c>
      <c r="C384" t="s">
        <v>283</v>
      </c>
      <c r="D384">
        <v>120.072</v>
      </c>
      <c r="E384">
        <v>122.24203192807</v>
      </c>
      <c r="F384">
        <v>146.746196670805</v>
      </c>
      <c r="G384">
        <v>166.19345781071</v>
      </c>
      <c r="H384">
        <v>184.255030549047</v>
      </c>
      <c r="I384">
        <v>199.832870423254</v>
      </c>
      <c r="J384">
        <v>214.070185955273</v>
      </c>
      <c r="K384">
        <v>227.265948537644</v>
      </c>
      <c r="L384">
        <v>240.015284488005</v>
      </c>
      <c r="M384">
        <v>252.408556241334</v>
      </c>
      <c r="N384">
        <v>263.859975922234</v>
      </c>
      <c r="O384">
        <v>273.91974276582</v>
      </c>
      <c r="P384">
        <v>282.846321961086</v>
      </c>
      <c r="Q384">
        <v>290.858027301707</v>
      </c>
      <c r="R384">
        <v>298.339004723967</v>
      </c>
      <c r="S384">
        <v>305.550048100184</v>
      </c>
      <c r="T384">
        <v>312.579494226286</v>
      </c>
      <c r="U384">
        <v>319.425216025977</v>
      </c>
      <c r="V384">
        <v>5</v>
      </c>
      <c r="AF384" s="99" t="s">
        <v>284</v>
      </c>
      <c r="AH384">
        <v>1</v>
      </c>
      <c r="AI384">
        <v>1.02266003014167</v>
      </c>
      <c r="AJ384">
        <v>1.28368293026135</v>
      </c>
      <c r="AK384">
        <v>1.50370890446376</v>
      </c>
      <c r="AL384">
        <v>1.71845964733107</v>
      </c>
      <c r="AM384">
        <v>1.91249135294848</v>
      </c>
      <c r="AN384">
        <v>2.09747680595074</v>
      </c>
      <c r="AO384">
        <v>2.27596228174151</v>
      </c>
      <c r="AP384">
        <v>2.4552370876487</v>
      </c>
      <c r="AQ384">
        <v>2.6363471038652</v>
      </c>
      <c r="AR384">
        <v>2.81032142296379</v>
      </c>
      <c r="AS384">
        <v>2.96905420129098</v>
      </c>
      <c r="AT384">
        <v>3.11510164856617</v>
      </c>
      <c r="AU384">
        <v>3.25084960440286</v>
      </c>
      <c r="AV384">
        <v>3.38200736070937</v>
      </c>
      <c r="AW384">
        <v>3.51279978886981</v>
      </c>
      <c r="AX384">
        <v>3.64474269800549</v>
      </c>
      <c r="AY384">
        <v>3.77778029325659</v>
      </c>
      <c r="AZ384">
        <v>0</v>
      </c>
      <c r="BA384">
        <v>0</v>
      </c>
      <c r="BB384">
        <v>0</v>
      </c>
      <c r="BC384">
        <v>0</v>
      </c>
      <c r="BD384">
        <v>0</v>
      </c>
      <c r="BE384">
        <v>0</v>
      </c>
      <c r="BF384">
        <v>0</v>
      </c>
      <c r="BG384">
        <v>0</v>
      </c>
      <c r="BI384" t="s">
        <v>287</v>
      </c>
      <c r="BK384">
        <v>0.8</v>
      </c>
      <c r="BL384">
        <v>0.797560975609756</v>
      </c>
      <c r="BM384">
        <v>0.785365853658536</v>
      </c>
      <c r="BN384">
        <v>0.773170731707317</v>
      </c>
      <c r="BO384">
        <v>0.760975609756097</v>
      </c>
      <c r="BP384">
        <v>0.748780487804878</v>
      </c>
      <c r="BQ384">
        <v>0.736585365853658</v>
      </c>
      <c r="BR384">
        <v>0.724390243902439</v>
      </c>
      <c r="BS384">
        <v>0.71219512195122</v>
      </c>
      <c r="BT384">
        <v>0.699999999999999</v>
      </c>
      <c r="BU384">
        <v>0.687499999999999</v>
      </c>
      <c r="BV384">
        <v>0.675</v>
      </c>
      <c r="BW384">
        <v>0.6625</v>
      </c>
      <c r="BX384">
        <v>0.649999999999999</v>
      </c>
      <c r="BY384">
        <v>0.637499999999999</v>
      </c>
      <c r="BZ384">
        <v>0.625</v>
      </c>
      <c r="CA384">
        <v>0.6125</v>
      </c>
      <c r="CB384">
        <v>0.6</v>
      </c>
      <c r="CC384" t="e">
        <v>#VALUE!</v>
      </c>
      <c r="CD384" t="e">
        <v>#VALUE!</v>
      </c>
      <c r="CE384" t="e">
        <v>#VALUE!</v>
      </c>
      <c r="CF384" t="e">
        <v>#VALUE!</v>
      </c>
      <c r="CG384" t="e">
        <v>#VALUE!</v>
      </c>
      <c r="CH384" t="e">
        <v>#VALUE!</v>
      </c>
      <c r="CI384" t="e">
        <v>#VALUE!</v>
      </c>
      <c r="CJ384" t="e">
        <v>#VALUE!</v>
      </c>
    </row>
    <row r="385" spans="1:88">
      <c r="A385" t="s">
        <v>35</v>
      </c>
      <c r="B385" t="s">
        <v>285</v>
      </c>
      <c r="C385" t="s">
        <v>285</v>
      </c>
      <c r="D385">
        <v>79.3</v>
      </c>
      <c r="E385">
        <v>81.2420844381712</v>
      </c>
      <c r="F385">
        <v>100.653800494769</v>
      </c>
      <c r="G385">
        <v>116.993225075507</v>
      </c>
      <c r="H385">
        <v>132.332224640955</v>
      </c>
      <c r="I385">
        <v>145.763740939812</v>
      </c>
      <c r="J385">
        <v>157.91179025532</v>
      </c>
      <c r="K385">
        <v>168.69515655537</v>
      </c>
      <c r="L385">
        <v>178.468116968861</v>
      </c>
      <c r="M385">
        <v>187.183634885734</v>
      </c>
      <c r="N385">
        <v>194.517480505798</v>
      </c>
      <c r="O385">
        <v>200.297317266607</v>
      </c>
      <c r="P385">
        <v>204.808154479468</v>
      </c>
      <c r="Q385">
        <v>208.27052498757</v>
      </c>
      <c r="R385">
        <v>211.020535844821</v>
      </c>
      <c r="S385">
        <v>213.318349810355</v>
      </c>
      <c r="T385">
        <v>215.291795637301</v>
      </c>
      <c r="U385">
        <v>216.968357854248</v>
      </c>
      <c r="V385">
        <v>5</v>
      </c>
      <c r="AF385" s="99" t="s">
        <v>272</v>
      </c>
      <c r="AH385">
        <v>1</v>
      </c>
      <c r="AI385">
        <v>1.03070655003645</v>
      </c>
      <c r="AJ385">
        <v>1.34428477211982</v>
      </c>
      <c r="AK385">
        <v>1.62652730049637</v>
      </c>
      <c r="AL385">
        <v>1.90676524697143</v>
      </c>
      <c r="AM385">
        <v>2.16523048352945</v>
      </c>
      <c r="AN385">
        <v>2.41021468985387</v>
      </c>
      <c r="AO385">
        <v>2.63742233329862</v>
      </c>
      <c r="AP385">
        <v>2.85196032489847</v>
      </c>
      <c r="AQ385">
        <v>3.05092592592593</v>
      </c>
      <c r="AR385">
        <v>3.22479520288799</v>
      </c>
      <c r="AS385">
        <v>3.36675170953521</v>
      </c>
      <c r="AT385">
        <v>3.48119945156028</v>
      </c>
      <c r="AU385">
        <v>3.57173973411087</v>
      </c>
      <c r="AV385">
        <v>3.64571835190392</v>
      </c>
      <c r="AW385">
        <v>3.70923582908119</v>
      </c>
      <c r="AX385">
        <v>3.76525998819813</v>
      </c>
      <c r="AY385">
        <v>3.81412926516019</v>
      </c>
      <c r="AZ385">
        <v>0</v>
      </c>
      <c r="BA385">
        <v>0</v>
      </c>
      <c r="BB385">
        <v>0</v>
      </c>
      <c r="BC385">
        <v>0</v>
      </c>
      <c r="BD385">
        <v>0</v>
      </c>
      <c r="BE385">
        <v>0</v>
      </c>
      <c r="BF385">
        <v>0</v>
      </c>
      <c r="BG385">
        <v>0</v>
      </c>
      <c r="BI385" t="s">
        <v>287</v>
      </c>
      <c r="BK385">
        <v>0.8</v>
      </c>
      <c r="BL385">
        <v>0.797560975609756</v>
      </c>
      <c r="BM385">
        <v>0.785365853658536</v>
      </c>
      <c r="BN385">
        <v>0.773170731707317</v>
      </c>
      <c r="BO385">
        <v>0.760975609756097</v>
      </c>
      <c r="BP385">
        <v>0.748780487804878</v>
      </c>
      <c r="BQ385">
        <v>0.736585365853658</v>
      </c>
      <c r="BR385">
        <v>0.724390243902439</v>
      </c>
      <c r="BS385">
        <v>0.71219512195122</v>
      </c>
      <c r="BT385">
        <v>0.699999999999999</v>
      </c>
      <c r="BU385">
        <v>0.687499999999999</v>
      </c>
      <c r="BV385">
        <v>0.675</v>
      </c>
      <c r="BW385">
        <v>0.6625</v>
      </c>
      <c r="BX385">
        <v>0.649999999999999</v>
      </c>
      <c r="BY385">
        <v>0.637499999999999</v>
      </c>
      <c r="BZ385">
        <v>0.625</v>
      </c>
      <c r="CA385">
        <v>0.6125</v>
      </c>
      <c r="CB385">
        <v>0.6</v>
      </c>
      <c r="CC385" t="e">
        <v>#VALUE!</v>
      </c>
      <c r="CD385" t="e">
        <v>#VALUE!</v>
      </c>
      <c r="CE385" t="e">
        <v>#VALUE!</v>
      </c>
      <c r="CF385" t="e">
        <v>#VALUE!</v>
      </c>
      <c r="CG385" t="e">
        <v>#VALUE!</v>
      </c>
      <c r="CH385" t="e">
        <v>#VALUE!</v>
      </c>
      <c r="CI385" t="e">
        <v>#VALUE!</v>
      </c>
      <c r="CJ385" t="e">
        <v>#VALUE!</v>
      </c>
    </row>
    <row r="386" spans="1:88">
      <c r="A386" t="s">
        <v>35</v>
      </c>
      <c r="B386" t="s">
        <v>286</v>
      </c>
      <c r="C386" t="s">
        <v>286</v>
      </c>
      <c r="D386">
        <v>67.56</v>
      </c>
      <c r="E386">
        <v>69.2145677760762</v>
      </c>
      <c r="F386">
        <v>85.7524686182417</v>
      </c>
      <c r="G386">
        <v>99.6729165964851</v>
      </c>
      <c r="H386">
        <v>112.741047878221</v>
      </c>
      <c r="I386">
        <v>124.18409001127</v>
      </c>
      <c r="J386">
        <v>134.533676540345</v>
      </c>
      <c r="K386">
        <v>143.720615093075</v>
      </c>
      <c r="L386">
        <v>152.046733700079</v>
      </c>
      <c r="M386">
        <v>159.471959304921</v>
      </c>
      <c r="N386">
        <v>165.72006283697</v>
      </c>
      <c r="O386">
        <v>170.644221368625</v>
      </c>
      <c r="P386">
        <v>174.487249894487</v>
      </c>
      <c r="Q386">
        <v>177.437032385375</v>
      </c>
      <c r="R386">
        <v>179.779916792889</v>
      </c>
      <c r="S386">
        <v>181.737549977145</v>
      </c>
      <c r="T386">
        <v>183.418836232737</v>
      </c>
      <c r="U386">
        <v>184.847191130303</v>
      </c>
      <c r="V386">
        <v>5</v>
      </c>
      <c r="AF386" s="99" t="s">
        <v>272</v>
      </c>
      <c r="AH386">
        <v>1</v>
      </c>
      <c r="AI386">
        <v>1.03070655003645</v>
      </c>
      <c r="AJ386">
        <v>1.34428477211982</v>
      </c>
      <c r="AK386">
        <v>1.62652730049637</v>
      </c>
      <c r="AL386">
        <v>1.90676524697143</v>
      </c>
      <c r="AM386">
        <v>2.16523048352945</v>
      </c>
      <c r="AN386">
        <v>2.41021468985387</v>
      </c>
      <c r="AO386">
        <v>2.63742233329862</v>
      </c>
      <c r="AP386">
        <v>2.85196032489847</v>
      </c>
      <c r="AQ386">
        <v>3.05092592592593</v>
      </c>
      <c r="AR386">
        <v>3.22479520288799</v>
      </c>
      <c r="AS386">
        <v>3.36675170953521</v>
      </c>
      <c r="AT386">
        <v>3.48119945156028</v>
      </c>
      <c r="AU386">
        <v>3.57173973411087</v>
      </c>
      <c r="AV386">
        <v>3.64571835190392</v>
      </c>
      <c r="AW386">
        <v>3.70923582908119</v>
      </c>
      <c r="AX386">
        <v>3.76525998819813</v>
      </c>
      <c r="AY386">
        <v>3.81412926516019</v>
      </c>
      <c r="AZ386">
        <v>0</v>
      </c>
      <c r="BA386">
        <v>0</v>
      </c>
      <c r="BB386">
        <v>0</v>
      </c>
      <c r="BC386">
        <v>0</v>
      </c>
      <c r="BD386">
        <v>0</v>
      </c>
      <c r="BE386">
        <v>0</v>
      </c>
      <c r="BF386">
        <v>0</v>
      </c>
      <c r="BG386">
        <v>0</v>
      </c>
      <c r="BI386" t="s">
        <v>287</v>
      </c>
      <c r="BK386">
        <v>0.8</v>
      </c>
      <c r="BL386">
        <v>0.797560975609756</v>
      </c>
      <c r="BM386">
        <v>0.785365853658536</v>
      </c>
      <c r="BN386">
        <v>0.773170731707317</v>
      </c>
      <c r="BO386">
        <v>0.760975609756097</v>
      </c>
      <c r="BP386">
        <v>0.748780487804878</v>
      </c>
      <c r="BQ386">
        <v>0.736585365853658</v>
      </c>
      <c r="BR386">
        <v>0.724390243902439</v>
      </c>
      <c r="BS386">
        <v>0.71219512195122</v>
      </c>
      <c r="BT386">
        <v>0.699999999999999</v>
      </c>
      <c r="BU386">
        <v>0.687499999999999</v>
      </c>
      <c r="BV386">
        <v>0.675</v>
      </c>
      <c r="BW386">
        <v>0.6625</v>
      </c>
      <c r="BX386">
        <v>0.649999999999999</v>
      </c>
      <c r="BY386">
        <v>0.637499999999999</v>
      </c>
      <c r="BZ386">
        <v>0.625</v>
      </c>
      <c r="CA386">
        <v>0.6125</v>
      </c>
      <c r="CB386">
        <v>0.6</v>
      </c>
      <c r="CC386" t="e">
        <v>#VALUE!</v>
      </c>
      <c r="CD386" t="e">
        <v>#VALUE!</v>
      </c>
      <c r="CE386" t="e">
        <v>#VALUE!</v>
      </c>
      <c r="CF386" t="e">
        <v>#VALUE!</v>
      </c>
      <c r="CG386" t="e">
        <v>#VALUE!</v>
      </c>
      <c r="CH386" t="e">
        <v>#VALUE!</v>
      </c>
      <c r="CI386" t="e">
        <v>#VALUE!</v>
      </c>
      <c r="CJ386" t="e">
        <v>#VALUE!</v>
      </c>
    </row>
    <row r="387" spans="1:88">
      <c r="A387" t="s">
        <v>36</v>
      </c>
      <c r="B387" t="s">
        <v>271</v>
      </c>
      <c r="C387" t="s">
        <v>271</v>
      </c>
      <c r="D387">
        <v>37.1254944096</v>
      </c>
      <c r="E387">
        <v>36.9226194799132</v>
      </c>
      <c r="F387">
        <v>41.5906771114254</v>
      </c>
      <c r="G387">
        <v>44.4639812996393</v>
      </c>
      <c r="H387">
        <v>47.6303151932416</v>
      </c>
      <c r="I387">
        <v>51.2379338910947</v>
      </c>
      <c r="J387">
        <v>55.1675549847383</v>
      </c>
      <c r="K387">
        <v>59.1840867575031</v>
      </c>
      <c r="L387">
        <v>63.1925802131281</v>
      </c>
      <c r="M387">
        <v>67.2391929833598</v>
      </c>
      <c r="N387">
        <v>71.275653763411</v>
      </c>
      <c r="O387">
        <v>75.1189273129156</v>
      </c>
      <c r="P387">
        <v>78.6966158466439</v>
      </c>
      <c r="Q387">
        <v>81.9677067539418</v>
      </c>
      <c r="R387">
        <v>84.93237406338</v>
      </c>
      <c r="S387">
        <v>87.6098267181409</v>
      </c>
      <c r="T387">
        <v>90.0090519193167</v>
      </c>
      <c r="U387">
        <v>92.1018573770536</v>
      </c>
      <c r="V387">
        <v>5</v>
      </c>
      <c r="AF387" s="99" t="s">
        <v>272</v>
      </c>
      <c r="AH387">
        <v>1</v>
      </c>
      <c r="AI387">
        <v>0.993148396218289</v>
      </c>
      <c r="AJ387">
        <v>1.15302533912728</v>
      </c>
      <c r="AK387">
        <v>1.25605186635103</v>
      </c>
      <c r="AL387">
        <v>1.37359173441292</v>
      </c>
      <c r="AM387">
        <v>1.51253590278995</v>
      </c>
      <c r="AN387">
        <v>1.67002180157007</v>
      </c>
      <c r="AO387">
        <v>1.83787012917579</v>
      </c>
      <c r="AP387">
        <v>2.01265025707437</v>
      </c>
      <c r="AQ387">
        <v>2.19676808060046</v>
      </c>
      <c r="AR387">
        <v>2.38858625431799</v>
      </c>
      <c r="AS387">
        <v>2.57939454604319</v>
      </c>
      <c r="AT387">
        <v>2.76482670127988</v>
      </c>
      <c r="AU387">
        <v>2.94163030596454</v>
      </c>
      <c r="AV387">
        <v>3.10852444359958</v>
      </c>
      <c r="AW387">
        <v>3.26531604850998</v>
      </c>
      <c r="AX387">
        <v>3.41131082682603</v>
      </c>
      <c r="AY387">
        <v>3.54350512218087</v>
      </c>
      <c r="AZ387">
        <v>0</v>
      </c>
      <c r="BA387">
        <v>0</v>
      </c>
      <c r="BB387">
        <v>0</v>
      </c>
      <c r="BC387">
        <v>0</v>
      </c>
      <c r="BD387">
        <v>0</v>
      </c>
      <c r="BE387">
        <v>0</v>
      </c>
      <c r="BF387">
        <v>0</v>
      </c>
      <c r="BG387">
        <v>0</v>
      </c>
      <c r="BI387" t="s">
        <v>287</v>
      </c>
      <c r="BK387">
        <v>0.8</v>
      </c>
      <c r="BL387">
        <v>0.797560975609756</v>
      </c>
      <c r="BM387">
        <v>0.785365853658536</v>
      </c>
      <c r="BN387">
        <v>0.773170731707317</v>
      </c>
      <c r="BO387">
        <v>0.760975609756097</v>
      </c>
      <c r="BP387">
        <v>0.748780487804878</v>
      </c>
      <c r="BQ387">
        <v>0.736585365853658</v>
      </c>
      <c r="BR387">
        <v>0.724390243902439</v>
      </c>
      <c r="BS387">
        <v>0.71219512195122</v>
      </c>
      <c r="BT387">
        <v>0.699999999999999</v>
      </c>
      <c r="BU387">
        <v>0.687499999999999</v>
      </c>
      <c r="BV387">
        <v>0.675</v>
      </c>
      <c r="BW387">
        <v>0.6625</v>
      </c>
      <c r="BX387">
        <v>0.649999999999999</v>
      </c>
      <c r="BY387">
        <v>0.637499999999999</v>
      </c>
      <c r="BZ387">
        <v>0.625</v>
      </c>
      <c r="CA387">
        <v>0.6125</v>
      </c>
      <c r="CB387">
        <v>0.6</v>
      </c>
      <c r="CC387" t="e">
        <v>#VALUE!</v>
      </c>
      <c r="CD387" t="e">
        <v>#VALUE!</v>
      </c>
      <c r="CE387" t="e">
        <v>#VALUE!</v>
      </c>
      <c r="CF387" t="e">
        <v>#VALUE!</v>
      </c>
      <c r="CG387" t="e">
        <v>#VALUE!</v>
      </c>
      <c r="CH387" t="e">
        <v>#VALUE!</v>
      </c>
      <c r="CI387" t="e">
        <v>#VALUE!</v>
      </c>
      <c r="CJ387" t="e">
        <v>#VALUE!</v>
      </c>
    </row>
    <row r="388" spans="1:88">
      <c r="A388" t="s">
        <v>36</v>
      </c>
      <c r="B388" t="s">
        <v>274</v>
      </c>
      <c r="C388" t="s">
        <v>274</v>
      </c>
      <c r="D388">
        <v>493.2392126616</v>
      </c>
      <c r="E388">
        <v>490.543871571096</v>
      </c>
      <c r="F388">
        <v>552.562414554611</v>
      </c>
      <c r="G388">
        <v>590.736351846755</v>
      </c>
      <c r="H388">
        <v>632.803402038019</v>
      </c>
      <c r="I388">
        <v>680.733242014836</v>
      </c>
      <c r="J388">
        <v>732.941118168694</v>
      </c>
      <c r="K388">
        <v>786.303665947089</v>
      </c>
      <c r="L388">
        <v>839.559418832104</v>
      </c>
      <c r="M388">
        <v>893.321614554388</v>
      </c>
      <c r="N388">
        <v>946.948933698643</v>
      </c>
      <c r="O388">
        <v>998.009619886046</v>
      </c>
      <c r="P388">
        <v>1045.5418158497</v>
      </c>
      <c r="Q388">
        <v>1089.00063920864</v>
      </c>
      <c r="R388">
        <v>1128.38840205909</v>
      </c>
      <c r="S388">
        <v>1163.96030919122</v>
      </c>
      <c r="T388">
        <v>1195.83576211232</v>
      </c>
      <c r="U388">
        <v>1223.64020573372</v>
      </c>
      <c r="V388">
        <v>5</v>
      </c>
      <c r="AF388" s="99" t="s">
        <v>272</v>
      </c>
      <c r="AH388">
        <v>1</v>
      </c>
      <c r="AI388">
        <v>0.993148396218289</v>
      </c>
      <c r="AJ388">
        <v>1.15302533912728</v>
      </c>
      <c r="AK388">
        <v>1.25605186635103</v>
      </c>
      <c r="AL388">
        <v>1.37359173441292</v>
      </c>
      <c r="AM388">
        <v>1.51253590278995</v>
      </c>
      <c r="AN388">
        <v>1.67002180157007</v>
      </c>
      <c r="AO388">
        <v>1.83787012917579</v>
      </c>
      <c r="AP388">
        <v>2.01265025707437</v>
      </c>
      <c r="AQ388">
        <v>2.19676808060046</v>
      </c>
      <c r="AR388">
        <v>2.38858625431799</v>
      </c>
      <c r="AS388">
        <v>2.57939454604319</v>
      </c>
      <c r="AT388">
        <v>2.76482670127988</v>
      </c>
      <c r="AU388">
        <v>2.94163030596454</v>
      </c>
      <c r="AV388">
        <v>3.10852444359958</v>
      </c>
      <c r="AW388">
        <v>3.26531604850998</v>
      </c>
      <c r="AX388">
        <v>3.41131082682603</v>
      </c>
      <c r="AY388">
        <v>3.54350512218087</v>
      </c>
      <c r="AZ388">
        <v>0</v>
      </c>
      <c r="BA388">
        <v>0</v>
      </c>
      <c r="BB388">
        <v>0</v>
      </c>
      <c r="BC388">
        <v>0</v>
      </c>
      <c r="BD388">
        <v>0</v>
      </c>
      <c r="BE388">
        <v>0</v>
      </c>
      <c r="BF388">
        <v>0</v>
      </c>
      <c r="BG388">
        <v>0</v>
      </c>
      <c r="BI388" t="s">
        <v>287</v>
      </c>
      <c r="BK388">
        <v>0.8</v>
      </c>
      <c r="BL388">
        <v>0.797560975609756</v>
      </c>
      <c r="BM388">
        <v>0.785365853658536</v>
      </c>
      <c r="BN388">
        <v>0.773170731707317</v>
      </c>
      <c r="BO388">
        <v>0.760975609756097</v>
      </c>
      <c r="BP388">
        <v>0.748780487804878</v>
      </c>
      <c r="BQ388">
        <v>0.736585365853658</v>
      </c>
      <c r="BR388">
        <v>0.724390243902439</v>
      </c>
      <c r="BS388">
        <v>0.71219512195122</v>
      </c>
      <c r="BT388">
        <v>0.699999999999999</v>
      </c>
      <c r="BU388">
        <v>0.687499999999999</v>
      </c>
      <c r="BV388">
        <v>0.675</v>
      </c>
      <c r="BW388">
        <v>0.6625</v>
      </c>
      <c r="BX388">
        <v>0.649999999999999</v>
      </c>
      <c r="BY388">
        <v>0.637499999999999</v>
      </c>
      <c r="BZ388">
        <v>0.625</v>
      </c>
      <c r="CA388">
        <v>0.6125</v>
      </c>
      <c r="CB388">
        <v>0.6</v>
      </c>
      <c r="CC388" t="e">
        <v>#VALUE!</v>
      </c>
      <c r="CD388" t="e">
        <v>#VALUE!</v>
      </c>
      <c r="CE388" t="e">
        <v>#VALUE!</v>
      </c>
      <c r="CF388" t="e">
        <v>#VALUE!</v>
      </c>
      <c r="CG388" t="e">
        <v>#VALUE!</v>
      </c>
      <c r="CH388" t="e">
        <v>#VALUE!</v>
      </c>
      <c r="CI388" t="e">
        <v>#VALUE!</v>
      </c>
      <c r="CJ388" t="e">
        <v>#VALUE!</v>
      </c>
    </row>
    <row r="389" spans="1:88">
      <c r="A389" t="s">
        <v>36</v>
      </c>
      <c r="B389" t="s">
        <v>275</v>
      </c>
      <c r="C389" t="s">
        <v>275</v>
      </c>
      <c r="D389">
        <v>24.73856274456</v>
      </c>
      <c r="E389">
        <v>24.6033770922968</v>
      </c>
      <c r="F389">
        <v>27.7139359804372</v>
      </c>
      <c r="G389">
        <v>29.628561417074</v>
      </c>
      <c r="H389">
        <v>31.7384471153733</v>
      </c>
      <c r="I389">
        <v>34.1423828187106</v>
      </c>
      <c r="J389">
        <v>36.7608847278006</v>
      </c>
      <c r="K389">
        <v>39.4372995434473</v>
      </c>
      <c r="L389">
        <v>42.1083580287316</v>
      </c>
      <c r="M389">
        <v>44.8048173085689</v>
      </c>
      <c r="N389">
        <v>47.4945118126085</v>
      </c>
      <c r="O389">
        <v>50.0554760599786</v>
      </c>
      <c r="P389">
        <v>52.4394678068804</v>
      </c>
      <c r="Q389">
        <v>54.6191583117541</v>
      </c>
      <c r="R389">
        <v>56.594663538489</v>
      </c>
      <c r="S389">
        <v>58.3787833609651</v>
      </c>
      <c r="T389">
        <v>59.9775063980991</v>
      </c>
      <c r="U389">
        <v>61.3720467254865</v>
      </c>
      <c r="V389">
        <v>5</v>
      </c>
      <c r="AF389" s="99" t="s">
        <v>272</v>
      </c>
      <c r="AH389">
        <v>1</v>
      </c>
      <c r="AI389">
        <v>0.993148396218289</v>
      </c>
      <c r="AJ389">
        <v>1.15302533912728</v>
      </c>
      <c r="AK389">
        <v>1.25605186635103</v>
      </c>
      <c r="AL389">
        <v>1.37359173441292</v>
      </c>
      <c r="AM389">
        <v>1.51253590278995</v>
      </c>
      <c r="AN389">
        <v>1.67002180157007</v>
      </c>
      <c r="AO389">
        <v>1.83787012917579</v>
      </c>
      <c r="AP389">
        <v>2.01265025707437</v>
      </c>
      <c r="AQ389">
        <v>2.19676808060046</v>
      </c>
      <c r="AR389">
        <v>2.38858625431799</v>
      </c>
      <c r="AS389">
        <v>2.57939454604319</v>
      </c>
      <c r="AT389">
        <v>2.76482670127988</v>
      </c>
      <c r="AU389">
        <v>2.94163030596454</v>
      </c>
      <c r="AV389">
        <v>3.10852444359958</v>
      </c>
      <c r="AW389">
        <v>3.26531604850998</v>
      </c>
      <c r="AX389">
        <v>3.41131082682603</v>
      </c>
      <c r="AY389">
        <v>3.54350512218087</v>
      </c>
      <c r="AZ389">
        <v>0</v>
      </c>
      <c r="BA389">
        <v>0</v>
      </c>
      <c r="BB389">
        <v>0</v>
      </c>
      <c r="BC389">
        <v>0</v>
      </c>
      <c r="BD389">
        <v>0</v>
      </c>
      <c r="BE389">
        <v>0</v>
      </c>
      <c r="BF389">
        <v>0</v>
      </c>
      <c r="BG389">
        <v>0</v>
      </c>
      <c r="BI389" t="s">
        <v>287</v>
      </c>
      <c r="BK389">
        <v>0.8</v>
      </c>
      <c r="BL389">
        <v>0.797560975609756</v>
      </c>
      <c r="BM389">
        <v>0.785365853658536</v>
      </c>
      <c r="BN389">
        <v>0.773170731707317</v>
      </c>
      <c r="BO389">
        <v>0.760975609756097</v>
      </c>
      <c r="BP389">
        <v>0.748780487804878</v>
      </c>
      <c r="BQ389">
        <v>0.736585365853658</v>
      </c>
      <c r="BR389">
        <v>0.724390243902439</v>
      </c>
      <c r="BS389">
        <v>0.71219512195122</v>
      </c>
      <c r="BT389">
        <v>0.699999999999999</v>
      </c>
      <c r="BU389">
        <v>0.687499999999999</v>
      </c>
      <c r="BV389">
        <v>0.675</v>
      </c>
      <c r="BW389">
        <v>0.6625</v>
      </c>
      <c r="BX389">
        <v>0.649999999999999</v>
      </c>
      <c r="BY389">
        <v>0.637499999999999</v>
      </c>
      <c r="BZ389">
        <v>0.625</v>
      </c>
      <c r="CA389">
        <v>0.6125</v>
      </c>
      <c r="CB389">
        <v>0.6</v>
      </c>
      <c r="CC389" t="e">
        <v>#VALUE!</v>
      </c>
      <c r="CD389" t="e">
        <v>#VALUE!</v>
      </c>
      <c r="CE389" t="e">
        <v>#VALUE!</v>
      </c>
      <c r="CF389" t="e">
        <v>#VALUE!</v>
      </c>
      <c r="CG389" t="e">
        <v>#VALUE!</v>
      </c>
      <c r="CH389" t="e">
        <v>#VALUE!</v>
      </c>
      <c r="CI389" t="e">
        <v>#VALUE!</v>
      </c>
      <c r="CJ389" t="e">
        <v>#VALUE!</v>
      </c>
    </row>
    <row r="390" spans="1:88">
      <c r="A390" t="s">
        <v>36</v>
      </c>
      <c r="B390" t="s">
        <v>276</v>
      </c>
      <c r="C390" t="s">
        <v>276</v>
      </c>
      <c r="D390">
        <v>23.05987198344</v>
      </c>
      <c r="E390">
        <v>23.1089699635029</v>
      </c>
      <c r="F390">
        <v>23.3505759026471</v>
      </c>
      <c r="G390">
        <v>23.5826750892726</v>
      </c>
      <c r="H390">
        <v>23.8134228090774</v>
      </c>
      <c r="I390">
        <v>24.0593576107348</v>
      </c>
      <c r="J390">
        <v>24.3294717369147</v>
      </c>
      <c r="K390">
        <v>24.6177722207965</v>
      </c>
      <c r="L390">
        <v>24.8470172999821</v>
      </c>
      <c r="M390">
        <v>25.0331424411427</v>
      </c>
      <c r="N390">
        <v>25.192898839674</v>
      </c>
      <c r="O390">
        <v>25.3518164639485</v>
      </c>
      <c r="P390">
        <v>25.5068295174947</v>
      </c>
      <c r="Q390">
        <v>25.6326215465723</v>
      </c>
      <c r="R390">
        <v>25.7091206464208</v>
      </c>
      <c r="S390">
        <v>25.7386938942134</v>
      </c>
      <c r="T390">
        <v>25.7388277560374</v>
      </c>
      <c r="U390">
        <v>25.7219062863884</v>
      </c>
      <c r="V390">
        <v>5</v>
      </c>
      <c r="AF390" s="99" t="s">
        <v>277</v>
      </c>
      <c r="AH390">
        <v>1</v>
      </c>
      <c r="AI390">
        <v>1.00266957936856</v>
      </c>
      <c r="AJ390">
        <v>1.01601747621136</v>
      </c>
      <c r="AK390">
        <v>1.02907923907903</v>
      </c>
      <c r="AL390">
        <v>1.04231114578066</v>
      </c>
      <c r="AM390">
        <v>1.05668724393173</v>
      </c>
      <c r="AN390">
        <v>1.07279320512051</v>
      </c>
      <c r="AO390">
        <v>1.09034235623113</v>
      </c>
      <c r="AP390">
        <v>1.10459892987391</v>
      </c>
      <c r="AQ390">
        <v>1.11641947093388</v>
      </c>
      <c r="AR390">
        <v>1.1267827594842</v>
      </c>
      <c r="AS390">
        <v>1.13731280726268</v>
      </c>
      <c r="AT390">
        <v>1.14780951817165</v>
      </c>
      <c r="AU390">
        <v>1.15651821372295</v>
      </c>
      <c r="AV390">
        <v>1.16193242983768</v>
      </c>
      <c r="AW390">
        <v>1.16407094658516</v>
      </c>
      <c r="AX390">
        <v>1.16408083083218</v>
      </c>
      <c r="AY390">
        <v>1.16280532865867</v>
      </c>
      <c r="AZ390">
        <v>0</v>
      </c>
      <c r="BA390">
        <v>0</v>
      </c>
      <c r="BB390">
        <v>0</v>
      </c>
      <c r="BC390">
        <v>0</v>
      </c>
      <c r="BD390">
        <v>0</v>
      </c>
      <c r="BE390">
        <v>0</v>
      </c>
      <c r="BF390">
        <v>0</v>
      </c>
      <c r="BG390">
        <v>0</v>
      </c>
      <c r="BI390" t="s">
        <v>287</v>
      </c>
      <c r="BK390">
        <v>0.8</v>
      </c>
      <c r="BL390">
        <v>0.797560975609756</v>
      </c>
      <c r="BM390">
        <v>0.785365853658536</v>
      </c>
      <c r="BN390">
        <v>0.773170731707317</v>
      </c>
      <c r="BO390">
        <v>0.760975609756097</v>
      </c>
      <c r="BP390">
        <v>0.748780487804878</v>
      </c>
      <c r="BQ390">
        <v>0.736585365853658</v>
      </c>
      <c r="BR390">
        <v>0.724390243902439</v>
      </c>
      <c r="BS390">
        <v>0.71219512195122</v>
      </c>
      <c r="BT390">
        <v>0.699999999999999</v>
      </c>
      <c r="BU390">
        <v>0.687499999999999</v>
      </c>
      <c r="BV390">
        <v>0.675</v>
      </c>
      <c r="BW390">
        <v>0.6625</v>
      </c>
      <c r="BX390">
        <v>0.649999999999999</v>
      </c>
      <c r="BY390">
        <v>0.637499999999999</v>
      </c>
      <c r="BZ390">
        <v>0.625</v>
      </c>
      <c r="CA390">
        <v>0.6125</v>
      </c>
      <c r="CB390">
        <v>0.6</v>
      </c>
      <c r="CC390" t="e">
        <v>#VALUE!</v>
      </c>
      <c r="CD390" t="e">
        <v>#VALUE!</v>
      </c>
      <c r="CE390" t="e">
        <v>#VALUE!</v>
      </c>
      <c r="CF390" t="e">
        <v>#VALUE!</v>
      </c>
      <c r="CG390" t="e">
        <v>#VALUE!</v>
      </c>
      <c r="CH390" t="e">
        <v>#VALUE!</v>
      </c>
      <c r="CI390" t="e">
        <v>#VALUE!</v>
      </c>
      <c r="CJ390" t="e">
        <v>#VALUE!</v>
      </c>
    </row>
    <row r="391" spans="1:88">
      <c r="A391" t="s">
        <v>36</v>
      </c>
      <c r="B391" t="s">
        <v>278</v>
      </c>
      <c r="C391" t="s">
        <v>278</v>
      </c>
      <c r="D391">
        <v>37.1789765928</v>
      </c>
      <c r="E391">
        <v>36.9758094058833</v>
      </c>
      <c r="F391">
        <v>41.6505917401208</v>
      </c>
      <c r="G391">
        <v>44.5280351481196</v>
      </c>
      <c r="H391">
        <v>47.6989303937541</v>
      </c>
      <c r="I391">
        <v>51.3117461489712</v>
      </c>
      <c r="J391">
        <v>55.2470281696564</v>
      </c>
      <c r="K391">
        <v>59.2693460711049</v>
      </c>
      <c r="L391">
        <v>63.283614075588</v>
      </c>
      <c r="M391">
        <v>67.3360563085369</v>
      </c>
      <c r="N391">
        <v>71.3783319265681</v>
      </c>
      <c r="O391">
        <v>75.2271420127122</v>
      </c>
      <c r="P391">
        <v>78.8099844870584</v>
      </c>
      <c r="Q391">
        <v>82.0857876570735</v>
      </c>
      <c r="R391">
        <v>85.0547258020304</v>
      </c>
      <c r="S391">
        <v>87.7360355370987</v>
      </c>
      <c r="T391">
        <v>90.138717010138</v>
      </c>
      <c r="U391">
        <v>92.2345373180924</v>
      </c>
      <c r="V391">
        <v>5</v>
      </c>
      <c r="AF391" s="99" t="s">
        <v>272</v>
      </c>
      <c r="AH391">
        <v>1</v>
      </c>
      <c r="AI391">
        <v>0.993148396218289</v>
      </c>
      <c r="AJ391">
        <v>1.15302533912728</v>
      </c>
      <c r="AK391">
        <v>1.25605186635103</v>
      </c>
      <c r="AL391">
        <v>1.37359173441292</v>
      </c>
      <c r="AM391">
        <v>1.51253590278995</v>
      </c>
      <c r="AN391">
        <v>1.67002180157007</v>
      </c>
      <c r="AO391">
        <v>1.83787012917579</v>
      </c>
      <c r="AP391">
        <v>2.01265025707437</v>
      </c>
      <c r="AQ391">
        <v>2.19676808060046</v>
      </c>
      <c r="AR391">
        <v>2.38858625431799</v>
      </c>
      <c r="AS391">
        <v>2.57939454604319</v>
      </c>
      <c r="AT391">
        <v>2.76482670127988</v>
      </c>
      <c r="AU391">
        <v>2.94163030596454</v>
      </c>
      <c r="AV391">
        <v>3.10852444359958</v>
      </c>
      <c r="AW391">
        <v>3.26531604850998</v>
      </c>
      <c r="AX391">
        <v>3.41131082682603</v>
      </c>
      <c r="AY391">
        <v>3.54350512218087</v>
      </c>
      <c r="AZ391">
        <v>0</v>
      </c>
      <c r="BA391">
        <v>0</v>
      </c>
      <c r="BB391">
        <v>0</v>
      </c>
      <c r="BC391">
        <v>0</v>
      </c>
      <c r="BD391">
        <v>0</v>
      </c>
      <c r="BE391">
        <v>0</v>
      </c>
      <c r="BF391">
        <v>0</v>
      </c>
      <c r="BG391">
        <v>0</v>
      </c>
      <c r="BI391" t="s">
        <v>287</v>
      </c>
      <c r="BK391">
        <v>0.8</v>
      </c>
      <c r="BL391">
        <v>0.797560975609756</v>
      </c>
      <c r="BM391">
        <v>0.785365853658536</v>
      </c>
      <c r="BN391">
        <v>0.773170731707317</v>
      </c>
      <c r="BO391">
        <v>0.760975609756097</v>
      </c>
      <c r="BP391">
        <v>0.748780487804878</v>
      </c>
      <c r="BQ391">
        <v>0.736585365853658</v>
      </c>
      <c r="BR391">
        <v>0.724390243902439</v>
      </c>
      <c r="BS391">
        <v>0.71219512195122</v>
      </c>
      <c r="BT391">
        <v>0.699999999999999</v>
      </c>
      <c r="BU391">
        <v>0.687499999999999</v>
      </c>
      <c r="BV391">
        <v>0.675</v>
      </c>
      <c r="BW391">
        <v>0.6625</v>
      </c>
      <c r="BX391">
        <v>0.649999999999999</v>
      </c>
      <c r="BY391">
        <v>0.637499999999999</v>
      </c>
      <c r="BZ391">
        <v>0.625</v>
      </c>
      <c r="CA391">
        <v>0.6125</v>
      </c>
      <c r="CB391">
        <v>0.6</v>
      </c>
      <c r="CC391" t="e">
        <v>#VALUE!</v>
      </c>
      <c r="CD391" t="e">
        <v>#VALUE!</v>
      </c>
      <c r="CE391" t="e">
        <v>#VALUE!</v>
      </c>
      <c r="CF391" t="e">
        <v>#VALUE!</v>
      </c>
      <c r="CG391" t="e">
        <v>#VALUE!</v>
      </c>
      <c r="CH391" t="e">
        <v>#VALUE!</v>
      </c>
      <c r="CI391" t="e">
        <v>#VALUE!</v>
      </c>
      <c r="CJ391" t="e">
        <v>#VALUE!</v>
      </c>
    </row>
    <row r="392" spans="1:88">
      <c r="A392" t="s">
        <v>36</v>
      </c>
      <c r="B392" t="s">
        <v>279</v>
      </c>
      <c r="C392" t="s">
        <v>279</v>
      </c>
      <c r="D392">
        <v>95.2218200988</v>
      </c>
      <c r="E392">
        <v>94.701473626264</v>
      </c>
      <c r="F392">
        <v>106.674403578242</v>
      </c>
      <c r="G392">
        <v>114.044036194595</v>
      </c>
      <c r="H392">
        <v>122.165249963842</v>
      </c>
      <c r="I392">
        <v>131.418298956052</v>
      </c>
      <c r="J392">
        <v>141.497240093024</v>
      </c>
      <c r="K392">
        <v>151.79909524592</v>
      </c>
      <c r="L392">
        <v>162.080333213758</v>
      </c>
      <c r="M392">
        <v>172.459342014698</v>
      </c>
      <c r="N392">
        <v>182.812312348058</v>
      </c>
      <c r="O392">
        <v>192.669783833388</v>
      </c>
      <c r="P392">
        <v>201.846066044464</v>
      </c>
      <c r="Q392">
        <v>210.23596723918</v>
      </c>
      <c r="R392">
        <v>217.839933777041</v>
      </c>
      <c r="S392">
        <v>224.707233972476</v>
      </c>
      <c r="T392">
        <v>230.860918768221</v>
      </c>
      <c r="U392">
        <v>236.228678793173</v>
      </c>
      <c r="V392">
        <v>5</v>
      </c>
      <c r="AF392" s="99" t="s">
        <v>272</v>
      </c>
      <c r="AH392">
        <v>1</v>
      </c>
      <c r="AI392">
        <v>0.993148396218289</v>
      </c>
      <c r="AJ392">
        <v>1.15302533912728</v>
      </c>
      <c r="AK392">
        <v>1.25605186635103</v>
      </c>
      <c r="AL392">
        <v>1.37359173441292</v>
      </c>
      <c r="AM392">
        <v>1.51253590278995</v>
      </c>
      <c r="AN392">
        <v>1.67002180157007</v>
      </c>
      <c r="AO392">
        <v>1.83787012917579</v>
      </c>
      <c r="AP392">
        <v>2.01265025707437</v>
      </c>
      <c r="AQ392">
        <v>2.19676808060046</v>
      </c>
      <c r="AR392">
        <v>2.38858625431799</v>
      </c>
      <c r="AS392">
        <v>2.57939454604319</v>
      </c>
      <c r="AT392">
        <v>2.76482670127988</v>
      </c>
      <c r="AU392">
        <v>2.94163030596454</v>
      </c>
      <c r="AV392">
        <v>3.10852444359958</v>
      </c>
      <c r="AW392">
        <v>3.26531604850998</v>
      </c>
      <c r="AX392">
        <v>3.41131082682603</v>
      </c>
      <c r="AY392">
        <v>3.54350512218087</v>
      </c>
      <c r="AZ392">
        <v>0</v>
      </c>
      <c r="BA392">
        <v>0</v>
      </c>
      <c r="BB392">
        <v>0</v>
      </c>
      <c r="BC392">
        <v>0</v>
      </c>
      <c r="BD392">
        <v>0</v>
      </c>
      <c r="BE392">
        <v>0</v>
      </c>
      <c r="BF392">
        <v>0</v>
      </c>
      <c r="BG392">
        <v>0</v>
      </c>
      <c r="BI392" t="s">
        <v>287</v>
      </c>
      <c r="BK392">
        <v>0.8</v>
      </c>
      <c r="BL392">
        <v>0.797560975609756</v>
      </c>
      <c r="BM392">
        <v>0.785365853658536</v>
      </c>
      <c r="BN392">
        <v>0.773170731707317</v>
      </c>
      <c r="BO392">
        <v>0.760975609756097</v>
      </c>
      <c r="BP392">
        <v>0.748780487804878</v>
      </c>
      <c r="BQ392">
        <v>0.736585365853658</v>
      </c>
      <c r="BR392">
        <v>0.724390243902439</v>
      </c>
      <c r="BS392">
        <v>0.71219512195122</v>
      </c>
      <c r="BT392">
        <v>0.699999999999999</v>
      </c>
      <c r="BU392">
        <v>0.687499999999999</v>
      </c>
      <c r="BV392">
        <v>0.675</v>
      </c>
      <c r="BW392">
        <v>0.6625</v>
      </c>
      <c r="BX392">
        <v>0.649999999999999</v>
      </c>
      <c r="BY392">
        <v>0.637499999999999</v>
      </c>
      <c r="BZ392">
        <v>0.625</v>
      </c>
      <c r="CA392">
        <v>0.6125</v>
      </c>
      <c r="CB392">
        <v>0.6</v>
      </c>
      <c r="CC392" t="e">
        <v>#VALUE!</v>
      </c>
      <c r="CD392" t="e">
        <v>#VALUE!</v>
      </c>
      <c r="CE392" t="e">
        <v>#VALUE!</v>
      </c>
      <c r="CF392" t="e">
        <v>#VALUE!</v>
      </c>
      <c r="CG392" t="e">
        <v>#VALUE!</v>
      </c>
      <c r="CH392" t="e">
        <v>#VALUE!</v>
      </c>
      <c r="CI392" t="e">
        <v>#VALUE!</v>
      </c>
      <c r="CJ392" t="e">
        <v>#VALUE!</v>
      </c>
    </row>
    <row r="393" spans="1:88">
      <c r="A393" t="s">
        <v>36</v>
      </c>
      <c r="B393" t="s">
        <v>280</v>
      </c>
      <c r="C393" t="s">
        <v>280</v>
      </c>
      <c r="D393">
        <v>2.476</v>
      </c>
      <c r="E393">
        <v>2.48127178115832</v>
      </c>
      <c r="F393">
        <v>2.5072136556731</v>
      </c>
      <c r="G393">
        <v>2.5321347647971</v>
      </c>
      <c r="H393">
        <v>2.55691076332158</v>
      </c>
      <c r="I393">
        <v>2.58331743935782</v>
      </c>
      <c r="J393">
        <v>2.61232031400092</v>
      </c>
      <c r="K393">
        <v>2.64327590640854</v>
      </c>
      <c r="L393">
        <v>2.66789056239931</v>
      </c>
      <c r="M393">
        <v>2.68787531556032</v>
      </c>
      <c r="N393">
        <v>2.70502878644895</v>
      </c>
      <c r="O393">
        <v>2.722092195907</v>
      </c>
      <c r="P393">
        <v>2.73873636118494</v>
      </c>
      <c r="Q393">
        <v>2.75224298707687</v>
      </c>
      <c r="R393">
        <v>2.76045689959819</v>
      </c>
      <c r="S393">
        <v>2.76363225814255</v>
      </c>
      <c r="T393">
        <v>2.76364663124386</v>
      </c>
      <c r="U393">
        <v>2.76182972788546</v>
      </c>
      <c r="V393">
        <v>5</v>
      </c>
      <c r="AF393" s="99" t="s">
        <v>277</v>
      </c>
      <c r="AH393">
        <v>1</v>
      </c>
      <c r="AI393">
        <v>1.00266957936856</v>
      </c>
      <c r="AJ393">
        <v>1.01601747621136</v>
      </c>
      <c r="AK393">
        <v>1.02907923907903</v>
      </c>
      <c r="AL393">
        <v>1.04231114578066</v>
      </c>
      <c r="AM393">
        <v>1.05668724393173</v>
      </c>
      <c r="AN393">
        <v>1.07279320512051</v>
      </c>
      <c r="AO393">
        <v>1.09034235623113</v>
      </c>
      <c r="AP393">
        <v>1.10459892987391</v>
      </c>
      <c r="AQ393">
        <v>1.11641947093388</v>
      </c>
      <c r="AR393">
        <v>1.1267827594842</v>
      </c>
      <c r="AS393">
        <v>1.13731280726268</v>
      </c>
      <c r="AT393">
        <v>1.14780951817165</v>
      </c>
      <c r="AU393">
        <v>1.15651821372295</v>
      </c>
      <c r="AV393">
        <v>1.16193242983768</v>
      </c>
      <c r="AW393">
        <v>1.16407094658516</v>
      </c>
      <c r="AX393">
        <v>1.16408083083218</v>
      </c>
      <c r="AY393">
        <v>1.16280532865867</v>
      </c>
      <c r="AZ393">
        <v>0</v>
      </c>
      <c r="BA393">
        <v>0</v>
      </c>
      <c r="BB393">
        <v>0</v>
      </c>
      <c r="BC393">
        <v>0</v>
      </c>
      <c r="BD393">
        <v>0</v>
      </c>
      <c r="BE393">
        <v>0</v>
      </c>
      <c r="BF393">
        <v>0</v>
      </c>
      <c r="BG393">
        <v>0</v>
      </c>
      <c r="BI393" t="s">
        <v>287</v>
      </c>
      <c r="BK393">
        <v>0.8</v>
      </c>
      <c r="BL393">
        <v>0.797560975609756</v>
      </c>
      <c r="BM393">
        <v>0.785365853658536</v>
      </c>
      <c r="BN393">
        <v>0.773170731707317</v>
      </c>
      <c r="BO393">
        <v>0.760975609756097</v>
      </c>
      <c r="BP393">
        <v>0.748780487804878</v>
      </c>
      <c r="BQ393">
        <v>0.736585365853658</v>
      </c>
      <c r="BR393">
        <v>0.724390243902439</v>
      </c>
      <c r="BS393">
        <v>0.71219512195122</v>
      </c>
      <c r="BT393">
        <v>0.699999999999999</v>
      </c>
      <c r="BU393">
        <v>0.687499999999999</v>
      </c>
      <c r="BV393">
        <v>0.675</v>
      </c>
      <c r="BW393">
        <v>0.6625</v>
      </c>
      <c r="BX393">
        <v>0.649999999999999</v>
      </c>
      <c r="BY393">
        <v>0.637499999999999</v>
      </c>
      <c r="BZ393">
        <v>0.625</v>
      </c>
      <c r="CA393">
        <v>0.6125</v>
      </c>
      <c r="CB393">
        <v>0.6</v>
      </c>
      <c r="CC393" t="e">
        <v>#VALUE!</v>
      </c>
      <c r="CD393" t="e">
        <v>#VALUE!</v>
      </c>
      <c r="CE393" t="e">
        <v>#VALUE!</v>
      </c>
      <c r="CF393" t="e">
        <v>#VALUE!</v>
      </c>
      <c r="CG393" t="e">
        <v>#VALUE!</v>
      </c>
      <c r="CH393" t="e">
        <v>#VALUE!</v>
      </c>
      <c r="CI393" t="e">
        <v>#VALUE!</v>
      </c>
      <c r="CJ393" t="e">
        <v>#VALUE!</v>
      </c>
    </row>
    <row r="394" spans="1:88">
      <c r="A394" t="s">
        <v>36</v>
      </c>
      <c r="B394" t="s">
        <v>281</v>
      </c>
      <c r="C394" t="s">
        <v>281</v>
      </c>
      <c r="D394">
        <v>1.47</v>
      </c>
      <c r="E394">
        <v>1.47312985391871</v>
      </c>
      <c r="F394">
        <v>1.48853153224534</v>
      </c>
      <c r="G394">
        <v>1.50332718265417</v>
      </c>
      <c r="H394">
        <v>1.51803668097041</v>
      </c>
      <c r="I394">
        <v>1.53371431173505</v>
      </c>
      <c r="J394">
        <v>1.55093330435434</v>
      </c>
      <c r="K394">
        <v>1.56931162456403</v>
      </c>
      <c r="L394">
        <v>1.5839253338962</v>
      </c>
      <c r="M394">
        <v>1.59579027216222</v>
      </c>
      <c r="N394">
        <v>1.60597427951533</v>
      </c>
      <c r="O394">
        <v>1.61610481744075</v>
      </c>
      <c r="P394">
        <v>1.62598645029962</v>
      </c>
      <c r="Q394">
        <v>1.63400532754564</v>
      </c>
      <c r="R394">
        <v>1.63888192342865</v>
      </c>
      <c r="S394">
        <v>1.64076713225749</v>
      </c>
      <c r="T394">
        <v>1.64077566556077</v>
      </c>
      <c r="U394">
        <v>1.63969697091746</v>
      </c>
      <c r="V394">
        <v>5</v>
      </c>
      <c r="AF394" s="99" t="s">
        <v>277</v>
      </c>
      <c r="AH394">
        <v>1</v>
      </c>
      <c r="AI394">
        <v>1.00266957936856</v>
      </c>
      <c r="AJ394">
        <v>1.01601747621136</v>
      </c>
      <c r="AK394">
        <v>1.02907923907903</v>
      </c>
      <c r="AL394">
        <v>1.04231114578066</v>
      </c>
      <c r="AM394">
        <v>1.05668724393173</v>
      </c>
      <c r="AN394">
        <v>1.07279320512051</v>
      </c>
      <c r="AO394">
        <v>1.09034235623113</v>
      </c>
      <c r="AP394">
        <v>1.10459892987391</v>
      </c>
      <c r="AQ394">
        <v>1.11641947093388</v>
      </c>
      <c r="AR394">
        <v>1.1267827594842</v>
      </c>
      <c r="AS394">
        <v>1.13731280726268</v>
      </c>
      <c r="AT394">
        <v>1.14780951817165</v>
      </c>
      <c r="AU394">
        <v>1.15651821372295</v>
      </c>
      <c r="AV394">
        <v>1.16193242983768</v>
      </c>
      <c r="AW394">
        <v>1.16407094658516</v>
      </c>
      <c r="AX394">
        <v>1.16408083083218</v>
      </c>
      <c r="AY394">
        <v>1.16280532865867</v>
      </c>
      <c r="AZ394">
        <v>0</v>
      </c>
      <c r="BA394">
        <v>0</v>
      </c>
      <c r="BB394">
        <v>0</v>
      </c>
      <c r="BC394">
        <v>0</v>
      </c>
      <c r="BD394">
        <v>0</v>
      </c>
      <c r="BE394">
        <v>0</v>
      </c>
      <c r="BF394">
        <v>0</v>
      </c>
      <c r="BG394">
        <v>0</v>
      </c>
      <c r="BI394" t="s">
        <v>287</v>
      </c>
      <c r="BK394">
        <v>0.8</v>
      </c>
      <c r="BL394">
        <v>0.797560975609756</v>
      </c>
      <c r="BM394">
        <v>0.785365853658536</v>
      </c>
      <c r="BN394">
        <v>0.773170731707317</v>
      </c>
      <c r="BO394">
        <v>0.760975609756097</v>
      </c>
      <c r="BP394">
        <v>0.748780487804878</v>
      </c>
      <c r="BQ394">
        <v>0.736585365853658</v>
      </c>
      <c r="BR394">
        <v>0.724390243902439</v>
      </c>
      <c r="BS394">
        <v>0.71219512195122</v>
      </c>
      <c r="BT394">
        <v>0.699999999999999</v>
      </c>
      <c r="BU394">
        <v>0.687499999999999</v>
      </c>
      <c r="BV394">
        <v>0.675</v>
      </c>
      <c r="BW394">
        <v>0.6625</v>
      </c>
      <c r="BX394">
        <v>0.649999999999999</v>
      </c>
      <c r="BY394">
        <v>0.637499999999999</v>
      </c>
      <c r="BZ394">
        <v>0.625</v>
      </c>
      <c r="CA394">
        <v>0.6125</v>
      </c>
      <c r="CB394">
        <v>0.6</v>
      </c>
      <c r="CC394" t="e">
        <v>#VALUE!</v>
      </c>
      <c r="CD394" t="e">
        <v>#VALUE!</v>
      </c>
      <c r="CE394" t="e">
        <v>#VALUE!</v>
      </c>
      <c r="CF394" t="e">
        <v>#VALUE!</v>
      </c>
      <c r="CG394" t="e">
        <v>#VALUE!</v>
      </c>
      <c r="CH394" t="e">
        <v>#VALUE!</v>
      </c>
      <c r="CI394" t="e">
        <v>#VALUE!</v>
      </c>
      <c r="CJ394" t="e">
        <v>#VALUE!</v>
      </c>
    </row>
    <row r="395" spans="1:88">
      <c r="A395" t="s">
        <v>36</v>
      </c>
      <c r="B395" t="s">
        <v>282</v>
      </c>
      <c r="C395" t="s">
        <v>282</v>
      </c>
      <c r="D395">
        <v>3.15</v>
      </c>
      <c r="E395">
        <v>3.15670682982582</v>
      </c>
      <c r="F395">
        <v>3.18971042624</v>
      </c>
      <c r="G395">
        <v>3.2214153914018</v>
      </c>
      <c r="H395">
        <v>3.25293574493659</v>
      </c>
      <c r="I395">
        <v>3.28653066800369</v>
      </c>
      <c r="J395">
        <v>3.32342850933073</v>
      </c>
      <c r="K395">
        <v>3.36281062406579</v>
      </c>
      <c r="L395">
        <v>3.39412571549185</v>
      </c>
      <c r="M395">
        <v>3.41955058320476</v>
      </c>
      <c r="N395">
        <v>3.44137345610428</v>
      </c>
      <c r="O395">
        <v>3.46308175165874</v>
      </c>
      <c r="P395">
        <v>3.48425667921347</v>
      </c>
      <c r="Q395">
        <v>3.50143998759779</v>
      </c>
      <c r="R395">
        <v>3.51188983591853</v>
      </c>
      <c r="S395">
        <v>3.51592956912319</v>
      </c>
      <c r="T395">
        <v>3.51594785477308</v>
      </c>
      <c r="U395">
        <v>3.5136363662517</v>
      </c>
      <c r="V395">
        <v>5</v>
      </c>
      <c r="AF395" s="99" t="s">
        <v>277</v>
      </c>
      <c r="AH395">
        <v>1</v>
      </c>
      <c r="AI395">
        <v>1.00266957936856</v>
      </c>
      <c r="AJ395">
        <v>1.01601747621136</v>
      </c>
      <c r="AK395">
        <v>1.02907923907903</v>
      </c>
      <c r="AL395">
        <v>1.04231114578066</v>
      </c>
      <c r="AM395">
        <v>1.05668724393173</v>
      </c>
      <c r="AN395">
        <v>1.07279320512051</v>
      </c>
      <c r="AO395">
        <v>1.09034235623113</v>
      </c>
      <c r="AP395">
        <v>1.10459892987391</v>
      </c>
      <c r="AQ395">
        <v>1.11641947093388</v>
      </c>
      <c r="AR395">
        <v>1.1267827594842</v>
      </c>
      <c r="AS395">
        <v>1.13731280726268</v>
      </c>
      <c r="AT395">
        <v>1.14780951817165</v>
      </c>
      <c r="AU395">
        <v>1.15651821372295</v>
      </c>
      <c r="AV395">
        <v>1.16193242983768</v>
      </c>
      <c r="AW395">
        <v>1.16407094658516</v>
      </c>
      <c r="AX395">
        <v>1.16408083083218</v>
      </c>
      <c r="AY395">
        <v>1.16280532865867</v>
      </c>
      <c r="AZ395">
        <v>0</v>
      </c>
      <c r="BA395">
        <v>0</v>
      </c>
      <c r="BB395">
        <v>0</v>
      </c>
      <c r="BC395">
        <v>0</v>
      </c>
      <c r="BD395">
        <v>0</v>
      </c>
      <c r="BE395">
        <v>0</v>
      </c>
      <c r="BF395">
        <v>0</v>
      </c>
      <c r="BG395">
        <v>0</v>
      </c>
      <c r="BI395" t="s">
        <v>287</v>
      </c>
      <c r="BK395">
        <v>0.8</v>
      </c>
      <c r="BL395">
        <v>0.797560975609756</v>
      </c>
      <c r="BM395">
        <v>0.785365853658536</v>
      </c>
      <c r="BN395">
        <v>0.773170731707317</v>
      </c>
      <c r="BO395">
        <v>0.760975609756097</v>
      </c>
      <c r="BP395">
        <v>0.748780487804878</v>
      </c>
      <c r="BQ395">
        <v>0.736585365853658</v>
      </c>
      <c r="BR395">
        <v>0.724390243902439</v>
      </c>
      <c r="BS395">
        <v>0.71219512195122</v>
      </c>
      <c r="BT395">
        <v>0.699999999999999</v>
      </c>
      <c r="BU395">
        <v>0.687499999999999</v>
      </c>
      <c r="BV395">
        <v>0.675</v>
      </c>
      <c r="BW395">
        <v>0.6625</v>
      </c>
      <c r="BX395">
        <v>0.649999999999999</v>
      </c>
      <c r="BY395">
        <v>0.637499999999999</v>
      </c>
      <c r="BZ395">
        <v>0.625</v>
      </c>
      <c r="CA395">
        <v>0.6125</v>
      </c>
      <c r="CB395">
        <v>0.6</v>
      </c>
      <c r="CC395" t="e">
        <v>#VALUE!</v>
      </c>
      <c r="CD395" t="e">
        <v>#VALUE!</v>
      </c>
      <c r="CE395" t="e">
        <v>#VALUE!</v>
      </c>
      <c r="CF395" t="e">
        <v>#VALUE!</v>
      </c>
      <c r="CG395" t="e">
        <v>#VALUE!</v>
      </c>
      <c r="CH395" t="e">
        <v>#VALUE!</v>
      </c>
      <c r="CI395" t="e">
        <v>#VALUE!</v>
      </c>
      <c r="CJ395" t="e">
        <v>#VALUE!</v>
      </c>
    </row>
    <row r="396" spans="1:88">
      <c r="A396" t="s">
        <v>36</v>
      </c>
      <c r="B396" t="s">
        <v>283</v>
      </c>
      <c r="C396" t="s">
        <v>283</v>
      </c>
      <c r="D396">
        <v>346.02</v>
      </c>
      <c r="E396">
        <v>343.399415437687</v>
      </c>
      <c r="F396">
        <v>382.701294180686</v>
      </c>
      <c r="G396">
        <v>405.04906631086</v>
      </c>
      <c r="H396">
        <v>429.613989636983</v>
      </c>
      <c r="I396">
        <v>457.334636446194</v>
      </c>
      <c r="J396">
        <v>486.825286283558</v>
      </c>
      <c r="K396">
        <v>516.022686042406</v>
      </c>
      <c r="L396">
        <v>545.778155089236</v>
      </c>
      <c r="M396">
        <v>576.312619885786</v>
      </c>
      <c r="N396">
        <v>606.947177163319</v>
      </c>
      <c r="O396">
        <v>635.578330573837</v>
      </c>
      <c r="P396">
        <v>661.721500861818</v>
      </c>
      <c r="Q396">
        <v>685.780557111094</v>
      </c>
      <c r="R396">
        <v>708.431650701317</v>
      </c>
      <c r="S396">
        <v>729.910180124928</v>
      </c>
      <c r="T396">
        <v>749.895055341612</v>
      </c>
      <c r="U396">
        <v>767.843576621015</v>
      </c>
      <c r="V396">
        <v>5</v>
      </c>
      <c r="AF396" s="99" t="s">
        <v>284</v>
      </c>
      <c r="AH396">
        <v>1</v>
      </c>
      <c r="AI396">
        <v>0.990504166730313</v>
      </c>
      <c r="AJ396">
        <v>1.13484793925673</v>
      </c>
      <c r="AK396">
        <v>1.22055894109294</v>
      </c>
      <c r="AL396">
        <v>1.31783272199794</v>
      </c>
      <c r="AM396">
        <v>1.4313941154074</v>
      </c>
      <c r="AN396">
        <v>1.55670430573101</v>
      </c>
      <c r="AO396">
        <v>1.6855899605043</v>
      </c>
      <c r="AP396">
        <v>1.82206428291952</v>
      </c>
      <c r="AQ396">
        <v>1.96769058386529</v>
      </c>
      <c r="AR396">
        <v>2.11982854211524</v>
      </c>
      <c r="AS396">
        <v>2.2679728299652</v>
      </c>
      <c r="AT396">
        <v>2.40878530584411</v>
      </c>
      <c r="AU396">
        <v>2.54352267959112</v>
      </c>
      <c r="AV396">
        <v>2.6753056922887</v>
      </c>
      <c r="AW396">
        <v>2.80508336548462</v>
      </c>
      <c r="AX396">
        <v>2.93047590551538</v>
      </c>
      <c r="AY396">
        <v>3.04737606101994</v>
      </c>
      <c r="AZ396">
        <v>0</v>
      </c>
      <c r="BA396">
        <v>0</v>
      </c>
      <c r="BB396">
        <v>0</v>
      </c>
      <c r="BC396">
        <v>0</v>
      </c>
      <c r="BD396">
        <v>0</v>
      </c>
      <c r="BE396">
        <v>0</v>
      </c>
      <c r="BF396">
        <v>0</v>
      </c>
      <c r="BG396">
        <v>0</v>
      </c>
      <c r="BI396" t="s">
        <v>287</v>
      </c>
      <c r="BK396">
        <v>0.8</v>
      </c>
      <c r="BL396">
        <v>0.797560975609756</v>
      </c>
      <c r="BM396">
        <v>0.785365853658536</v>
      </c>
      <c r="BN396">
        <v>0.773170731707317</v>
      </c>
      <c r="BO396">
        <v>0.760975609756097</v>
      </c>
      <c r="BP396">
        <v>0.748780487804878</v>
      </c>
      <c r="BQ396">
        <v>0.736585365853658</v>
      </c>
      <c r="BR396">
        <v>0.724390243902439</v>
      </c>
      <c r="BS396">
        <v>0.71219512195122</v>
      </c>
      <c r="BT396">
        <v>0.699999999999999</v>
      </c>
      <c r="BU396">
        <v>0.687499999999999</v>
      </c>
      <c r="BV396">
        <v>0.675</v>
      </c>
      <c r="BW396">
        <v>0.6625</v>
      </c>
      <c r="BX396">
        <v>0.649999999999999</v>
      </c>
      <c r="BY396">
        <v>0.637499999999999</v>
      </c>
      <c r="BZ396">
        <v>0.625</v>
      </c>
      <c r="CA396">
        <v>0.6125</v>
      </c>
      <c r="CB396">
        <v>0.6</v>
      </c>
      <c r="CC396" t="e">
        <v>#VALUE!</v>
      </c>
      <c r="CD396" t="e">
        <v>#VALUE!</v>
      </c>
      <c r="CE396" t="e">
        <v>#VALUE!</v>
      </c>
      <c r="CF396" t="e">
        <v>#VALUE!</v>
      </c>
      <c r="CG396" t="e">
        <v>#VALUE!</v>
      </c>
      <c r="CH396" t="e">
        <v>#VALUE!</v>
      </c>
      <c r="CI396" t="e">
        <v>#VALUE!</v>
      </c>
      <c r="CJ396" t="e">
        <v>#VALUE!</v>
      </c>
    </row>
    <row r="397" spans="1:88">
      <c r="A397" t="s">
        <v>36</v>
      </c>
      <c r="B397" t="s">
        <v>285</v>
      </c>
      <c r="C397" t="s">
        <v>285</v>
      </c>
      <c r="D397">
        <v>95.2</v>
      </c>
      <c r="E397">
        <v>94.6797727649605</v>
      </c>
      <c r="F397">
        <v>106.649959117685</v>
      </c>
      <c r="G397">
        <v>114.017902981276</v>
      </c>
      <c r="H397">
        <v>122.13725577279</v>
      </c>
      <c r="I397">
        <v>131.388184427004</v>
      </c>
      <c r="J397">
        <v>141.464815972633</v>
      </c>
      <c r="K397">
        <v>151.764310453394</v>
      </c>
      <c r="L397">
        <v>162.043192473531</v>
      </c>
      <c r="M397">
        <v>172.419822922564</v>
      </c>
      <c r="N397">
        <v>182.770420870736</v>
      </c>
      <c r="O397">
        <v>192.625633514536</v>
      </c>
      <c r="P397">
        <v>201.799812978739</v>
      </c>
      <c r="Q397">
        <v>210.187791625947</v>
      </c>
      <c r="R397">
        <v>217.79001571338</v>
      </c>
      <c r="S397">
        <v>224.655742265625</v>
      </c>
      <c r="T397">
        <v>230.808016943289</v>
      </c>
      <c r="U397">
        <v>236.174546944976</v>
      </c>
      <c r="V397">
        <v>5</v>
      </c>
      <c r="AF397" s="99" t="s">
        <v>272</v>
      </c>
      <c r="AH397">
        <v>1</v>
      </c>
      <c r="AI397">
        <v>0.993148396218289</v>
      </c>
      <c r="AJ397">
        <v>1.15302533912728</v>
      </c>
      <c r="AK397">
        <v>1.25605186635103</v>
      </c>
      <c r="AL397">
        <v>1.37359173441292</v>
      </c>
      <c r="AM397">
        <v>1.51253590278995</v>
      </c>
      <c r="AN397">
        <v>1.67002180157007</v>
      </c>
      <c r="AO397">
        <v>1.83787012917579</v>
      </c>
      <c r="AP397">
        <v>2.01265025707437</v>
      </c>
      <c r="AQ397">
        <v>2.19676808060046</v>
      </c>
      <c r="AR397">
        <v>2.38858625431799</v>
      </c>
      <c r="AS397">
        <v>2.57939454604319</v>
      </c>
      <c r="AT397">
        <v>2.76482670127988</v>
      </c>
      <c r="AU397">
        <v>2.94163030596454</v>
      </c>
      <c r="AV397">
        <v>3.10852444359958</v>
      </c>
      <c r="AW397">
        <v>3.26531604850998</v>
      </c>
      <c r="AX397">
        <v>3.41131082682603</v>
      </c>
      <c r="AY397">
        <v>3.54350512218087</v>
      </c>
      <c r="AZ397">
        <v>0</v>
      </c>
      <c r="BA397">
        <v>0</v>
      </c>
      <c r="BB397">
        <v>0</v>
      </c>
      <c r="BC397">
        <v>0</v>
      </c>
      <c r="BD397">
        <v>0</v>
      </c>
      <c r="BE397">
        <v>0</v>
      </c>
      <c r="BF397">
        <v>0</v>
      </c>
      <c r="BG397">
        <v>0</v>
      </c>
      <c r="BI397" t="s">
        <v>287</v>
      </c>
      <c r="BK397">
        <v>0.8</v>
      </c>
      <c r="BL397">
        <v>0.797560975609756</v>
      </c>
      <c r="BM397">
        <v>0.785365853658536</v>
      </c>
      <c r="BN397">
        <v>0.773170731707317</v>
      </c>
      <c r="BO397">
        <v>0.760975609756097</v>
      </c>
      <c r="BP397">
        <v>0.748780487804878</v>
      </c>
      <c r="BQ397">
        <v>0.736585365853658</v>
      </c>
      <c r="BR397">
        <v>0.724390243902439</v>
      </c>
      <c r="BS397">
        <v>0.71219512195122</v>
      </c>
      <c r="BT397">
        <v>0.699999999999999</v>
      </c>
      <c r="BU397">
        <v>0.687499999999999</v>
      </c>
      <c r="BV397">
        <v>0.675</v>
      </c>
      <c r="BW397">
        <v>0.6625</v>
      </c>
      <c r="BX397">
        <v>0.649999999999999</v>
      </c>
      <c r="BY397">
        <v>0.637499999999999</v>
      </c>
      <c r="BZ397">
        <v>0.625</v>
      </c>
      <c r="CA397">
        <v>0.6125</v>
      </c>
      <c r="CB397">
        <v>0.6</v>
      </c>
      <c r="CC397" t="e">
        <v>#VALUE!</v>
      </c>
      <c r="CD397" t="e">
        <v>#VALUE!</v>
      </c>
      <c r="CE397" t="e">
        <v>#VALUE!</v>
      </c>
      <c r="CF397" t="e">
        <v>#VALUE!</v>
      </c>
      <c r="CG397" t="e">
        <v>#VALUE!</v>
      </c>
      <c r="CH397" t="e">
        <v>#VALUE!</v>
      </c>
      <c r="CI397" t="e">
        <v>#VALUE!</v>
      </c>
      <c r="CJ397" t="e">
        <v>#VALUE!</v>
      </c>
    </row>
    <row r="398" spans="1:88">
      <c r="A398" t="s">
        <v>36</v>
      </c>
      <c r="B398" t="s">
        <v>286</v>
      </c>
      <c r="C398" t="s">
        <v>286</v>
      </c>
      <c r="D398">
        <v>54.4</v>
      </c>
      <c r="E398">
        <v>54.1027272942632</v>
      </c>
      <c r="F398">
        <v>60.9428337815345</v>
      </c>
      <c r="G398">
        <v>65.1530874178718</v>
      </c>
      <c r="H398">
        <v>69.7927175844515</v>
      </c>
      <c r="I398">
        <v>75.0789625297164</v>
      </c>
      <c r="J398">
        <v>80.8370376986475</v>
      </c>
      <c r="K398">
        <v>86.7224631162254</v>
      </c>
      <c r="L398">
        <v>92.5961099848746</v>
      </c>
      <c r="M398">
        <v>98.5256130986077</v>
      </c>
      <c r="N398">
        <v>104.440240497563</v>
      </c>
      <c r="O398">
        <v>110.071790579735</v>
      </c>
      <c r="P398">
        <v>115.314178844994</v>
      </c>
      <c r="Q398">
        <v>120.107309500541</v>
      </c>
      <c r="R398">
        <v>124.451437550503</v>
      </c>
      <c r="S398">
        <v>128.374709866072</v>
      </c>
      <c r="T398">
        <v>131.890295396165</v>
      </c>
      <c r="U398">
        <v>134.956883968558</v>
      </c>
      <c r="V398">
        <v>5</v>
      </c>
      <c r="AF398" s="99" t="s">
        <v>272</v>
      </c>
      <c r="AH398">
        <v>1</v>
      </c>
      <c r="AI398">
        <v>0.993148396218289</v>
      </c>
      <c r="AJ398">
        <v>1.15302533912728</v>
      </c>
      <c r="AK398">
        <v>1.25605186635103</v>
      </c>
      <c r="AL398">
        <v>1.37359173441292</v>
      </c>
      <c r="AM398">
        <v>1.51253590278995</v>
      </c>
      <c r="AN398">
        <v>1.67002180157007</v>
      </c>
      <c r="AO398">
        <v>1.83787012917579</v>
      </c>
      <c r="AP398">
        <v>2.01265025707437</v>
      </c>
      <c r="AQ398">
        <v>2.19676808060046</v>
      </c>
      <c r="AR398">
        <v>2.38858625431799</v>
      </c>
      <c r="AS398">
        <v>2.57939454604319</v>
      </c>
      <c r="AT398">
        <v>2.76482670127988</v>
      </c>
      <c r="AU398">
        <v>2.94163030596454</v>
      </c>
      <c r="AV398">
        <v>3.10852444359958</v>
      </c>
      <c r="AW398">
        <v>3.26531604850998</v>
      </c>
      <c r="AX398">
        <v>3.41131082682603</v>
      </c>
      <c r="AY398">
        <v>3.54350512218087</v>
      </c>
      <c r="AZ398">
        <v>0</v>
      </c>
      <c r="BA398">
        <v>0</v>
      </c>
      <c r="BB398">
        <v>0</v>
      </c>
      <c r="BC398">
        <v>0</v>
      </c>
      <c r="BD398">
        <v>0</v>
      </c>
      <c r="BE398">
        <v>0</v>
      </c>
      <c r="BF398">
        <v>0</v>
      </c>
      <c r="BG398">
        <v>0</v>
      </c>
      <c r="BI398" t="s">
        <v>287</v>
      </c>
      <c r="BK398">
        <v>0.8</v>
      </c>
      <c r="BL398">
        <v>0.797560975609756</v>
      </c>
      <c r="BM398">
        <v>0.785365853658536</v>
      </c>
      <c r="BN398">
        <v>0.773170731707317</v>
      </c>
      <c r="BO398">
        <v>0.760975609756097</v>
      </c>
      <c r="BP398">
        <v>0.748780487804878</v>
      </c>
      <c r="BQ398">
        <v>0.736585365853658</v>
      </c>
      <c r="BR398">
        <v>0.724390243902439</v>
      </c>
      <c r="BS398">
        <v>0.71219512195122</v>
      </c>
      <c r="BT398">
        <v>0.699999999999999</v>
      </c>
      <c r="BU398">
        <v>0.687499999999999</v>
      </c>
      <c r="BV398">
        <v>0.675</v>
      </c>
      <c r="BW398">
        <v>0.6625</v>
      </c>
      <c r="BX398">
        <v>0.649999999999999</v>
      </c>
      <c r="BY398">
        <v>0.637499999999999</v>
      </c>
      <c r="BZ398">
        <v>0.625</v>
      </c>
      <c r="CA398">
        <v>0.6125</v>
      </c>
      <c r="CB398">
        <v>0.6</v>
      </c>
      <c r="CC398" t="e">
        <v>#VALUE!</v>
      </c>
      <c r="CD398" t="e">
        <v>#VALUE!</v>
      </c>
      <c r="CE398" t="e">
        <v>#VALUE!</v>
      </c>
      <c r="CF398" t="e">
        <v>#VALUE!</v>
      </c>
      <c r="CG398" t="e">
        <v>#VALUE!</v>
      </c>
      <c r="CH398" t="e">
        <v>#VALUE!</v>
      </c>
      <c r="CI398" t="e">
        <v>#VALUE!</v>
      </c>
      <c r="CJ398" t="e">
        <v>#VALUE!</v>
      </c>
    </row>
    <row r="399" spans="1:88">
      <c r="A399" t="s">
        <v>37</v>
      </c>
      <c r="B399" t="s">
        <v>271</v>
      </c>
      <c r="C399" t="s">
        <v>271</v>
      </c>
      <c r="D399">
        <v>7.6400014644</v>
      </c>
      <c r="E399">
        <v>7.75124785307158</v>
      </c>
      <c r="F399">
        <v>6.5631356130027</v>
      </c>
      <c r="G399">
        <v>8.15989607590485</v>
      </c>
      <c r="H399">
        <v>9.81744786640992</v>
      </c>
      <c r="I399">
        <v>11.4177230768777</v>
      </c>
      <c r="J399">
        <v>12.9108385323673</v>
      </c>
      <c r="K399">
        <v>14.3575679981516</v>
      </c>
      <c r="L399">
        <v>15.8076347809023</v>
      </c>
      <c r="M399">
        <v>17.2980081700845</v>
      </c>
      <c r="N399">
        <v>18.7870090748011</v>
      </c>
      <c r="O399">
        <v>20.2332530791997</v>
      </c>
      <c r="P399">
        <v>21.6130671570133</v>
      </c>
      <c r="Q399">
        <v>22.9413768373878</v>
      </c>
      <c r="R399">
        <v>24.2621984767624</v>
      </c>
      <c r="S399">
        <v>25.6036306848291</v>
      </c>
      <c r="T399">
        <v>26.9536850165934</v>
      </c>
      <c r="U399">
        <v>28.2805486289848</v>
      </c>
      <c r="V399">
        <v>5</v>
      </c>
      <c r="AF399" s="99" t="s">
        <v>272</v>
      </c>
      <c r="AH399">
        <v>1</v>
      </c>
      <c r="AI399">
        <v>1.0145966444184</v>
      </c>
      <c r="AJ399">
        <v>0.856769478056215</v>
      </c>
      <c r="AK399">
        <v>1.0709615244502</v>
      </c>
      <c r="AL399">
        <v>1.29734461405191</v>
      </c>
      <c r="AM399">
        <v>1.52023209843737</v>
      </c>
      <c r="AN399">
        <v>1.73249613354527</v>
      </c>
      <c r="AO399">
        <v>1.94251088369941</v>
      </c>
      <c r="AP399">
        <v>2.15758237059863</v>
      </c>
      <c r="AQ399">
        <v>2.38360559676455</v>
      </c>
      <c r="AR399">
        <v>2.61479338945824</v>
      </c>
      <c r="AS399">
        <v>2.84483862959129</v>
      </c>
      <c r="AT399">
        <v>3.0697717409676</v>
      </c>
      <c r="AU399">
        <v>3.29172937811721</v>
      </c>
      <c r="AV399">
        <v>3.51801867057916</v>
      </c>
      <c r="AW399">
        <v>3.75378553623732</v>
      </c>
      <c r="AX399">
        <v>3.99739591074752</v>
      </c>
      <c r="AY399">
        <v>4.24337337055627</v>
      </c>
      <c r="AZ399">
        <v>0</v>
      </c>
      <c r="BA399">
        <v>0</v>
      </c>
      <c r="BB399">
        <v>0</v>
      </c>
      <c r="BC399">
        <v>0</v>
      </c>
      <c r="BD399">
        <v>0</v>
      </c>
      <c r="BE399">
        <v>0</v>
      </c>
      <c r="BF399">
        <v>0</v>
      </c>
      <c r="BG399">
        <v>0</v>
      </c>
      <c r="BI399" t="s">
        <v>273</v>
      </c>
      <c r="BK399">
        <v>1</v>
      </c>
      <c r="BL399">
        <v>0.997560975609757</v>
      </c>
      <c r="BM399">
        <v>0.985365853658537</v>
      </c>
      <c r="BN399">
        <v>0.973170731707317</v>
      </c>
      <c r="BO399">
        <v>0.960975609756098</v>
      </c>
      <c r="BP399">
        <v>0.948780487804878</v>
      </c>
      <c r="BQ399">
        <v>0.936585365853658</v>
      </c>
      <c r="BR399">
        <v>0.924390243902439</v>
      </c>
      <c r="BS399">
        <v>0.91219512195122</v>
      </c>
      <c r="BT399">
        <v>0.9</v>
      </c>
      <c r="BU399">
        <v>0.8875</v>
      </c>
      <c r="BV399">
        <v>0.875000000000001</v>
      </c>
      <c r="BW399">
        <v>0.862500000000001</v>
      </c>
      <c r="BX399">
        <v>0.850000000000001</v>
      </c>
      <c r="BY399">
        <v>0.8375</v>
      </c>
      <c r="BZ399">
        <v>0.825000000000001</v>
      </c>
      <c r="CA399">
        <v>0.812500000000001</v>
      </c>
      <c r="CB399">
        <v>0.800000000000001</v>
      </c>
      <c r="CC399" t="e">
        <v>#VALUE!</v>
      </c>
      <c r="CD399" t="e">
        <v>#VALUE!</v>
      </c>
      <c r="CE399" t="e">
        <v>#VALUE!</v>
      </c>
      <c r="CF399" t="e">
        <v>#VALUE!</v>
      </c>
      <c r="CG399" t="e">
        <v>#VALUE!</v>
      </c>
      <c r="CH399" t="e">
        <v>#VALUE!</v>
      </c>
      <c r="CI399" t="e">
        <v>#VALUE!</v>
      </c>
      <c r="CJ399" t="e">
        <v>#VALUE!</v>
      </c>
    </row>
    <row r="400" spans="1:88">
      <c r="A400" t="s">
        <v>37</v>
      </c>
      <c r="B400" t="s">
        <v>274</v>
      </c>
      <c r="C400" t="s">
        <v>274</v>
      </c>
      <c r="D400">
        <v>7.2917392536</v>
      </c>
      <c r="E400">
        <v>7.39791458129825</v>
      </c>
      <c r="F400">
        <v>6.26396130930457</v>
      </c>
      <c r="G400">
        <v>7.78793496300001</v>
      </c>
      <c r="H400">
        <v>9.36992882936505</v>
      </c>
      <c r="I400">
        <v>10.8972570141964</v>
      </c>
      <c r="J400">
        <v>12.3223102197072</v>
      </c>
      <c r="K400">
        <v>13.7030918967991</v>
      </c>
      <c r="L400">
        <v>15.0870587624331</v>
      </c>
      <c r="M400">
        <v>16.5094948961249</v>
      </c>
      <c r="N400">
        <v>17.9306211087519</v>
      </c>
      <c r="O400">
        <v>19.3109394537544</v>
      </c>
      <c r="P400">
        <v>20.6278560172846</v>
      </c>
      <c r="Q400">
        <v>21.8956159624176</v>
      </c>
      <c r="R400">
        <v>23.156229201788</v>
      </c>
      <c r="S400">
        <v>24.4365134966513</v>
      </c>
      <c r="T400">
        <v>25.725026883892</v>
      </c>
      <c r="U400">
        <v>26.9914066786776</v>
      </c>
      <c r="V400">
        <v>5</v>
      </c>
      <c r="AF400" s="99" t="s">
        <v>272</v>
      </c>
      <c r="AH400">
        <v>1</v>
      </c>
      <c r="AI400">
        <v>1.0145966444184</v>
      </c>
      <c r="AJ400">
        <v>0.856769478056215</v>
      </c>
      <c r="AK400">
        <v>1.0709615244502</v>
      </c>
      <c r="AL400">
        <v>1.29734461405191</v>
      </c>
      <c r="AM400">
        <v>1.52023209843737</v>
      </c>
      <c r="AN400">
        <v>1.73249613354527</v>
      </c>
      <c r="AO400">
        <v>1.94251088369941</v>
      </c>
      <c r="AP400">
        <v>2.15758237059863</v>
      </c>
      <c r="AQ400">
        <v>2.38360559676455</v>
      </c>
      <c r="AR400">
        <v>2.61479338945824</v>
      </c>
      <c r="AS400">
        <v>2.84483862959129</v>
      </c>
      <c r="AT400">
        <v>3.0697717409676</v>
      </c>
      <c r="AU400">
        <v>3.29172937811721</v>
      </c>
      <c r="AV400">
        <v>3.51801867057916</v>
      </c>
      <c r="AW400">
        <v>3.75378553623732</v>
      </c>
      <c r="AX400">
        <v>3.99739591074752</v>
      </c>
      <c r="AY400">
        <v>4.24337337055627</v>
      </c>
      <c r="AZ400">
        <v>0</v>
      </c>
      <c r="BA400">
        <v>0</v>
      </c>
      <c r="BB400">
        <v>0</v>
      </c>
      <c r="BC400">
        <v>0</v>
      </c>
      <c r="BD400">
        <v>0</v>
      </c>
      <c r="BE400">
        <v>0</v>
      </c>
      <c r="BF400">
        <v>0</v>
      </c>
      <c r="BG400">
        <v>0</v>
      </c>
      <c r="BI400" t="s">
        <v>273</v>
      </c>
      <c r="BK400">
        <v>1</v>
      </c>
      <c r="BL400">
        <v>0.997560975609757</v>
      </c>
      <c r="BM400">
        <v>0.985365853658537</v>
      </c>
      <c r="BN400">
        <v>0.973170731707317</v>
      </c>
      <c r="BO400">
        <v>0.960975609756098</v>
      </c>
      <c r="BP400">
        <v>0.948780487804878</v>
      </c>
      <c r="BQ400">
        <v>0.936585365853658</v>
      </c>
      <c r="BR400">
        <v>0.924390243902439</v>
      </c>
      <c r="BS400">
        <v>0.91219512195122</v>
      </c>
      <c r="BT400">
        <v>0.9</v>
      </c>
      <c r="BU400">
        <v>0.8875</v>
      </c>
      <c r="BV400">
        <v>0.875000000000001</v>
      </c>
      <c r="BW400">
        <v>0.862500000000001</v>
      </c>
      <c r="BX400">
        <v>0.850000000000001</v>
      </c>
      <c r="BY400">
        <v>0.8375</v>
      </c>
      <c r="BZ400">
        <v>0.825000000000001</v>
      </c>
      <c r="CA400">
        <v>0.812500000000001</v>
      </c>
      <c r="CB400">
        <v>0.800000000000001</v>
      </c>
      <c r="CC400" t="e">
        <v>#VALUE!</v>
      </c>
      <c r="CD400" t="e">
        <v>#VALUE!</v>
      </c>
      <c r="CE400" t="e">
        <v>#VALUE!</v>
      </c>
      <c r="CF400" t="e">
        <v>#VALUE!</v>
      </c>
      <c r="CG400" t="e">
        <v>#VALUE!</v>
      </c>
      <c r="CH400" t="e">
        <v>#VALUE!</v>
      </c>
      <c r="CI400" t="e">
        <v>#VALUE!</v>
      </c>
      <c r="CJ400" t="e">
        <v>#VALUE!</v>
      </c>
    </row>
    <row r="401" spans="1:88">
      <c r="A401" t="s">
        <v>37</v>
      </c>
      <c r="B401" t="s">
        <v>275</v>
      </c>
      <c r="C401" t="s">
        <v>275</v>
      </c>
      <c r="D401">
        <v>5.28999584184</v>
      </c>
      <c r="E401">
        <v>5.36702369795162</v>
      </c>
      <c r="F401">
        <v>4.54436563448263</v>
      </c>
      <c r="G401">
        <v>5.64997487402618</v>
      </c>
      <c r="H401">
        <v>6.79767649689424</v>
      </c>
      <c r="I401">
        <v>7.90571937471574</v>
      </c>
      <c r="J401">
        <v>8.93956401306194</v>
      </c>
      <c r="K401">
        <v>9.94129063496476</v>
      </c>
      <c r="L401">
        <v>10.9453280408325</v>
      </c>
      <c r="M401">
        <v>11.9772740513536</v>
      </c>
      <c r="N401">
        <v>13.0082697430625</v>
      </c>
      <c r="O401">
        <v>14.0096602277639</v>
      </c>
      <c r="P401">
        <v>14.9650541197884</v>
      </c>
      <c r="Q401">
        <v>15.8847859704431</v>
      </c>
      <c r="R401">
        <v>16.7993330438516</v>
      </c>
      <c r="S401">
        <v>17.7281510337237</v>
      </c>
      <c r="T401">
        <v>18.662939048434</v>
      </c>
      <c r="U401">
        <v>19.5816696304826</v>
      </c>
      <c r="V401">
        <v>5</v>
      </c>
      <c r="AF401" s="99" t="s">
        <v>272</v>
      </c>
      <c r="AH401">
        <v>1</v>
      </c>
      <c r="AI401">
        <v>1.0145966444184</v>
      </c>
      <c r="AJ401">
        <v>0.856769478056215</v>
      </c>
      <c r="AK401">
        <v>1.0709615244502</v>
      </c>
      <c r="AL401">
        <v>1.29734461405191</v>
      </c>
      <c r="AM401">
        <v>1.52023209843737</v>
      </c>
      <c r="AN401">
        <v>1.73249613354527</v>
      </c>
      <c r="AO401">
        <v>1.94251088369941</v>
      </c>
      <c r="AP401">
        <v>2.15758237059863</v>
      </c>
      <c r="AQ401">
        <v>2.38360559676455</v>
      </c>
      <c r="AR401">
        <v>2.61479338945824</v>
      </c>
      <c r="AS401">
        <v>2.84483862959129</v>
      </c>
      <c r="AT401">
        <v>3.0697717409676</v>
      </c>
      <c r="AU401">
        <v>3.29172937811721</v>
      </c>
      <c r="AV401">
        <v>3.51801867057916</v>
      </c>
      <c r="AW401">
        <v>3.75378553623732</v>
      </c>
      <c r="AX401">
        <v>3.99739591074752</v>
      </c>
      <c r="AY401">
        <v>4.24337337055627</v>
      </c>
      <c r="AZ401">
        <v>0</v>
      </c>
      <c r="BA401">
        <v>0</v>
      </c>
      <c r="BB401">
        <v>0</v>
      </c>
      <c r="BC401">
        <v>0</v>
      </c>
      <c r="BD401">
        <v>0</v>
      </c>
      <c r="BE401">
        <v>0</v>
      </c>
      <c r="BF401">
        <v>0</v>
      </c>
      <c r="BG401">
        <v>0</v>
      </c>
      <c r="BI401" t="s">
        <v>273</v>
      </c>
      <c r="BK401">
        <v>1</v>
      </c>
      <c r="BL401">
        <v>0.997560975609757</v>
      </c>
      <c r="BM401">
        <v>0.985365853658537</v>
      </c>
      <c r="BN401">
        <v>0.973170731707317</v>
      </c>
      <c r="BO401">
        <v>0.960975609756098</v>
      </c>
      <c r="BP401">
        <v>0.948780487804878</v>
      </c>
      <c r="BQ401">
        <v>0.936585365853658</v>
      </c>
      <c r="BR401">
        <v>0.924390243902439</v>
      </c>
      <c r="BS401">
        <v>0.91219512195122</v>
      </c>
      <c r="BT401">
        <v>0.9</v>
      </c>
      <c r="BU401">
        <v>0.8875</v>
      </c>
      <c r="BV401">
        <v>0.875000000000001</v>
      </c>
      <c r="BW401">
        <v>0.862500000000001</v>
      </c>
      <c r="BX401">
        <v>0.850000000000001</v>
      </c>
      <c r="BY401">
        <v>0.8375</v>
      </c>
      <c r="BZ401">
        <v>0.825000000000001</v>
      </c>
      <c r="CA401">
        <v>0.812500000000001</v>
      </c>
      <c r="CB401">
        <v>0.800000000000001</v>
      </c>
      <c r="CC401" t="e">
        <v>#VALUE!</v>
      </c>
      <c r="CD401" t="e">
        <v>#VALUE!</v>
      </c>
      <c r="CE401" t="e">
        <v>#VALUE!</v>
      </c>
      <c r="CF401" t="e">
        <v>#VALUE!</v>
      </c>
      <c r="CG401" t="e">
        <v>#VALUE!</v>
      </c>
      <c r="CH401" t="e">
        <v>#VALUE!</v>
      </c>
      <c r="CI401" t="e">
        <v>#VALUE!</v>
      </c>
      <c r="CJ401" t="e">
        <v>#VALUE!</v>
      </c>
    </row>
    <row r="402" spans="1:88">
      <c r="A402" t="s">
        <v>37</v>
      </c>
      <c r="B402" t="s">
        <v>276</v>
      </c>
      <c r="C402" t="s">
        <v>276</v>
      </c>
      <c r="D402">
        <v>15.59563824456</v>
      </c>
      <c r="E402">
        <v>15.1011499893745</v>
      </c>
      <c r="F402">
        <v>12.6587386142821</v>
      </c>
      <c r="G402">
        <v>12.7899095091222</v>
      </c>
      <c r="H402">
        <v>12.7482738405374</v>
      </c>
      <c r="I402">
        <v>12.5807321535368</v>
      </c>
      <c r="J402">
        <v>12.3357797421537</v>
      </c>
      <c r="K402">
        <v>12.0676049227177</v>
      </c>
      <c r="L402">
        <v>11.7883480480167</v>
      </c>
      <c r="M402">
        <v>11.5151566900674</v>
      </c>
      <c r="N402">
        <v>11.2451571048194</v>
      </c>
      <c r="O402">
        <v>10.9839234458112</v>
      </c>
      <c r="P402">
        <v>10.7364380049084</v>
      </c>
      <c r="Q402">
        <v>10.5050873553966</v>
      </c>
      <c r="R402">
        <v>10.2888986407631</v>
      </c>
      <c r="S402">
        <v>10.0863688345824</v>
      </c>
      <c r="T402">
        <v>9.89069951178917</v>
      </c>
      <c r="U402">
        <v>9.69056012966569</v>
      </c>
      <c r="V402">
        <v>5</v>
      </c>
      <c r="AF402" s="99" t="s">
        <v>277</v>
      </c>
      <c r="AH402">
        <v>1</v>
      </c>
      <c r="AI402">
        <v>0.968215646891066</v>
      </c>
      <c r="AJ402">
        <v>0.809293881346395</v>
      </c>
      <c r="AK402">
        <v>0.817911043529999</v>
      </c>
      <c r="AL402">
        <v>0.815140329025702</v>
      </c>
      <c r="AM402">
        <v>0.803849180088473</v>
      </c>
      <c r="AN402">
        <v>0.787138158187406</v>
      </c>
      <c r="AO402">
        <v>0.768626428349187</v>
      </c>
      <c r="AP402">
        <v>0.749127517330478</v>
      </c>
      <c r="AQ402">
        <v>0.72983773852111</v>
      </c>
      <c r="AR402">
        <v>0.710555777546496</v>
      </c>
      <c r="AS402">
        <v>0.691690911393244</v>
      </c>
      <c r="AT402">
        <v>0.673621453497746</v>
      </c>
      <c r="AU402">
        <v>0.656544614384337</v>
      </c>
      <c r="AV402">
        <v>0.640411701869658</v>
      </c>
      <c r="AW402">
        <v>0.625131630997149</v>
      </c>
      <c r="AX402">
        <v>0.610205886556249</v>
      </c>
      <c r="AY402">
        <v>0.594771408317638</v>
      </c>
      <c r="AZ402">
        <v>0</v>
      </c>
      <c r="BA402">
        <v>0</v>
      </c>
      <c r="BB402">
        <v>0</v>
      </c>
      <c r="BC402">
        <v>0</v>
      </c>
      <c r="BD402">
        <v>0</v>
      </c>
      <c r="BE402">
        <v>0</v>
      </c>
      <c r="BF402">
        <v>0</v>
      </c>
      <c r="BG402">
        <v>0</v>
      </c>
      <c r="BI402" t="s">
        <v>273</v>
      </c>
      <c r="BK402">
        <v>1</v>
      </c>
      <c r="BL402">
        <v>0.997560975609757</v>
      </c>
      <c r="BM402">
        <v>0.985365853658537</v>
      </c>
      <c r="BN402">
        <v>0.973170731707317</v>
      </c>
      <c r="BO402">
        <v>0.960975609756098</v>
      </c>
      <c r="BP402">
        <v>0.948780487804878</v>
      </c>
      <c r="BQ402">
        <v>0.936585365853658</v>
      </c>
      <c r="BR402">
        <v>0.924390243902439</v>
      </c>
      <c r="BS402">
        <v>0.91219512195122</v>
      </c>
      <c r="BT402">
        <v>0.9</v>
      </c>
      <c r="BU402">
        <v>0.8875</v>
      </c>
      <c r="BV402">
        <v>0.875000000000001</v>
      </c>
      <c r="BW402">
        <v>0.862500000000001</v>
      </c>
      <c r="BX402">
        <v>0.850000000000001</v>
      </c>
      <c r="BY402">
        <v>0.8375</v>
      </c>
      <c r="BZ402">
        <v>0.825000000000001</v>
      </c>
      <c r="CA402">
        <v>0.812500000000001</v>
      </c>
      <c r="CB402">
        <v>0.800000000000001</v>
      </c>
      <c r="CC402" t="e">
        <v>#VALUE!</v>
      </c>
      <c r="CD402" t="e">
        <v>#VALUE!</v>
      </c>
      <c r="CE402" t="e">
        <v>#VALUE!</v>
      </c>
      <c r="CF402" t="e">
        <v>#VALUE!</v>
      </c>
      <c r="CG402" t="e">
        <v>#VALUE!</v>
      </c>
      <c r="CH402" t="e">
        <v>#VALUE!</v>
      </c>
      <c r="CI402" t="e">
        <v>#VALUE!</v>
      </c>
      <c r="CJ402" t="e">
        <v>#VALUE!</v>
      </c>
    </row>
    <row r="403" spans="1:88">
      <c r="A403" t="s">
        <v>37</v>
      </c>
      <c r="B403" t="s">
        <v>278</v>
      </c>
      <c r="C403" t="s">
        <v>278</v>
      </c>
      <c r="D403">
        <v>5.6338711236</v>
      </c>
      <c r="E403">
        <v>5.71590616242323</v>
      </c>
      <c r="F403">
        <v>4.83977135117873</v>
      </c>
      <c r="G403">
        <v>6.01725053166958</v>
      </c>
      <c r="H403">
        <v>7.23955830371807</v>
      </c>
      <c r="I403">
        <v>8.41962932073003</v>
      </c>
      <c r="J403">
        <v>9.52067885430423</v>
      </c>
      <c r="K403">
        <v>10.5875225452279</v>
      </c>
      <c r="L403">
        <v>11.6568272322359</v>
      </c>
      <c r="M403">
        <v>12.7558547180055</v>
      </c>
      <c r="N403">
        <v>13.8538701096499</v>
      </c>
      <c r="O403">
        <v>14.9203558128305</v>
      </c>
      <c r="P403">
        <v>15.9378549226348</v>
      </c>
      <c r="Q403">
        <v>16.9173737861234</v>
      </c>
      <c r="R403">
        <v>17.8913708368011</v>
      </c>
      <c r="S403">
        <v>18.8805664824445</v>
      </c>
      <c r="T403">
        <v>19.8761202333776</v>
      </c>
      <c r="U403">
        <v>20.8545727409643</v>
      </c>
      <c r="V403">
        <v>5</v>
      </c>
      <c r="AF403" s="99" t="s">
        <v>272</v>
      </c>
      <c r="AH403">
        <v>1</v>
      </c>
      <c r="AI403">
        <v>1.0145966444184</v>
      </c>
      <c r="AJ403">
        <v>0.856769478056215</v>
      </c>
      <c r="AK403">
        <v>1.0709615244502</v>
      </c>
      <c r="AL403">
        <v>1.29734461405191</v>
      </c>
      <c r="AM403">
        <v>1.52023209843737</v>
      </c>
      <c r="AN403">
        <v>1.73249613354527</v>
      </c>
      <c r="AO403">
        <v>1.94251088369941</v>
      </c>
      <c r="AP403">
        <v>2.15758237059863</v>
      </c>
      <c r="AQ403">
        <v>2.38360559676455</v>
      </c>
      <c r="AR403">
        <v>2.61479338945824</v>
      </c>
      <c r="AS403">
        <v>2.84483862959129</v>
      </c>
      <c r="AT403">
        <v>3.0697717409676</v>
      </c>
      <c r="AU403">
        <v>3.29172937811721</v>
      </c>
      <c r="AV403">
        <v>3.51801867057916</v>
      </c>
      <c r="AW403">
        <v>3.75378553623732</v>
      </c>
      <c r="AX403">
        <v>3.99739591074752</v>
      </c>
      <c r="AY403">
        <v>4.24337337055627</v>
      </c>
      <c r="AZ403">
        <v>0</v>
      </c>
      <c r="BA403">
        <v>0</v>
      </c>
      <c r="BB403">
        <v>0</v>
      </c>
      <c r="BC403">
        <v>0</v>
      </c>
      <c r="BD403">
        <v>0</v>
      </c>
      <c r="BE403">
        <v>0</v>
      </c>
      <c r="BF403">
        <v>0</v>
      </c>
      <c r="BG403">
        <v>0</v>
      </c>
      <c r="BI403" t="s">
        <v>273</v>
      </c>
      <c r="BK403">
        <v>1</v>
      </c>
      <c r="BL403">
        <v>0.997560975609757</v>
      </c>
      <c r="BM403">
        <v>0.985365853658537</v>
      </c>
      <c r="BN403">
        <v>0.973170731707317</v>
      </c>
      <c r="BO403">
        <v>0.960975609756098</v>
      </c>
      <c r="BP403">
        <v>0.948780487804878</v>
      </c>
      <c r="BQ403">
        <v>0.936585365853658</v>
      </c>
      <c r="BR403">
        <v>0.924390243902439</v>
      </c>
      <c r="BS403">
        <v>0.91219512195122</v>
      </c>
      <c r="BT403">
        <v>0.9</v>
      </c>
      <c r="BU403">
        <v>0.8875</v>
      </c>
      <c r="BV403">
        <v>0.875000000000001</v>
      </c>
      <c r="BW403">
        <v>0.862500000000001</v>
      </c>
      <c r="BX403">
        <v>0.850000000000001</v>
      </c>
      <c r="BY403">
        <v>0.8375</v>
      </c>
      <c r="BZ403">
        <v>0.825000000000001</v>
      </c>
      <c r="CA403">
        <v>0.812500000000001</v>
      </c>
      <c r="CB403">
        <v>0.800000000000001</v>
      </c>
      <c r="CC403" t="e">
        <v>#VALUE!</v>
      </c>
      <c r="CD403" t="e">
        <v>#VALUE!</v>
      </c>
      <c r="CE403" t="e">
        <v>#VALUE!</v>
      </c>
      <c r="CF403" t="e">
        <v>#VALUE!</v>
      </c>
      <c r="CG403" t="e">
        <v>#VALUE!</v>
      </c>
      <c r="CH403" t="e">
        <v>#VALUE!</v>
      </c>
      <c r="CI403" t="e">
        <v>#VALUE!</v>
      </c>
      <c r="CJ403" t="e">
        <v>#VALUE!</v>
      </c>
    </row>
    <row r="404" spans="1:88">
      <c r="A404" t="s">
        <v>37</v>
      </c>
      <c r="B404" t="s">
        <v>279</v>
      </c>
      <c r="C404" t="s">
        <v>279</v>
      </c>
      <c r="D404">
        <v>0</v>
      </c>
      <c r="E404">
        <v>0</v>
      </c>
      <c r="F404">
        <v>0</v>
      </c>
      <c r="G404">
        <v>0</v>
      </c>
      <c r="H404">
        <v>0</v>
      </c>
      <c r="I404">
        <v>0</v>
      </c>
      <c r="J404">
        <v>0</v>
      </c>
      <c r="K404">
        <v>0</v>
      </c>
      <c r="L404">
        <v>0</v>
      </c>
      <c r="M404">
        <v>0</v>
      </c>
      <c r="N404">
        <v>0</v>
      </c>
      <c r="O404">
        <v>0</v>
      </c>
      <c r="P404">
        <v>0</v>
      </c>
      <c r="Q404">
        <v>0</v>
      </c>
      <c r="R404">
        <v>0</v>
      </c>
      <c r="S404">
        <v>0</v>
      </c>
      <c r="T404">
        <v>0</v>
      </c>
      <c r="U404">
        <v>0</v>
      </c>
      <c r="V404">
        <v>5</v>
      </c>
      <c r="AF404" s="99" t="s">
        <v>272</v>
      </c>
      <c r="AH404">
        <v>1</v>
      </c>
      <c r="AI404">
        <v>1.0145966444184</v>
      </c>
      <c r="AJ404">
        <v>0.856769478056215</v>
      </c>
      <c r="AK404">
        <v>1.0709615244502</v>
      </c>
      <c r="AL404">
        <v>1.29734461405191</v>
      </c>
      <c r="AM404">
        <v>1.52023209843737</v>
      </c>
      <c r="AN404">
        <v>1.73249613354527</v>
      </c>
      <c r="AO404">
        <v>1.94251088369941</v>
      </c>
      <c r="AP404">
        <v>2.15758237059863</v>
      </c>
      <c r="AQ404">
        <v>2.38360559676455</v>
      </c>
      <c r="AR404">
        <v>2.61479338945824</v>
      </c>
      <c r="AS404">
        <v>2.84483862959129</v>
      </c>
      <c r="AT404">
        <v>3.0697717409676</v>
      </c>
      <c r="AU404">
        <v>3.29172937811721</v>
      </c>
      <c r="AV404">
        <v>3.51801867057916</v>
      </c>
      <c r="AW404">
        <v>3.75378553623732</v>
      </c>
      <c r="AX404">
        <v>3.99739591074752</v>
      </c>
      <c r="AY404">
        <v>4.24337337055627</v>
      </c>
      <c r="AZ404">
        <v>0</v>
      </c>
      <c r="BA404">
        <v>0</v>
      </c>
      <c r="BB404">
        <v>0</v>
      </c>
      <c r="BC404">
        <v>0</v>
      </c>
      <c r="BD404">
        <v>0</v>
      </c>
      <c r="BE404">
        <v>0</v>
      </c>
      <c r="BF404">
        <v>0</v>
      </c>
      <c r="BG404">
        <v>0</v>
      </c>
      <c r="BI404" t="s">
        <v>273</v>
      </c>
      <c r="BK404">
        <v>1</v>
      </c>
      <c r="BL404">
        <v>0.997560975609757</v>
      </c>
      <c r="BM404">
        <v>0.985365853658537</v>
      </c>
      <c r="BN404">
        <v>0.973170731707317</v>
      </c>
      <c r="BO404">
        <v>0.960975609756098</v>
      </c>
      <c r="BP404">
        <v>0.948780487804878</v>
      </c>
      <c r="BQ404">
        <v>0.936585365853658</v>
      </c>
      <c r="BR404">
        <v>0.924390243902439</v>
      </c>
      <c r="BS404">
        <v>0.91219512195122</v>
      </c>
      <c r="BT404">
        <v>0.9</v>
      </c>
      <c r="BU404">
        <v>0.8875</v>
      </c>
      <c r="BV404">
        <v>0.875000000000001</v>
      </c>
      <c r="BW404">
        <v>0.862500000000001</v>
      </c>
      <c r="BX404">
        <v>0.850000000000001</v>
      </c>
      <c r="BY404">
        <v>0.8375</v>
      </c>
      <c r="BZ404">
        <v>0.825000000000001</v>
      </c>
      <c r="CA404">
        <v>0.812500000000001</v>
      </c>
      <c r="CB404">
        <v>0.800000000000001</v>
      </c>
      <c r="CC404" t="e">
        <v>#VALUE!</v>
      </c>
      <c r="CD404" t="e">
        <v>#VALUE!</v>
      </c>
      <c r="CE404" t="e">
        <v>#VALUE!</v>
      </c>
      <c r="CF404" t="e">
        <v>#VALUE!</v>
      </c>
      <c r="CG404" t="e">
        <v>#VALUE!</v>
      </c>
      <c r="CH404" t="e">
        <v>#VALUE!</v>
      </c>
      <c r="CI404" t="e">
        <v>#VALUE!</v>
      </c>
      <c r="CJ404" t="e">
        <v>#VALUE!</v>
      </c>
    </row>
    <row r="405" spans="1:88">
      <c r="A405" t="s">
        <v>37</v>
      </c>
      <c r="B405" t="s">
        <v>280</v>
      </c>
      <c r="C405" t="s">
        <v>280</v>
      </c>
      <c r="D405">
        <v>0.8</v>
      </c>
      <c r="E405">
        <v>0.774634535762821</v>
      </c>
      <c r="F405">
        <v>0.649347640194087</v>
      </c>
      <c r="G405">
        <v>0.656076234062867</v>
      </c>
      <c r="H405">
        <v>0.653940474413564</v>
      </c>
      <c r="I405">
        <v>0.645346190069527</v>
      </c>
      <c r="J405">
        <v>0.632781014727966</v>
      </c>
      <c r="K405">
        <v>0.61902461359936</v>
      </c>
      <c r="L405">
        <v>0.604699743000447</v>
      </c>
      <c r="M405">
        <v>0.590686011537058</v>
      </c>
      <c r="N405">
        <v>0.576836006502876</v>
      </c>
      <c r="O405">
        <v>0.56343566187258</v>
      </c>
      <c r="P405">
        <v>0.550740551251421</v>
      </c>
      <c r="Q405">
        <v>0.53887309724235</v>
      </c>
      <c r="R405">
        <v>0.527783395814634</v>
      </c>
      <c r="S405">
        <v>0.517394347132957</v>
      </c>
      <c r="T405">
        <v>0.507357216508363</v>
      </c>
      <c r="U405">
        <v>0.497090787960327</v>
      </c>
      <c r="V405">
        <v>5</v>
      </c>
      <c r="AF405" s="99" t="s">
        <v>277</v>
      </c>
      <c r="AH405">
        <v>1</v>
      </c>
      <c r="AI405">
        <v>0.968215646891066</v>
      </c>
      <c r="AJ405">
        <v>0.809293881346395</v>
      </c>
      <c r="AK405">
        <v>0.817911043529999</v>
      </c>
      <c r="AL405">
        <v>0.815140329025702</v>
      </c>
      <c r="AM405">
        <v>0.803849180088473</v>
      </c>
      <c r="AN405">
        <v>0.787138158187406</v>
      </c>
      <c r="AO405">
        <v>0.768626428349187</v>
      </c>
      <c r="AP405">
        <v>0.749127517330478</v>
      </c>
      <c r="AQ405">
        <v>0.72983773852111</v>
      </c>
      <c r="AR405">
        <v>0.710555777546496</v>
      </c>
      <c r="AS405">
        <v>0.691690911393244</v>
      </c>
      <c r="AT405">
        <v>0.673621453497746</v>
      </c>
      <c r="AU405">
        <v>0.656544614384337</v>
      </c>
      <c r="AV405">
        <v>0.640411701869658</v>
      </c>
      <c r="AW405">
        <v>0.625131630997149</v>
      </c>
      <c r="AX405">
        <v>0.610205886556249</v>
      </c>
      <c r="AY405">
        <v>0.594771408317638</v>
      </c>
      <c r="AZ405">
        <v>0</v>
      </c>
      <c r="BA405">
        <v>0</v>
      </c>
      <c r="BB405">
        <v>0</v>
      </c>
      <c r="BC405">
        <v>0</v>
      </c>
      <c r="BD405">
        <v>0</v>
      </c>
      <c r="BE405">
        <v>0</v>
      </c>
      <c r="BF405">
        <v>0</v>
      </c>
      <c r="BG405">
        <v>0</v>
      </c>
      <c r="BI405" t="s">
        <v>273</v>
      </c>
      <c r="BK405">
        <v>1</v>
      </c>
      <c r="BL405">
        <v>0.997560975609757</v>
      </c>
      <c r="BM405">
        <v>0.985365853658537</v>
      </c>
      <c r="BN405">
        <v>0.973170731707317</v>
      </c>
      <c r="BO405">
        <v>0.960975609756098</v>
      </c>
      <c r="BP405">
        <v>0.948780487804878</v>
      </c>
      <c r="BQ405">
        <v>0.936585365853658</v>
      </c>
      <c r="BR405">
        <v>0.924390243902439</v>
      </c>
      <c r="BS405">
        <v>0.91219512195122</v>
      </c>
      <c r="BT405">
        <v>0.9</v>
      </c>
      <c r="BU405">
        <v>0.8875</v>
      </c>
      <c r="BV405">
        <v>0.875000000000001</v>
      </c>
      <c r="BW405">
        <v>0.862500000000001</v>
      </c>
      <c r="BX405">
        <v>0.850000000000001</v>
      </c>
      <c r="BY405">
        <v>0.8375</v>
      </c>
      <c r="BZ405">
        <v>0.825000000000001</v>
      </c>
      <c r="CA405">
        <v>0.812500000000001</v>
      </c>
      <c r="CB405">
        <v>0.800000000000001</v>
      </c>
      <c r="CC405" t="e">
        <v>#VALUE!</v>
      </c>
      <c r="CD405" t="e">
        <v>#VALUE!</v>
      </c>
      <c r="CE405" t="e">
        <v>#VALUE!</v>
      </c>
      <c r="CF405" t="e">
        <v>#VALUE!</v>
      </c>
      <c r="CG405" t="e">
        <v>#VALUE!</v>
      </c>
      <c r="CH405" t="e">
        <v>#VALUE!</v>
      </c>
      <c r="CI405" t="e">
        <v>#VALUE!</v>
      </c>
      <c r="CJ405" t="e">
        <v>#VALUE!</v>
      </c>
    </row>
    <row r="406" spans="1:88">
      <c r="A406" t="s">
        <v>37</v>
      </c>
      <c r="B406" t="s">
        <v>281</v>
      </c>
      <c r="C406" t="s">
        <v>281</v>
      </c>
      <c r="D406">
        <v>0.165</v>
      </c>
      <c r="E406">
        <v>0.159768373001082</v>
      </c>
      <c r="F406">
        <v>0.13392795079003</v>
      </c>
      <c r="G406">
        <v>0.135315723275466</v>
      </c>
      <c r="H406">
        <v>0.134875222847798</v>
      </c>
      <c r="I406">
        <v>0.13310265170184</v>
      </c>
      <c r="J406">
        <v>0.130511084287643</v>
      </c>
      <c r="K406">
        <v>0.127673826554868</v>
      </c>
      <c r="L406">
        <v>0.124719321993842</v>
      </c>
      <c r="M406">
        <v>0.121828989879518</v>
      </c>
      <c r="N406">
        <v>0.118972426341218</v>
      </c>
      <c r="O406">
        <v>0.11620860526122</v>
      </c>
      <c r="P406">
        <v>0.113590238695606</v>
      </c>
      <c r="Q406">
        <v>0.111142576306235</v>
      </c>
      <c r="R406">
        <v>0.108855325386768</v>
      </c>
      <c r="S406">
        <v>0.106712584096172</v>
      </c>
      <c r="T406">
        <v>0.10464242590485</v>
      </c>
      <c r="U406">
        <v>0.102524975016818</v>
      </c>
      <c r="V406">
        <v>5</v>
      </c>
      <c r="AF406" s="99" t="s">
        <v>277</v>
      </c>
      <c r="AH406">
        <v>1</v>
      </c>
      <c r="AI406">
        <v>0.968215646891066</v>
      </c>
      <c r="AJ406">
        <v>0.809293881346395</v>
      </c>
      <c r="AK406">
        <v>0.817911043529999</v>
      </c>
      <c r="AL406">
        <v>0.815140329025702</v>
      </c>
      <c r="AM406">
        <v>0.803849180088473</v>
      </c>
      <c r="AN406">
        <v>0.787138158187406</v>
      </c>
      <c r="AO406">
        <v>0.768626428349187</v>
      </c>
      <c r="AP406">
        <v>0.749127517330478</v>
      </c>
      <c r="AQ406">
        <v>0.72983773852111</v>
      </c>
      <c r="AR406">
        <v>0.710555777546496</v>
      </c>
      <c r="AS406">
        <v>0.691690911393244</v>
      </c>
      <c r="AT406">
        <v>0.673621453497746</v>
      </c>
      <c r="AU406">
        <v>0.656544614384337</v>
      </c>
      <c r="AV406">
        <v>0.640411701869658</v>
      </c>
      <c r="AW406">
        <v>0.625131630997149</v>
      </c>
      <c r="AX406">
        <v>0.610205886556249</v>
      </c>
      <c r="AY406">
        <v>0.594771408317638</v>
      </c>
      <c r="AZ406">
        <v>0</v>
      </c>
      <c r="BA406">
        <v>0</v>
      </c>
      <c r="BB406">
        <v>0</v>
      </c>
      <c r="BC406">
        <v>0</v>
      </c>
      <c r="BD406">
        <v>0</v>
      </c>
      <c r="BE406">
        <v>0</v>
      </c>
      <c r="BF406">
        <v>0</v>
      </c>
      <c r="BG406">
        <v>0</v>
      </c>
      <c r="BI406" t="s">
        <v>273</v>
      </c>
      <c r="BK406">
        <v>1</v>
      </c>
      <c r="BL406">
        <v>0.997560975609757</v>
      </c>
      <c r="BM406">
        <v>0.985365853658537</v>
      </c>
      <c r="BN406">
        <v>0.973170731707317</v>
      </c>
      <c r="BO406">
        <v>0.960975609756098</v>
      </c>
      <c r="BP406">
        <v>0.948780487804878</v>
      </c>
      <c r="BQ406">
        <v>0.936585365853658</v>
      </c>
      <c r="BR406">
        <v>0.924390243902439</v>
      </c>
      <c r="BS406">
        <v>0.91219512195122</v>
      </c>
      <c r="BT406">
        <v>0.9</v>
      </c>
      <c r="BU406">
        <v>0.8875</v>
      </c>
      <c r="BV406">
        <v>0.875000000000001</v>
      </c>
      <c r="BW406">
        <v>0.862500000000001</v>
      </c>
      <c r="BX406">
        <v>0.850000000000001</v>
      </c>
      <c r="BY406">
        <v>0.8375</v>
      </c>
      <c r="BZ406">
        <v>0.825000000000001</v>
      </c>
      <c r="CA406">
        <v>0.812500000000001</v>
      </c>
      <c r="CB406">
        <v>0.800000000000001</v>
      </c>
      <c r="CC406" t="e">
        <v>#VALUE!</v>
      </c>
      <c r="CD406" t="e">
        <v>#VALUE!</v>
      </c>
      <c r="CE406" t="e">
        <v>#VALUE!</v>
      </c>
      <c r="CF406" t="e">
        <v>#VALUE!</v>
      </c>
      <c r="CG406" t="e">
        <v>#VALUE!</v>
      </c>
      <c r="CH406" t="e">
        <v>#VALUE!</v>
      </c>
      <c r="CI406" t="e">
        <v>#VALUE!</v>
      </c>
      <c r="CJ406" t="e">
        <v>#VALUE!</v>
      </c>
    </row>
    <row r="407" spans="1:88">
      <c r="A407" t="s">
        <v>37</v>
      </c>
      <c r="B407" t="s">
        <v>282</v>
      </c>
      <c r="C407" t="s">
        <v>282</v>
      </c>
      <c r="D407">
        <v>1.365</v>
      </c>
      <c r="E407">
        <v>1.32172017664531</v>
      </c>
      <c r="F407">
        <v>1.10794941108116</v>
      </c>
      <c r="G407">
        <v>1.11943007436977</v>
      </c>
      <c r="H407">
        <v>1.11578593446814</v>
      </c>
      <c r="I407">
        <v>1.10112193680613</v>
      </c>
      <c r="J407">
        <v>1.07968260637959</v>
      </c>
      <c r="K407">
        <v>1.05621074695391</v>
      </c>
      <c r="L407">
        <v>1.03176893649451</v>
      </c>
      <c r="M407">
        <v>1.00785800718511</v>
      </c>
      <c r="N407">
        <v>0.984226436095533</v>
      </c>
      <c r="O407">
        <v>0.96136209807009</v>
      </c>
      <c r="P407">
        <v>0.939701065572738</v>
      </c>
      <c r="Q407">
        <v>0.91945222216976</v>
      </c>
      <c r="R407">
        <v>0.90053041910872</v>
      </c>
      <c r="S407">
        <v>0.882804104795609</v>
      </c>
      <c r="T407">
        <v>0.865678250667394</v>
      </c>
      <c r="U407">
        <v>0.848161156957309</v>
      </c>
      <c r="V407">
        <v>5</v>
      </c>
      <c r="AF407" s="99" t="s">
        <v>277</v>
      </c>
      <c r="AH407">
        <v>1</v>
      </c>
      <c r="AI407">
        <v>0.968215646891066</v>
      </c>
      <c r="AJ407">
        <v>0.809293881346395</v>
      </c>
      <c r="AK407">
        <v>0.817911043529999</v>
      </c>
      <c r="AL407">
        <v>0.815140329025702</v>
      </c>
      <c r="AM407">
        <v>0.803849180088473</v>
      </c>
      <c r="AN407">
        <v>0.787138158187406</v>
      </c>
      <c r="AO407">
        <v>0.768626428349187</v>
      </c>
      <c r="AP407">
        <v>0.749127517330478</v>
      </c>
      <c r="AQ407">
        <v>0.72983773852111</v>
      </c>
      <c r="AR407">
        <v>0.710555777546496</v>
      </c>
      <c r="AS407">
        <v>0.691690911393244</v>
      </c>
      <c r="AT407">
        <v>0.673621453497746</v>
      </c>
      <c r="AU407">
        <v>0.656544614384337</v>
      </c>
      <c r="AV407">
        <v>0.640411701869658</v>
      </c>
      <c r="AW407">
        <v>0.625131630997149</v>
      </c>
      <c r="AX407">
        <v>0.610205886556249</v>
      </c>
      <c r="AY407">
        <v>0.594771408317638</v>
      </c>
      <c r="AZ407">
        <v>0</v>
      </c>
      <c r="BA407">
        <v>0</v>
      </c>
      <c r="BB407">
        <v>0</v>
      </c>
      <c r="BC407">
        <v>0</v>
      </c>
      <c r="BD407">
        <v>0</v>
      </c>
      <c r="BE407">
        <v>0</v>
      </c>
      <c r="BF407">
        <v>0</v>
      </c>
      <c r="BG407">
        <v>0</v>
      </c>
      <c r="BI407" t="s">
        <v>273</v>
      </c>
      <c r="BK407">
        <v>1</v>
      </c>
      <c r="BL407">
        <v>0.997560975609757</v>
      </c>
      <c r="BM407">
        <v>0.985365853658537</v>
      </c>
      <c r="BN407">
        <v>0.973170731707317</v>
      </c>
      <c r="BO407">
        <v>0.960975609756098</v>
      </c>
      <c r="BP407">
        <v>0.948780487804878</v>
      </c>
      <c r="BQ407">
        <v>0.936585365853658</v>
      </c>
      <c r="BR407">
        <v>0.924390243902439</v>
      </c>
      <c r="BS407">
        <v>0.91219512195122</v>
      </c>
      <c r="BT407">
        <v>0.9</v>
      </c>
      <c r="BU407">
        <v>0.8875</v>
      </c>
      <c r="BV407">
        <v>0.875000000000001</v>
      </c>
      <c r="BW407">
        <v>0.862500000000001</v>
      </c>
      <c r="BX407">
        <v>0.850000000000001</v>
      </c>
      <c r="BY407">
        <v>0.8375</v>
      </c>
      <c r="BZ407">
        <v>0.825000000000001</v>
      </c>
      <c r="CA407">
        <v>0.812500000000001</v>
      </c>
      <c r="CB407">
        <v>0.800000000000001</v>
      </c>
      <c r="CC407" t="e">
        <v>#VALUE!</v>
      </c>
      <c r="CD407" t="e">
        <v>#VALUE!</v>
      </c>
      <c r="CE407" t="e">
        <v>#VALUE!</v>
      </c>
      <c r="CF407" t="e">
        <v>#VALUE!</v>
      </c>
      <c r="CG407" t="e">
        <v>#VALUE!</v>
      </c>
      <c r="CH407" t="e">
        <v>#VALUE!</v>
      </c>
      <c r="CI407" t="e">
        <v>#VALUE!</v>
      </c>
      <c r="CJ407" t="e">
        <v>#VALUE!</v>
      </c>
    </row>
    <row r="408" spans="1:88">
      <c r="A408" t="s">
        <v>37</v>
      </c>
      <c r="B408" t="s">
        <v>283</v>
      </c>
      <c r="C408" t="s">
        <v>283</v>
      </c>
      <c r="D408">
        <v>52.452</v>
      </c>
      <c r="E408">
        <v>54.9585102902393</v>
      </c>
      <c r="F408">
        <v>55.5145418072004</v>
      </c>
      <c r="G408">
        <v>68.3093213185351</v>
      </c>
      <c r="H408">
        <v>82.455554499585</v>
      </c>
      <c r="I408">
        <v>97.1837395995836</v>
      </c>
      <c r="J408">
        <v>112.094818905688</v>
      </c>
      <c r="K408">
        <v>127.453754661499</v>
      </c>
      <c r="L408">
        <v>143.687396724801</v>
      </c>
      <c r="M408">
        <v>161.010488545071</v>
      </c>
      <c r="N408">
        <v>179.123977454507</v>
      </c>
      <c r="O408">
        <v>197.563889857771</v>
      </c>
      <c r="P408">
        <v>215.969072924256</v>
      </c>
      <c r="Q408">
        <v>234.362259457899</v>
      </c>
      <c r="R408">
        <v>253.139832020145</v>
      </c>
      <c r="S408">
        <v>272.582452801751</v>
      </c>
      <c r="T408">
        <v>292.724299316641</v>
      </c>
      <c r="U408">
        <v>313.585361955751</v>
      </c>
      <c r="V408">
        <v>5</v>
      </c>
      <c r="AF408" s="99" t="s">
        <v>284</v>
      </c>
      <c r="AH408">
        <v>1</v>
      </c>
      <c r="AI408">
        <v>1.04790358188929</v>
      </c>
      <c r="AJ408">
        <v>1.05866298733265</v>
      </c>
      <c r="AK408">
        <v>1.30938631153342</v>
      </c>
      <c r="AL408">
        <v>1.59155984295681</v>
      </c>
      <c r="AM408">
        <v>1.89119070603524</v>
      </c>
      <c r="AN408">
        <v>2.20100641231114</v>
      </c>
      <c r="AO408">
        <v>2.52724966518705</v>
      </c>
      <c r="AP408">
        <v>2.88012697529413</v>
      </c>
      <c r="AQ408">
        <v>3.26593908612414</v>
      </c>
      <c r="AR408">
        <v>3.6799269981126</v>
      </c>
      <c r="AS408">
        <v>4.11287553838325</v>
      </c>
      <c r="AT408">
        <v>4.55711694606513</v>
      </c>
      <c r="AU408">
        <v>5.0137177367664</v>
      </c>
      <c r="AV408">
        <v>5.49337037457066</v>
      </c>
      <c r="AW408">
        <v>6.00479219112564</v>
      </c>
      <c r="AX408">
        <v>6.55089699856415</v>
      </c>
      <c r="AY408">
        <v>7.13446092265769</v>
      </c>
      <c r="AZ408">
        <v>0</v>
      </c>
      <c r="BA408">
        <v>0</v>
      </c>
      <c r="BB408">
        <v>0</v>
      </c>
      <c r="BC408">
        <v>0</v>
      </c>
      <c r="BD408">
        <v>0</v>
      </c>
      <c r="BE408">
        <v>0</v>
      </c>
      <c r="BF408">
        <v>0</v>
      </c>
      <c r="BG408">
        <v>0</v>
      </c>
      <c r="BI408" t="s">
        <v>273</v>
      </c>
      <c r="BK408">
        <v>1</v>
      </c>
      <c r="BL408">
        <v>0.997560975609757</v>
      </c>
      <c r="BM408">
        <v>0.985365853658537</v>
      </c>
      <c r="BN408">
        <v>0.973170731707317</v>
      </c>
      <c r="BO408">
        <v>0.960975609756098</v>
      </c>
      <c r="BP408">
        <v>0.948780487804878</v>
      </c>
      <c r="BQ408">
        <v>0.936585365853658</v>
      </c>
      <c r="BR408">
        <v>0.924390243902439</v>
      </c>
      <c r="BS408">
        <v>0.91219512195122</v>
      </c>
      <c r="BT408">
        <v>0.9</v>
      </c>
      <c r="BU408">
        <v>0.8875</v>
      </c>
      <c r="BV408">
        <v>0.875000000000001</v>
      </c>
      <c r="BW408">
        <v>0.862500000000001</v>
      </c>
      <c r="BX408">
        <v>0.850000000000001</v>
      </c>
      <c r="BY408">
        <v>0.8375</v>
      </c>
      <c r="BZ408">
        <v>0.825000000000001</v>
      </c>
      <c r="CA408">
        <v>0.812500000000001</v>
      </c>
      <c r="CB408">
        <v>0.800000000000001</v>
      </c>
      <c r="CC408" t="e">
        <v>#VALUE!</v>
      </c>
      <c r="CD408" t="e">
        <v>#VALUE!</v>
      </c>
      <c r="CE408" t="e">
        <v>#VALUE!</v>
      </c>
      <c r="CF408" t="e">
        <v>#VALUE!</v>
      </c>
      <c r="CG408" t="e">
        <v>#VALUE!</v>
      </c>
      <c r="CH408" t="e">
        <v>#VALUE!</v>
      </c>
      <c r="CI408" t="e">
        <v>#VALUE!</v>
      </c>
      <c r="CJ408" t="e">
        <v>#VALUE!</v>
      </c>
    </row>
    <row r="409" spans="1:88">
      <c r="A409" t="s">
        <v>37</v>
      </c>
      <c r="B409" t="s">
        <v>285</v>
      </c>
      <c r="C409" t="s">
        <v>285</v>
      </c>
      <c r="D409">
        <v>20.6</v>
      </c>
      <c r="E409">
        <v>20.8999574826409</v>
      </c>
      <c r="F409">
        <v>17.6964093865489</v>
      </c>
      <c r="G409">
        <v>22.0018098094489</v>
      </c>
      <c r="H409">
        <v>26.4711239900171</v>
      </c>
      <c r="I409">
        <v>30.786001348254</v>
      </c>
      <c r="J409">
        <v>34.8119401555185</v>
      </c>
      <c r="K409">
        <v>38.7128068155612</v>
      </c>
      <c r="L409">
        <v>42.622671998684</v>
      </c>
      <c r="M409">
        <v>46.6412172777935</v>
      </c>
      <c r="N409">
        <v>50.6560618796027</v>
      </c>
      <c r="O409">
        <v>54.555619573333</v>
      </c>
      <c r="P409">
        <v>58.27605996008</v>
      </c>
      <c r="Q409">
        <v>61.8576272599319</v>
      </c>
      <c r="R409">
        <v>65.4190042960361</v>
      </c>
      <c r="S409">
        <v>69.0359543208415</v>
      </c>
      <c r="T409">
        <v>72.6761524757677</v>
      </c>
      <c r="U409">
        <v>76.2538206925383</v>
      </c>
      <c r="V409">
        <v>5</v>
      </c>
      <c r="AF409" s="99" t="s">
        <v>272</v>
      </c>
      <c r="AH409">
        <v>1</v>
      </c>
      <c r="AI409">
        <v>1.0145966444184</v>
      </c>
      <c r="AJ409">
        <v>0.856769478056215</v>
      </c>
      <c r="AK409">
        <v>1.0709615244502</v>
      </c>
      <c r="AL409">
        <v>1.29734461405191</v>
      </c>
      <c r="AM409">
        <v>1.52023209843737</v>
      </c>
      <c r="AN409">
        <v>1.73249613354527</v>
      </c>
      <c r="AO409">
        <v>1.94251088369941</v>
      </c>
      <c r="AP409">
        <v>2.15758237059863</v>
      </c>
      <c r="AQ409">
        <v>2.38360559676455</v>
      </c>
      <c r="AR409">
        <v>2.61479338945824</v>
      </c>
      <c r="AS409">
        <v>2.84483862959129</v>
      </c>
      <c r="AT409">
        <v>3.0697717409676</v>
      </c>
      <c r="AU409">
        <v>3.29172937811721</v>
      </c>
      <c r="AV409">
        <v>3.51801867057916</v>
      </c>
      <c r="AW409">
        <v>3.75378553623732</v>
      </c>
      <c r="AX409">
        <v>3.99739591074752</v>
      </c>
      <c r="AY409">
        <v>4.24337337055627</v>
      </c>
      <c r="AZ409">
        <v>0</v>
      </c>
      <c r="BA409">
        <v>0</v>
      </c>
      <c r="BB409">
        <v>0</v>
      </c>
      <c r="BC409">
        <v>0</v>
      </c>
      <c r="BD409">
        <v>0</v>
      </c>
      <c r="BE409">
        <v>0</v>
      </c>
      <c r="BF409">
        <v>0</v>
      </c>
      <c r="BG409">
        <v>0</v>
      </c>
      <c r="BI409" t="s">
        <v>273</v>
      </c>
      <c r="BK409">
        <v>1</v>
      </c>
      <c r="BL409">
        <v>0.997560975609757</v>
      </c>
      <c r="BM409">
        <v>0.985365853658537</v>
      </c>
      <c r="BN409">
        <v>0.973170731707317</v>
      </c>
      <c r="BO409">
        <v>0.960975609756098</v>
      </c>
      <c r="BP409">
        <v>0.948780487804878</v>
      </c>
      <c r="BQ409">
        <v>0.936585365853658</v>
      </c>
      <c r="BR409">
        <v>0.924390243902439</v>
      </c>
      <c r="BS409">
        <v>0.91219512195122</v>
      </c>
      <c r="BT409">
        <v>0.9</v>
      </c>
      <c r="BU409">
        <v>0.8875</v>
      </c>
      <c r="BV409">
        <v>0.875000000000001</v>
      </c>
      <c r="BW409">
        <v>0.862500000000001</v>
      </c>
      <c r="BX409">
        <v>0.850000000000001</v>
      </c>
      <c r="BY409">
        <v>0.8375</v>
      </c>
      <c r="BZ409">
        <v>0.825000000000001</v>
      </c>
      <c r="CA409">
        <v>0.812500000000001</v>
      </c>
      <c r="CB409">
        <v>0.800000000000001</v>
      </c>
      <c r="CC409" t="e">
        <v>#VALUE!</v>
      </c>
      <c r="CD409" t="e">
        <v>#VALUE!</v>
      </c>
      <c r="CE409" t="e">
        <v>#VALUE!</v>
      </c>
      <c r="CF409" t="e">
        <v>#VALUE!</v>
      </c>
      <c r="CG409" t="e">
        <v>#VALUE!</v>
      </c>
      <c r="CH409" t="e">
        <v>#VALUE!</v>
      </c>
      <c r="CI409" t="e">
        <v>#VALUE!</v>
      </c>
      <c r="CJ409" t="e">
        <v>#VALUE!</v>
      </c>
    </row>
    <row r="410" spans="1:88">
      <c r="A410" t="s">
        <v>37</v>
      </c>
      <c r="B410" t="s">
        <v>286</v>
      </c>
      <c r="C410" t="s">
        <v>286</v>
      </c>
      <c r="D410">
        <v>27.24</v>
      </c>
      <c r="E410">
        <v>27.6366428071427</v>
      </c>
      <c r="F410">
        <v>23.4004947422132</v>
      </c>
      <c r="G410">
        <v>29.0936553014266</v>
      </c>
      <c r="H410">
        <v>35.0035639557313</v>
      </c>
      <c r="I410">
        <v>40.7092561517689</v>
      </c>
      <c r="J410">
        <v>46.0328762056468</v>
      </c>
      <c r="K410">
        <v>51.191109594946</v>
      </c>
      <c r="L410">
        <v>56.3612420021434</v>
      </c>
      <c r="M410">
        <v>61.6750853712182</v>
      </c>
      <c r="N410">
        <v>66.9840352233194</v>
      </c>
      <c r="O410">
        <v>72.1405377270675</v>
      </c>
      <c r="P410">
        <v>77.0601880248825</v>
      </c>
      <c r="Q410">
        <v>81.7962022602207</v>
      </c>
      <c r="R410">
        <v>86.505518302137</v>
      </c>
      <c r="S410">
        <v>91.2883201795981</v>
      </c>
      <c r="T410">
        <v>96.1018637592191</v>
      </c>
      <c r="U410">
        <v>100.832722119648</v>
      </c>
      <c r="V410">
        <v>5</v>
      </c>
      <c r="AF410" s="99" t="s">
        <v>272</v>
      </c>
      <c r="AH410">
        <v>1</v>
      </c>
      <c r="AI410">
        <v>1.0145966444184</v>
      </c>
      <c r="AJ410">
        <v>0.856769478056215</v>
      </c>
      <c r="AK410">
        <v>1.0709615244502</v>
      </c>
      <c r="AL410">
        <v>1.29734461405191</v>
      </c>
      <c r="AM410">
        <v>1.52023209843737</v>
      </c>
      <c r="AN410">
        <v>1.73249613354527</v>
      </c>
      <c r="AO410">
        <v>1.94251088369941</v>
      </c>
      <c r="AP410">
        <v>2.15758237059863</v>
      </c>
      <c r="AQ410">
        <v>2.38360559676455</v>
      </c>
      <c r="AR410">
        <v>2.61479338945824</v>
      </c>
      <c r="AS410">
        <v>2.84483862959129</v>
      </c>
      <c r="AT410">
        <v>3.0697717409676</v>
      </c>
      <c r="AU410">
        <v>3.29172937811721</v>
      </c>
      <c r="AV410">
        <v>3.51801867057916</v>
      </c>
      <c r="AW410">
        <v>3.75378553623732</v>
      </c>
      <c r="AX410">
        <v>3.99739591074752</v>
      </c>
      <c r="AY410">
        <v>4.24337337055627</v>
      </c>
      <c r="AZ410">
        <v>0</v>
      </c>
      <c r="BA410">
        <v>0</v>
      </c>
      <c r="BB410">
        <v>0</v>
      </c>
      <c r="BC410">
        <v>0</v>
      </c>
      <c r="BD410">
        <v>0</v>
      </c>
      <c r="BE410">
        <v>0</v>
      </c>
      <c r="BF410">
        <v>0</v>
      </c>
      <c r="BG410">
        <v>0</v>
      </c>
      <c r="BI410" t="s">
        <v>273</v>
      </c>
      <c r="BK410">
        <v>1</v>
      </c>
      <c r="BL410">
        <v>0.997560975609757</v>
      </c>
      <c r="BM410">
        <v>0.985365853658537</v>
      </c>
      <c r="BN410">
        <v>0.973170731707317</v>
      </c>
      <c r="BO410">
        <v>0.960975609756098</v>
      </c>
      <c r="BP410">
        <v>0.948780487804878</v>
      </c>
      <c r="BQ410">
        <v>0.936585365853658</v>
      </c>
      <c r="BR410">
        <v>0.924390243902439</v>
      </c>
      <c r="BS410">
        <v>0.91219512195122</v>
      </c>
      <c r="BT410">
        <v>0.9</v>
      </c>
      <c r="BU410">
        <v>0.8875</v>
      </c>
      <c r="BV410">
        <v>0.875000000000001</v>
      </c>
      <c r="BW410">
        <v>0.862500000000001</v>
      </c>
      <c r="BX410">
        <v>0.850000000000001</v>
      </c>
      <c r="BY410">
        <v>0.8375</v>
      </c>
      <c r="BZ410">
        <v>0.825000000000001</v>
      </c>
      <c r="CA410">
        <v>0.812500000000001</v>
      </c>
      <c r="CB410">
        <v>0.800000000000001</v>
      </c>
      <c r="CC410" t="e">
        <v>#VALUE!</v>
      </c>
      <c r="CD410" t="e">
        <v>#VALUE!</v>
      </c>
      <c r="CE410" t="e">
        <v>#VALUE!</v>
      </c>
      <c r="CF410" t="e">
        <v>#VALUE!</v>
      </c>
      <c r="CG410" t="e">
        <v>#VALUE!</v>
      </c>
      <c r="CH410" t="e">
        <v>#VALUE!</v>
      </c>
      <c r="CI410" t="e">
        <v>#VALUE!</v>
      </c>
      <c r="CJ410" t="e">
        <v>#VALUE!</v>
      </c>
    </row>
    <row r="411" spans="1:88">
      <c r="A411" t="s">
        <v>38</v>
      </c>
      <c r="B411" t="s">
        <v>271</v>
      </c>
      <c r="C411" t="s">
        <v>271</v>
      </c>
      <c r="D411">
        <v>0</v>
      </c>
      <c r="E411">
        <v>0</v>
      </c>
      <c r="F411">
        <v>0</v>
      </c>
      <c r="G411">
        <v>0</v>
      </c>
      <c r="H411">
        <v>0</v>
      </c>
      <c r="I411">
        <v>0</v>
      </c>
      <c r="J411">
        <v>0</v>
      </c>
      <c r="K411">
        <v>0</v>
      </c>
      <c r="L411">
        <v>0</v>
      </c>
      <c r="M411">
        <v>0</v>
      </c>
      <c r="N411">
        <v>0</v>
      </c>
      <c r="O411">
        <v>0</v>
      </c>
      <c r="P411">
        <v>0</v>
      </c>
      <c r="Q411">
        <v>0</v>
      </c>
      <c r="R411">
        <v>0</v>
      </c>
      <c r="S411">
        <v>0</v>
      </c>
      <c r="T411">
        <v>0</v>
      </c>
      <c r="U411">
        <v>0</v>
      </c>
      <c r="V411">
        <v>5</v>
      </c>
      <c r="AF411" s="99" t="s">
        <v>272</v>
      </c>
      <c r="AH411">
        <v>1</v>
      </c>
      <c r="AI411">
        <v>1.01913375531275</v>
      </c>
      <c r="AJ411">
        <v>1.23315161622153</v>
      </c>
      <c r="AK411">
        <v>1.47097780985759</v>
      </c>
      <c r="AL411">
        <v>1.69213690943865</v>
      </c>
      <c r="AM411">
        <v>1.88654360124696</v>
      </c>
      <c r="AN411">
        <v>2.06337727586039</v>
      </c>
      <c r="AO411">
        <v>2.2279477078463</v>
      </c>
      <c r="AP411">
        <v>2.38672772854871</v>
      </c>
      <c r="AQ411">
        <v>2.54404271809451</v>
      </c>
      <c r="AR411">
        <v>2.70927350008765</v>
      </c>
      <c r="AS411">
        <v>2.88070561673748</v>
      </c>
      <c r="AT411">
        <v>3.05154394385827</v>
      </c>
      <c r="AU411">
        <v>3.21916039351676</v>
      </c>
      <c r="AV411">
        <v>3.38321725886575</v>
      </c>
      <c r="AW411">
        <v>3.54684848747269</v>
      </c>
      <c r="AX411">
        <v>3.71205229495624</v>
      </c>
      <c r="AY411">
        <v>3.87968450893851</v>
      </c>
      <c r="AZ411">
        <v>0</v>
      </c>
      <c r="BA411">
        <v>0</v>
      </c>
      <c r="BB411">
        <v>0</v>
      </c>
      <c r="BC411">
        <v>0</v>
      </c>
      <c r="BD411">
        <v>0</v>
      </c>
      <c r="BE411">
        <v>0</v>
      </c>
      <c r="BF411">
        <v>0</v>
      </c>
      <c r="BG411">
        <v>0</v>
      </c>
      <c r="BI411" t="s">
        <v>273</v>
      </c>
      <c r="BK411">
        <v>1</v>
      </c>
      <c r="BL411">
        <v>0.997560975609757</v>
      </c>
      <c r="BM411">
        <v>0.985365853658537</v>
      </c>
      <c r="BN411">
        <v>0.973170731707317</v>
      </c>
      <c r="BO411">
        <v>0.960975609756098</v>
      </c>
      <c r="BP411">
        <v>0.948780487804878</v>
      </c>
      <c r="BQ411">
        <v>0.936585365853658</v>
      </c>
      <c r="BR411">
        <v>0.924390243902439</v>
      </c>
      <c r="BS411">
        <v>0.91219512195122</v>
      </c>
      <c r="BT411">
        <v>0.9</v>
      </c>
      <c r="BU411">
        <v>0.8875</v>
      </c>
      <c r="BV411">
        <v>0.875000000000001</v>
      </c>
      <c r="BW411">
        <v>0.862500000000001</v>
      </c>
      <c r="BX411">
        <v>0.850000000000001</v>
      </c>
      <c r="BY411">
        <v>0.8375</v>
      </c>
      <c r="BZ411">
        <v>0.825000000000001</v>
      </c>
      <c r="CA411">
        <v>0.812500000000001</v>
      </c>
      <c r="CB411">
        <v>0.800000000000001</v>
      </c>
      <c r="CC411" t="e">
        <v>#VALUE!</v>
      </c>
      <c r="CD411" t="e">
        <v>#VALUE!</v>
      </c>
      <c r="CE411" t="e">
        <v>#VALUE!</v>
      </c>
      <c r="CF411" t="e">
        <v>#VALUE!</v>
      </c>
      <c r="CG411" t="e">
        <v>#VALUE!</v>
      </c>
      <c r="CH411" t="e">
        <v>#VALUE!</v>
      </c>
      <c r="CI411" t="e">
        <v>#VALUE!</v>
      </c>
      <c r="CJ411" t="e">
        <v>#VALUE!</v>
      </c>
    </row>
    <row r="412" spans="1:88">
      <c r="A412" t="s">
        <v>38</v>
      </c>
      <c r="B412" t="s">
        <v>274</v>
      </c>
      <c r="C412" t="s">
        <v>274</v>
      </c>
      <c r="D412">
        <v>9.5715565236</v>
      </c>
      <c r="E412">
        <v>9.75424966159573</v>
      </c>
      <c r="F412">
        <v>11.7726634684452</v>
      </c>
      <c r="G412">
        <v>13.9822294614476</v>
      </c>
      <c r="H412">
        <v>16.0023974355634</v>
      </c>
      <c r="I412">
        <v>17.746718833538</v>
      </c>
      <c r="J412">
        <v>19.3047048704663</v>
      </c>
      <c r="K412">
        <v>20.7279892584571</v>
      </c>
      <c r="L412">
        <v>22.075511000971</v>
      </c>
      <c r="M412">
        <v>23.3850562275658</v>
      </c>
      <c r="N412">
        <v>24.7330048493431</v>
      </c>
      <c r="O412">
        <v>26.1023857740667</v>
      </c>
      <c r="P412">
        <v>27.437522487872</v>
      </c>
      <c r="Q412">
        <v>28.7185569945792</v>
      </c>
      <c r="R412">
        <v>29.9442994349586</v>
      </c>
      <c r="S412">
        <v>31.139124732423</v>
      </c>
      <c r="T412">
        <v>32.3175639477877</v>
      </c>
      <c r="U412">
        <v>33.4851045672865</v>
      </c>
      <c r="V412">
        <v>5</v>
      </c>
      <c r="AF412" s="99" t="s">
        <v>272</v>
      </c>
      <c r="AH412">
        <v>1</v>
      </c>
      <c r="AI412">
        <v>1.01913375531275</v>
      </c>
      <c r="AJ412">
        <v>1.23315161622153</v>
      </c>
      <c r="AK412">
        <v>1.47097780985759</v>
      </c>
      <c r="AL412">
        <v>1.69213690943865</v>
      </c>
      <c r="AM412">
        <v>1.88654360124696</v>
      </c>
      <c r="AN412">
        <v>2.06337727586039</v>
      </c>
      <c r="AO412">
        <v>2.2279477078463</v>
      </c>
      <c r="AP412">
        <v>2.38672772854871</v>
      </c>
      <c r="AQ412">
        <v>2.54404271809451</v>
      </c>
      <c r="AR412">
        <v>2.70927350008765</v>
      </c>
      <c r="AS412">
        <v>2.88070561673748</v>
      </c>
      <c r="AT412">
        <v>3.05154394385827</v>
      </c>
      <c r="AU412">
        <v>3.21916039351676</v>
      </c>
      <c r="AV412">
        <v>3.38321725886575</v>
      </c>
      <c r="AW412">
        <v>3.54684848747269</v>
      </c>
      <c r="AX412">
        <v>3.71205229495624</v>
      </c>
      <c r="AY412">
        <v>3.87968450893851</v>
      </c>
      <c r="AZ412">
        <v>0</v>
      </c>
      <c r="BA412">
        <v>0</v>
      </c>
      <c r="BB412">
        <v>0</v>
      </c>
      <c r="BC412">
        <v>0</v>
      </c>
      <c r="BD412">
        <v>0</v>
      </c>
      <c r="BE412">
        <v>0</v>
      </c>
      <c r="BF412">
        <v>0</v>
      </c>
      <c r="BG412">
        <v>0</v>
      </c>
      <c r="BI412" t="s">
        <v>273</v>
      </c>
      <c r="BK412">
        <v>1</v>
      </c>
      <c r="BL412">
        <v>0.997560975609757</v>
      </c>
      <c r="BM412">
        <v>0.985365853658537</v>
      </c>
      <c r="BN412">
        <v>0.973170731707317</v>
      </c>
      <c r="BO412">
        <v>0.960975609756098</v>
      </c>
      <c r="BP412">
        <v>0.948780487804878</v>
      </c>
      <c r="BQ412">
        <v>0.936585365853658</v>
      </c>
      <c r="BR412">
        <v>0.924390243902439</v>
      </c>
      <c r="BS412">
        <v>0.91219512195122</v>
      </c>
      <c r="BT412">
        <v>0.9</v>
      </c>
      <c r="BU412">
        <v>0.8875</v>
      </c>
      <c r="BV412">
        <v>0.875000000000001</v>
      </c>
      <c r="BW412">
        <v>0.862500000000001</v>
      </c>
      <c r="BX412">
        <v>0.850000000000001</v>
      </c>
      <c r="BY412">
        <v>0.8375</v>
      </c>
      <c r="BZ412">
        <v>0.825000000000001</v>
      </c>
      <c r="CA412">
        <v>0.812500000000001</v>
      </c>
      <c r="CB412">
        <v>0.800000000000001</v>
      </c>
      <c r="CC412" t="e">
        <v>#VALUE!</v>
      </c>
      <c r="CD412" t="e">
        <v>#VALUE!</v>
      </c>
      <c r="CE412" t="e">
        <v>#VALUE!</v>
      </c>
      <c r="CF412" t="e">
        <v>#VALUE!</v>
      </c>
      <c r="CG412" t="e">
        <v>#VALUE!</v>
      </c>
      <c r="CH412" t="e">
        <v>#VALUE!</v>
      </c>
      <c r="CI412" t="e">
        <v>#VALUE!</v>
      </c>
      <c r="CJ412" t="e">
        <v>#VALUE!</v>
      </c>
    </row>
    <row r="413" spans="1:88">
      <c r="A413" t="s">
        <v>38</v>
      </c>
      <c r="B413" t="s">
        <v>275</v>
      </c>
      <c r="C413" t="s">
        <v>275</v>
      </c>
      <c r="D413">
        <v>0.87357288924</v>
      </c>
      <c r="E413">
        <v>0.890246851516642</v>
      </c>
      <c r="F413">
        <v>1.07446261376847</v>
      </c>
      <c r="G413">
        <v>1.27612437522955</v>
      </c>
      <c r="H413">
        <v>1.46050023609891</v>
      </c>
      <c r="I413">
        <v>1.61970024496212</v>
      </c>
      <c r="J413">
        <v>1.76189387463137</v>
      </c>
      <c r="K413">
        <v>1.89179360953464</v>
      </c>
      <c r="L413">
        <v>2.01477867043034</v>
      </c>
      <c r="M413">
        <v>2.13429770627015</v>
      </c>
      <c r="N413">
        <v>2.25732172740711</v>
      </c>
      <c r="O413">
        <v>2.38230182316598</v>
      </c>
      <c r="P413">
        <v>2.50415653234871</v>
      </c>
      <c r="Q413">
        <v>2.6210734635167</v>
      </c>
      <c r="R413">
        <v>2.73294402108654</v>
      </c>
      <c r="S413">
        <v>2.84199284555615</v>
      </c>
      <c r="T413">
        <v>2.94954615181534</v>
      </c>
      <c r="U413">
        <v>3.05610476950368</v>
      </c>
      <c r="V413">
        <v>5</v>
      </c>
      <c r="AF413" s="99" t="s">
        <v>272</v>
      </c>
      <c r="AH413">
        <v>1</v>
      </c>
      <c r="AI413">
        <v>1.01913375531275</v>
      </c>
      <c r="AJ413">
        <v>1.23315161622153</v>
      </c>
      <c r="AK413">
        <v>1.47097780985759</v>
      </c>
      <c r="AL413">
        <v>1.69213690943865</v>
      </c>
      <c r="AM413">
        <v>1.88654360124696</v>
      </c>
      <c r="AN413">
        <v>2.06337727586039</v>
      </c>
      <c r="AO413">
        <v>2.2279477078463</v>
      </c>
      <c r="AP413">
        <v>2.38672772854871</v>
      </c>
      <c r="AQ413">
        <v>2.54404271809451</v>
      </c>
      <c r="AR413">
        <v>2.70927350008765</v>
      </c>
      <c r="AS413">
        <v>2.88070561673748</v>
      </c>
      <c r="AT413">
        <v>3.05154394385827</v>
      </c>
      <c r="AU413">
        <v>3.21916039351676</v>
      </c>
      <c r="AV413">
        <v>3.38321725886575</v>
      </c>
      <c r="AW413">
        <v>3.54684848747269</v>
      </c>
      <c r="AX413">
        <v>3.71205229495624</v>
      </c>
      <c r="AY413">
        <v>3.87968450893851</v>
      </c>
      <c r="AZ413">
        <v>0</v>
      </c>
      <c r="BA413">
        <v>0</v>
      </c>
      <c r="BB413">
        <v>0</v>
      </c>
      <c r="BC413">
        <v>0</v>
      </c>
      <c r="BD413">
        <v>0</v>
      </c>
      <c r="BE413">
        <v>0</v>
      </c>
      <c r="BF413">
        <v>0</v>
      </c>
      <c r="BG413">
        <v>0</v>
      </c>
      <c r="BI413" t="s">
        <v>273</v>
      </c>
      <c r="BK413">
        <v>1</v>
      </c>
      <c r="BL413">
        <v>0.997560975609757</v>
      </c>
      <c r="BM413">
        <v>0.985365853658537</v>
      </c>
      <c r="BN413">
        <v>0.973170731707317</v>
      </c>
      <c r="BO413">
        <v>0.960975609756098</v>
      </c>
      <c r="BP413">
        <v>0.948780487804878</v>
      </c>
      <c r="BQ413">
        <v>0.936585365853658</v>
      </c>
      <c r="BR413">
        <v>0.924390243902439</v>
      </c>
      <c r="BS413">
        <v>0.91219512195122</v>
      </c>
      <c r="BT413">
        <v>0.9</v>
      </c>
      <c r="BU413">
        <v>0.8875</v>
      </c>
      <c r="BV413">
        <v>0.875000000000001</v>
      </c>
      <c r="BW413">
        <v>0.862500000000001</v>
      </c>
      <c r="BX413">
        <v>0.850000000000001</v>
      </c>
      <c r="BY413">
        <v>0.8375</v>
      </c>
      <c r="BZ413">
        <v>0.825000000000001</v>
      </c>
      <c r="CA413">
        <v>0.812500000000001</v>
      </c>
      <c r="CB413">
        <v>0.800000000000001</v>
      </c>
      <c r="CC413" t="e">
        <v>#VALUE!</v>
      </c>
      <c r="CD413" t="e">
        <v>#VALUE!</v>
      </c>
      <c r="CE413" t="e">
        <v>#VALUE!</v>
      </c>
      <c r="CF413" t="e">
        <v>#VALUE!</v>
      </c>
      <c r="CG413" t="e">
        <v>#VALUE!</v>
      </c>
      <c r="CH413" t="e">
        <v>#VALUE!</v>
      </c>
      <c r="CI413" t="e">
        <v>#VALUE!</v>
      </c>
      <c r="CJ413" t="e">
        <v>#VALUE!</v>
      </c>
    </row>
    <row r="414" spans="1:88">
      <c r="A414" t="s">
        <v>38</v>
      </c>
      <c r="B414" t="s">
        <v>276</v>
      </c>
      <c r="C414" t="s">
        <v>276</v>
      </c>
      <c r="D414">
        <v>1.59649257276</v>
      </c>
      <c r="E414">
        <v>1.58810450436334</v>
      </c>
      <c r="F414">
        <v>1.54667634549547</v>
      </c>
      <c r="G414">
        <v>1.52165645869071</v>
      </c>
      <c r="H414">
        <v>1.49267611008859</v>
      </c>
      <c r="I414">
        <v>1.46069677747366</v>
      </c>
      <c r="J414">
        <v>1.42827595363465</v>
      </c>
      <c r="K414">
        <v>1.39716477220475</v>
      </c>
      <c r="L414">
        <v>1.36781920611171</v>
      </c>
      <c r="M414">
        <v>1.33980886019158</v>
      </c>
      <c r="N414">
        <v>1.31259251087832</v>
      </c>
      <c r="O414">
        <v>1.28576118360194</v>
      </c>
      <c r="P414">
        <v>1.25926478047513</v>
      </c>
      <c r="Q414">
        <v>1.23335897379699</v>
      </c>
      <c r="R414">
        <v>1.2083509811459</v>
      </c>
      <c r="S414">
        <v>1.18437158960927</v>
      </c>
      <c r="T414">
        <v>1.16137600023418</v>
      </c>
      <c r="U414">
        <v>1.13898479048603</v>
      </c>
      <c r="V414">
        <v>5</v>
      </c>
      <c r="AF414" s="99" t="s">
        <v>277</v>
      </c>
      <c r="AH414">
        <v>1</v>
      </c>
      <c r="AI414">
        <v>0.994733093492064</v>
      </c>
      <c r="AJ414">
        <v>0.968398560952385</v>
      </c>
      <c r="AK414">
        <v>0.952301336734361</v>
      </c>
      <c r="AL414">
        <v>0.933427985580202</v>
      </c>
      <c r="AM414">
        <v>0.912350495822038</v>
      </c>
      <c r="AN414">
        <v>0.890729369207688</v>
      </c>
      <c r="AO414">
        <v>0.869740221786158</v>
      </c>
      <c r="AP414">
        <v>0.84971410824421</v>
      </c>
      <c r="AQ414">
        <v>0.830380180356351</v>
      </c>
      <c r="AR414">
        <v>0.811373965346304</v>
      </c>
      <c r="AS414">
        <v>0.79241890157327</v>
      </c>
      <c r="AT414">
        <v>0.773485775158997</v>
      </c>
      <c r="AU414">
        <v>0.754765446514725</v>
      </c>
      <c r="AV414">
        <v>0.736492165667915</v>
      </c>
      <c r="AW414">
        <v>0.71877642791454</v>
      </c>
      <c r="AX414">
        <v>0.701600230606378</v>
      </c>
      <c r="AY414">
        <v>0.684691755315336</v>
      </c>
      <c r="AZ414">
        <v>0</v>
      </c>
      <c r="BA414">
        <v>0</v>
      </c>
      <c r="BB414">
        <v>0</v>
      </c>
      <c r="BC414">
        <v>0</v>
      </c>
      <c r="BD414">
        <v>0</v>
      </c>
      <c r="BE414">
        <v>0</v>
      </c>
      <c r="BF414">
        <v>0</v>
      </c>
      <c r="BG414">
        <v>0</v>
      </c>
      <c r="BI414" t="s">
        <v>273</v>
      </c>
      <c r="BK414">
        <v>1</v>
      </c>
      <c r="BL414">
        <v>0.997560975609757</v>
      </c>
      <c r="BM414">
        <v>0.985365853658537</v>
      </c>
      <c r="BN414">
        <v>0.973170731707317</v>
      </c>
      <c r="BO414">
        <v>0.960975609756098</v>
      </c>
      <c r="BP414">
        <v>0.948780487804878</v>
      </c>
      <c r="BQ414">
        <v>0.936585365853658</v>
      </c>
      <c r="BR414">
        <v>0.924390243902439</v>
      </c>
      <c r="BS414">
        <v>0.91219512195122</v>
      </c>
      <c r="BT414">
        <v>0.9</v>
      </c>
      <c r="BU414">
        <v>0.8875</v>
      </c>
      <c r="BV414">
        <v>0.875000000000001</v>
      </c>
      <c r="BW414">
        <v>0.862500000000001</v>
      </c>
      <c r="BX414">
        <v>0.850000000000001</v>
      </c>
      <c r="BY414">
        <v>0.8375</v>
      </c>
      <c r="BZ414">
        <v>0.825000000000001</v>
      </c>
      <c r="CA414">
        <v>0.812500000000001</v>
      </c>
      <c r="CB414">
        <v>0.800000000000001</v>
      </c>
      <c r="CC414" t="e">
        <v>#VALUE!</v>
      </c>
      <c r="CD414" t="e">
        <v>#VALUE!</v>
      </c>
      <c r="CE414" t="e">
        <v>#VALUE!</v>
      </c>
      <c r="CF414" t="e">
        <v>#VALUE!</v>
      </c>
      <c r="CG414" t="e">
        <v>#VALUE!</v>
      </c>
      <c r="CH414" t="e">
        <v>#VALUE!</v>
      </c>
      <c r="CI414" t="e">
        <v>#VALUE!</v>
      </c>
      <c r="CJ414" t="e">
        <v>#VALUE!</v>
      </c>
    </row>
    <row r="415" spans="1:88">
      <c r="A415" t="s">
        <v>38</v>
      </c>
      <c r="B415" t="s">
        <v>278</v>
      </c>
      <c r="C415" t="s">
        <v>278</v>
      </c>
      <c r="D415">
        <v>1.8217478556</v>
      </c>
      <c r="E415">
        <v>1.85651971653567</v>
      </c>
      <c r="F415">
        <v>2.24068304621724</v>
      </c>
      <c r="G415">
        <v>2.6612282417279</v>
      </c>
      <c r="H415">
        <v>3.04572544087448</v>
      </c>
      <c r="I415">
        <v>3.37772094843924</v>
      </c>
      <c r="J415">
        <v>3.6742513732276</v>
      </c>
      <c r="K415">
        <v>3.94514412461429</v>
      </c>
      <c r="L415">
        <v>4.20161702311793</v>
      </c>
      <c r="M415">
        <v>4.45086187712658</v>
      </c>
      <c r="N415">
        <v>4.70741602327062</v>
      </c>
      <c r="O415">
        <v>4.96804936508539</v>
      </c>
      <c r="P415">
        <v>5.22216502948235</v>
      </c>
      <c r="Q415">
        <v>5.46598345752896</v>
      </c>
      <c r="R415">
        <v>5.69927818412576</v>
      </c>
      <c r="S415">
        <v>5.92668847189928</v>
      </c>
      <c r="T415">
        <v>6.15098000779027</v>
      </c>
      <c r="U415">
        <v>6.37319722132847</v>
      </c>
      <c r="V415">
        <v>5</v>
      </c>
      <c r="AF415" s="99" t="s">
        <v>272</v>
      </c>
      <c r="AH415">
        <v>1</v>
      </c>
      <c r="AI415">
        <v>1.01913375531275</v>
      </c>
      <c r="AJ415">
        <v>1.23315161622153</v>
      </c>
      <c r="AK415">
        <v>1.47097780985759</v>
      </c>
      <c r="AL415">
        <v>1.69213690943865</v>
      </c>
      <c r="AM415">
        <v>1.88654360124696</v>
      </c>
      <c r="AN415">
        <v>2.06337727586039</v>
      </c>
      <c r="AO415">
        <v>2.2279477078463</v>
      </c>
      <c r="AP415">
        <v>2.38672772854871</v>
      </c>
      <c r="AQ415">
        <v>2.54404271809451</v>
      </c>
      <c r="AR415">
        <v>2.70927350008765</v>
      </c>
      <c r="AS415">
        <v>2.88070561673748</v>
      </c>
      <c r="AT415">
        <v>3.05154394385827</v>
      </c>
      <c r="AU415">
        <v>3.21916039351676</v>
      </c>
      <c r="AV415">
        <v>3.38321725886575</v>
      </c>
      <c r="AW415">
        <v>3.54684848747269</v>
      </c>
      <c r="AX415">
        <v>3.71205229495624</v>
      </c>
      <c r="AY415">
        <v>3.87968450893851</v>
      </c>
      <c r="AZ415">
        <v>0</v>
      </c>
      <c r="BA415">
        <v>0</v>
      </c>
      <c r="BB415">
        <v>0</v>
      </c>
      <c r="BC415">
        <v>0</v>
      </c>
      <c r="BD415">
        <v>0</v>
      </c>
      <c r="BE415">
        <v>0</v>
      </c>
      <c r="BF415">
        <v>0</v>
      </c>
      <c r="BG415">
        <v>0</v>
      </c>
      <c r="BI415" t="s">
        <v>273</v>
      </c>
      <c r="BK415">
        <v>1</v>
      </c>
      <c r="BL415">
        <v>0.997560975609757</v>
      </c>
      <c r="BM415">
        <v>0.985365853658537</v>
      </c>
      <c r="BN415">
        <v>0.973170731707317</v>
      </c>
      <c r="BO415">
        <v>0.960975609756098</v>
      </c>
      <c r="BP415">
        <v>0.948780487804878</v>
      </c>
      <c r="BQ415">
        <v>0.936585365853658</v>
      </c>
      <c r="BR415">
        <v>0.924390243902439</v>
      </c>
      <c r="BS415">
        <v>0.91219512195122</v>
      </c>
      <c r="BT415">
        <v>0.9</v>
      </c>
      <c r="BU415">
        <v>0.8875</v>
      </c>
      <c r="BV415">
        <v>0.875000000000001</v>
      </c>
      <c r="BW415">
        <v>0.862500000000001</v>
      </c>
      <c r="BX415">
        <v>0.850000000000001</v>
      </c>
      <c r="BY415">
        <v>0.8375</v>
      </c>
      <c r="BZ415">
        <v>0.825000000000001</v>
      </c>
      <c r="CA415">
        <v>0.812500000000001</v>
      </c>
      <c r="CB415">
        <v>0.800000000000001</v>
      </c>
      <c r="CC415" t="e">
        <v>#VALUE!</v>
      </c>
      <c r="CD415" t="e">
        <v>#VALUE!</v>
      </c>
      <c r="CE415" t="e">
        <v>#VALUE!</v>
      </c>
      <c r="CF415" t="e">
        <v>#VALUE!</v>
      </c>
      <c r="CG415" t="e">
        <v>#VALUE!</v>
      </c>
      <c r="CH415" t="e">
        <v>#VALUE!</v>
      </c>
      <c r="CI415" t="e">
        <v>#VALUE!</v>
      </c>
      <c r="CJ415" t="e">
        <v>#VALUE!</v>
      </c>
    </row>
    <row r="416" spans="1:88">
      <c r="A416" t="s">
        <v>38</v>
      </c>
      <c r="B416" t="s">
        <v>279</v>
      </c>
      <c r="C416" t="s">
        <v>279</v>
      </c>
      <c r="D416">
        <v>2.0118118284</v>
      </c>
      <c r="E416">
        <v>2.05021145703732</v>
      </c>
      <c r="F416">
        <v>2.47445476179277</v>
      </c>
      <c r="G416">
        <v>2.93887567279008</v>
      </c>
      <c r="H416">
        <v>3.36348767979858</v>
      </c>
      <c r="I416">
        <v>3.73012046437483</v>
      </c>
      <c r="J416">
        <v>4.05758807425063</v>
      </c>
      <c r="K416">
        <v>4.3567432179179</v>
      </c>
      <c r="L416">
        <v>4.63997407738485</v>
      </c>
      <c r="M416">
        <v>4.91522278643152</v>
      </c>
      <c r="N416">
        <v>5.19854337015064</v>
      </c>
      <c r="O416">
        <v>5.48636873430658</v>
      </c>
      <c r="P416">
        <v>5.76699642811394</v>
      </c>
      <c r="Q416">
        <v>6.03625256914258</v>
      </c>
      <c r="R416">
        <v>6.29388706506255</v>
      </c>
      <c r="S416">
        <v>6.54502319536525</v>
      </c>
      <c r="T416">
        <v>6.79271519265698</v>
      </c>
      <c r="U416">
        <v>7.03811645238455</v>
      </c>
      <c r="V416">
        <v>5</v>
      </c>
      <c r="AF416" s="99" t="s">
        <v>272</v>
      </c>
      <c r="AH416">
        <v>1</v>
      </c>
      <c r="AI416">
        <v>1.01913375531275</v>
      </c>
      <c r="AJ416">
        <v>1.23315161622153</v>
      </c>
      <c r="AK416">
        <v>1.47097780985759</v>
      </c>
      <c r="AL416">
        <v>1.69213690943865</v>
      </c>
      <c r="AM416">
        <v>1.88654360124696</v>
      </c>
      <c r="AN416">
        <v>2.06337727586039</v>
      </c>
      <c r="AO416">
        <v>2.2279477078463</v>
      </c>
      <c r="AP416">
        <v>2.38672772854871</v>
      </c>
      <c r="AQ416">
        <v>2.54404271809451</v>
      </c>
      <c r="AR416">
        <v>2.70927350008765</v>
      </c>
      <c r="AS416">
        <v>2.88070561673748</v>
      </c>
      <c r="AT416">
        <v>3.05154394385827</v>
      </c>
      <c r="AU416">
        <v>3.21916039351676</v>
      </c>
      <c r="AV416">
        <v>3.38321725886575</v>
      </c>
      <c r="AW416">
        <v>3.54684848747269</v>
      </c>
      <c r="AX416">
        <v>3.71205229495624</v>
      </c>
      <c r="AY416">
        <v>3.87968450893851</v>
      </c>
      <c r="AZ416">
        <v>0</v>
      </c>
      <c r="BA416">
        <v>0</v>
      </c>
      <c r="BB416">
        <v>0</v>
      </c>
      <c r="BC416">
        <v>0</v>
      </c>
      <c r="BD416">
        <v>0</v>
      </c>
      <c r="BE416">
        <v>0</v>
      </c>
      <c r="BF416">
        <v>0</v>
      </c>
      <c r="BG416">
        <v>0</v>
      </c>
      <c r="BI416" t="s">
        <v>273</v>
      </c>
      <c r="BK416">
        <v>1</v>
      </c>
      <c r="BL416">
        <v>0.997560975609757</v>
      </c>
      <c r="BM416">
        <v>0.985365853658537</v>
      </c>
      <c r="BN416">
        <v>0.973170731707317</v>
      </c>
      <c r="BO416">
        <v>0.960975609756098</v>
      </c>
      <c r="BP416">
        <v>0.948780487804878</v>
      </c>
      <c r="BQ416">
        <v>0.936585365853658</v>
      </c>
      <c r="BR416">
        <v>0.924390243902439</v>
      </c>
      <c r="BS416">
        <v>0.91219512195122</v>
      </c>
      <c r="BT416">
        <v>0.9</v>
      </c>
      <c r="BU416">
        <v>0.8875</v>
      </c>
      <c r="BV416">
        <v>0.875000000000001</v>
      </c>
      <c r="BW416">
        <v>0.862500000000001</v>
      </c>
      <c r="BX416">
        <v>0.850000000000001</v>
      </c>
      <c r="BY416">
        <v>0.8375</v>
      </c>
      <c r="BZ416">
        <v>0.825000000000001</v>
      </c>
      <c r="CA416">
        <v>0.812500000000001</v>
      </c>
      <c r="CB416">
        <v>0.800000000000001</v>
      </c>
      <c r="CC416" t="e">
        <v>#VALUE!</v>
      </c>
      <c r="CD416" t="e">
        <v>#VALUE!</v>
      </c>
      <c r="CE416" t="e">
        <v>#VALUE!</v>
      </c>
      <c r="CF416" t="e">
        <v>#VALUE!</v>
      </c>
      <c r="CG416" t="e">
        <v>#VALUE!</v>
      </c>
      <c r="CH416" t="e">
        <v>#VALUE!</v>
      </c>
      <c r="CI416" t="e">
        <v>#VALUE!</v>
      </c>
      <c r="CJ416" t="e">
        <v>#VALUE!</v>
      </c>
    </row>
    <row r="417" spans="1:88">
      <c r="A417" t="s">
        <v>38</v>
      </c>
      <c r="B417" t="s">
        <v>280</v>
      </c>
      <c r="C417" t="s">
        <v>280</v>
      </c>
      <c r="D417">
        <v>0.524</v>
      </c>
      <c r="E417">
        <v>0.521246872353281</v>
      </c>
      <c r="F417">
        <v>0.507649342607659</v>
      </c>
      <c r="G417">
        <v>0.49943732777628</v>
      </c>
      <c r="H417">
        <v>0.489925412139078</v>
      </c>
      <c r="I417">
        <v>0.479429171457386</v>
      </c>
      <c r="J417">
        <v>0.468788024745208</v>
      </c>
      <c r="K417">
        <v>0.458576728214662</v>
      </c>
      <c r="L417">
        <v>0.448944941073824</v>
      </c>
      <c r="M417">
        <v>0.43975139923556</v>
      </c>
      <c r="N417">
        <v>0.430818462569595</v>
      </c>
      <c r="O417">
        <v>0.422011897645514</v>
      </c>
      <c r="P417">
        <v>0.413315261359604</v>
      </c>
      <c r="Q417">
        <v>0.404812470347008</v>
      </c>
      <c r="R417">
        <v>0.396604359408839</v>
      </c>
      <c r="S417">
        <v>0.388733855418037</v>
      </c>
      <c r="T417">
        <v>0.381186254484502</v>
      </c>
      <c r="U417">
        <v>0.373837022732208</v>
      </c>
      <c r="V417">
        <v>5</v>
      </c>
      <c r="AF417" s="99" t="s">
        <v>277</v>
      </c>
      <c r="AH417">
        <v>1</v>
      </c>
      <c r="AI417">
        <v>0.994733093492064</v>
      </c>
      <c r="AJ417">
        <v>0.968398560952385</v>
      </c>
      <c r="AK417">
        <v>0.952301336734361</v>
      </c>
      <c r="AL417">
        <v>0.933427985580202</v>
      </c>
      <c r="AM417">
        <v>0.912350495822038</v>
      </c>
      <c r="AN417">
        <v>0.890729369207688</v>
      </c>
      <c r="AO417">
        <v>0.869740221786158</v>
      </c>
      <c r="AP417">
        <v>0.84971410824421</v>
      </c>
      <c r="AQ417">
        <v>0.830380180356351</v>
      </c>
      <c r="AR417">
        <v>0.811373965346304</v>
      </c>
      <c r="AS417">
        <v>0.79241890157327</v>
      </c>
      <c r="AT417">
        <v>0.773485775158997</v>
      </c>
      <c r="AU417">
        <v>0.754765446514725</v>
      </c>
      <c r="AV417">
        <v>0.736492165667915</v>
      </c>
      <c r="AW417">
        <v>0.71877642791454</v>
      </c>
      <c r="AX417">
        <v>0.701600230606378</v>
      </c>
      <c r="AY417">
        <v>0.684691755315336</v>
      </c>
      <c r="AZ417">
        <v>0</v>
      </c>
      <c r="BA417">
        <v>0</v>
      </c>
      <c r="BB417">
        <v>0</v>
      </c>
      <c r="BC417">
        <v>0</v>
      </c>
      <c r="BD417">
        <v>0</v>
      </c>
      <c r="BE417">
        <v>0</v>
      </c>
      <c r="BF417">
        <v>0</v>
      </c>
      <c r="BG417">
        <v>0</v>
      </c>
      <c r="BI417" t="s">
        <v>273</v>
      </c>
      <c r="BK417">
        <v>1</v>
      </c>
      <c r="BL417">
        <v>0.997560975609757</v>
      </c>
      <c r="BM417">
        <v>0.985365853658537</v>
      </c>
      <c r="BN417">
        <v>0.973170731707317</v>
      </c>
      <c r="BO417">
        <v>0.960975609756098</v>
      </c>
      <c r="BP417">
        <v>0.948780487804878</v>
      </c>
      <c r="BQ417">
        <v>0.936585365853658</v>
      </c>
      <c r="BR417">
        <v>0.924390243902439</v>
      </c>
      <c r="BS417">
        <v>0.91219512195122</v>
      </c>
      <c r="BT417">
        <v>0.9</v>
      </c>
      <c r="BU417">
        <v>0.8875</v>
      </c>
      <c r="BV417">
        <v>0.875000000000001</v>
      </c>
      <c r="BW417">
        <v>0.862500000000001</v>
      </c>
      <c r="BX417">
        <v>0.850000000000001</v>
      </c>
      <c r="BY417">
        <v>0.8375</v>
      </c>
      <c r="BZ417">
        <v>0.825000000000001</v>
      </c>
      <c r="CA417">
        <v>0.812500000000001</v>
      </c>
      <c r="CB417">
        <v>0.800000000000001</v>
      </c>
      <c r="CC417" t="e">
        <v>#VALUE!</v>
      </c>
      <c r="CD417" t="e">
        <v>#VALUE!</v>
      </c>
      <c r="CE417" t="e">
        <v>#VALUE!</v>
      </c>
      <c r="CF417" t="e">
        <v>#VALUE!</v>
      </c>
      <c r="CG417" t="e">
        <v>#VALUE!</v>
      </c>
      <c r="CH417" t="e">
        <v>#VALUE!</v>
      </c>
      <c r="CI417" t="e">
        <v>#VALUE!</v>
      </c>
      <c r="CJ417" t="e">
        <v>#VALUE!</v>
      </c>
    </row>
    <row r="418" spans="1:88">
      <c r="A418" t="s">
        <v>38</v>
      </c>
      <c r="B418" t="s">
        <v>281</v>
      </c>
      <c r="C418" t="s">
        <v>281</v>
      </c>
      <c r="D418">
        <v>0.105</v>
      </c>
      <c r="E418">
        <v>0.104448323658577</v>
      </c>
      <c r="F418">
        <v>0.101723627812603</v>
      </c>
      <c r="G418">
        <v>0.100078090489522</v>
      </c>
      <c r="H418">
        <v>0.0981720768599298</v>
      </c>
      <c r="I418">
        <v>0.096068822524858</v>
      </c>
      <c r="J418">
        <v>0.0939365316760436</v>
      </c>
      <c r="K418">
        <v>0.0918903749285106</v>
      </c>
      <c r="L418">
        <v>0.0899603412457089</v>
      </c>
      <c r="M418">
        <v>0.0881181238926216</v>
      </c>
      <c r="N418">
        <v>0.0863281270416173</v>
      </c>
      <c r="O418">
        <v>0.0845634527724789</v>
      </c>
      <c r="P418">
        <v>0.0828208061884703</v>
      </c>
      <c r="Q418">
        <v>0.0811170026458698</v>
      </c>
      <c r="R418">
        <v>0.0794722475914659</v>
      </c>
      <c r="S418">
        <v>0.0778951427841486</v>
      </c>
      <c r="T418">
        <v>0.0763827418337265</v>
      </c>
      <c r="U418">
        <v>0.0749100904329806</v>
      </c>
      <c r="V418">
        <v>5</v>
      </c>
      <c r="AF418" s="99" t="s">
        <v>277</v>
      </c>
      <c r="AH418">
        <v>1</v>
      </c>
      <c r="AI418">
        <v>0.994733093492064</v>
      </c>
      <c r="AJ418">
        <v>0.968398560952385</v>
      </c>
      <c r="AK418">
        <v>0.952301336734361</v>
      </c>
      <c r="AL418">
        <v>0.933427985580202</v>
      </c>
      <c r="AM418">
        <v>0.912350495822038</v>
      </c>
      <c r="AN418">
        <v>0.890729369207688</v>
      </c>
      <c r="AO418">
        <v>0.869740221786158</v>
      </c>
      <c r="AP418">
        <v>0.84971410824421</v>
      </c>
      <c r="AQ418">
        <v>0.830380180356351</v>
      </c>
      <c r="AR418">
        <v>0.811373965346304</v>
      </c>
      <c r="AS418">
        <v>0.79241890157327</v>
      </c>
      <c r="AT418">
        <v>0.773485775158997</v>
      </c>
      <c r="AU418">
        <v>0.754765446514725</v>
      </c>
      <c r="AV418">
        <v>0.736492165667915</v>
      </c>
      <c r="AW418">
        <v>0.71877642791454</v>
      </c>
      <c r="AX418">
        <v>0.701600230606378</v>
      </c>
      <c r="AY418">
        <v>0.684691755315336</v>
      </c>
      <c r="AZ418">
        <v>0</v>
      </c>
      <c r="BA418">
        <v>0</v>
      </c>
      <c r="BB418">
        <v>0</v>
      </c>
      <c r="BC418">
        <v>0</v>
      </c>
      <c r="BD418">
        <v>0</v>
      </c>
      <c r="BE418">
        <v>0</v>
      </c>
      <c r="BF418">
        <v>0</v>
      </c>
      <c r="BG418">
        <v>0</v>
      </c>
      <c r="BI418" t="s">
        <v>273</v>
      </c>
      <c r="BK418">
        <v>1</v>
      </c>
      <c r="BL418">
        <v>0.997560975609757</v>
      </c>
      <c r="BM418">
        <v>0.985365853658537</v>
      </c>
      <c r="BN418">
        <v>0.973170731707317</v>
      </c>
      <c r="BO418">
        <v>0.960975609756098</v>
      </c>
      <c r="BP418">
        <v>0.948780487804878</v>
      </c>
      <c r="BQ418">
        <v>0.936585365853658</v>
      </c>
      <c r="BR418">
        <v>0.924390243902439</v>
      </c>
      <c r="BS418">
        <v>0.91219512195122</v>
      </c>
      <c r="BT418">
        <v>0.9</v>
      </c>
      <c r="BU418">
        <v>0.8875</v>
      </c>
      <c r="BV418">
        <v>0.875000000000001</v>
      </c>
      <c r="BW418">
        <v>0.862500000000001</v>
      </c>
      <c r="BX418">
        <v>0.850000000000001</v>
      </c>
      <c r="BY418">
        <v>0.8375</v>
      </c>
      <c r="BZ418">
        <v>0.825000000000001</v>
      </c>
      <c r="CA418">
        <v>0.812500000000001</v>
      </c>
      <c r="CB418">
        <v>0.800000000000001</v>
      </c>
      <c r="CC418" t="e">
        <v>#VALUE!</v>
      </c>
      <c r="CD418" t="e">
        <v>#VALUE!</v>
      </c>
      <c r="CE418" t="e">
        <v>#VALUE!</v>
      </c>
      <c r="CF418" t="e">
        <v>#VALUE!</v>
      </c>
      <c r="CG418" t="e">
        <v>#VALUE!</v>
      </c>
      <c r="CH418" t="e">
        <v>#VALUE!</v>
      </c>
      <c r="CI418" t="e">
        <v>#VALUE!</v>
      </c>
      <c r="CJ418" t="e">
        <v>#VALUE!</v>
      </c>
    </row>
    <row r="419" spans="1:88">
      <c r="A419" t="s">
        <v>38</v>
      </c>
      <c r="B419" t="s">
        <v>282</v>
      </c>
      <c r="C419" t="s">
        <v>282</v>
      </c>
      <c r="D419">
        <v>1.18</v>
      </c>
      <c r="E419">
        <v>1.17380020873449</v>
      </c>
      <c r="F419">
        <v>1.14317981732259</v>
      </c>
      <c r="G419">
        <v>1.12468711216796</v>
      </c>
      <c r="H419">
        <v>1.1032671494735</v>
      </c>
      <c r="I419">
        <v>1.07963057694602</v>
      </c>
      <c r="J419">
        <v>1.05566768931173</v>
      </c>
      <c r="K419">
        <v>1.03267278491088</v>
      </c>
      <c r="L419">
        <v>1.01098288257082</v>
      </c>
      <c r="M419">
        <v>0.990279868507557</v>
      </c>
      <c r="N419">
        <v>0.97016371342008</v>
      </c>
      <c r="O419">
        <v>0.950332135919287</v>
      </c>
      <c r="P419">
        <v>0.930748107641856</v>
      </c>
      <c r="Q419">
        <v>0.911600601163108</v>
      </c>
      <c r="R419">
        <v>0.893116687218379</v>
      </c>
      <c r="S419">
        <v>0.875393033193289</v>
      </c>
      <c r="T419">
        <v>0.858396527274259</v>
      </c>
      <c r="U419">
        <v>0.841846730580163</v>
      </c>
      <c r="V419">
        <v>5</v>
      </c>
      <c r="AF419" s="99" t="s">
        <v>277</v>
      </c>
      <c r="AH419">
        <v>1</v>
      </c>
      <c r="AI419">
        <v>0.994733093492064</v>
      </c>
      <c r="AJ419">
        <v>0.968398560952385</v>
      </c>
      <c r="AK419">
        <v>0.952301336734361</v>
      </c>
      <c r="AL419">
        <v>0.933427985580202</v>
      </c>
      <c r="AM419">
        <v>0.912350495822038</v>
      </c>
      <c r="AN419">
        <v>0.890729369207688</v>
      </c>
      <c r="AO419">
        <v>0.869740221786158</v>
      </c>
      <c r="AP419">
        <v>0.84971410824421</v>
      </c>
      <c r="AQ419">
        <v>0.830380180356351</v>
      </c>
      <c r="AR419">
        <v>0.811373965346304</v>
      </c>
      <c r="AS419">
        <v>0.79241890157327</v>
      </c>
      <c r="AT419">
        <v>0.773485775158997</v>
      </c>
      <c r="AU419">
        <v>0.754765446514725</v>
      </c>
      <c r="AV419">
        <v>0.736492165667915</v>
      </c>
      <c r="AW419">
        <v>0.71877642791454</v>
      </c>
      <c r="AX419">
        <v>0.701600230606378</v>
      </c>
      <c r="AY419">
        <v>0.684691755315336</v>
      </c>
      <c r="AZ419">
        <v>0</v>
      </c>
      <c r="BA419">
        <v>0</v>
      </c>
      <c r="BB419">
        <v>0</v>
      </c>
      <c r="BC419">
        <v>0</v>
      </c>
      <c r="BD419">
        <v>0</v>
      </c>
      <c r="BE419">
        <v>0</v>
      </c>
      <c r="BF419">
        <v>0</v>
      </c>
      <c r="BG419">
        <v>0</v>
      </c>
      <c r="BI419" t="s">
        <v>273</v>
      </c>
      <c r="BK419">
        <v>1</v>
      </c>
      <c r="BL419">
        <v>0.997560975609757</v>
      </c>
      <c r="BM419">
        <v>0.985365853658537</v>
      </c>
      <c r="BN419">
        <v>0.973170731707317</v>
      </c>
      <c r="BO419">
        <v>0.960975609756098</v>
      </c>
      <c r="BP419">
        <v>0.948780487804878</v>
      </c>
      <c r="BQ419">
        <v>0.936585365853658</v>
      </c>
      <c r="BR419">
        <v>0.924390243902439</v>
      </c>
      <c r="BS419">
        <v>0.91219512195122</v>
      </c>
      <c r="BT419">
        <v>0.9</v>
      </c>
      <c r="BU419">
        <v>0.8875</v>
      </c>
      <c r="BV419">
        <v>0.875000000000001</v>
      </c>
      <c r="BW419">
        <v>0.862500000000001</v>
      </c>
      <c r="BX419">
        <v>0.850000000000001</v>
      </c>
      <c r="BY419">
        <v>0.8375</v>
      </c>
      <c r="BZ419">
        <v>0.825000000000001</v>
      </c>
      <c r="CA419">
        <v>0.812500000000001</v>
      </c>
      <c r="CB419">
        <v>0.800000000000001</v>
      </c>
      <c r="CC419" t="e">
        <v>#VALUE!</v>
      </c>
      <c r="CD419" t="e">
        <v>#VALUE!</v>
      </c>
      <c r="CE419" t="e">
        <v>#VALUE!</v>
      </c>
      <c r="CF419" t="e">
        <v>#VALUE!</v>
      </c>
      <c r="CG419" t="e">
        <v>#VALUE!</v>
      </c>
      <c r="CH419" t="e">
        <v>#VALUE!</v>
      </c>
      <c r="CI419" t="e">
        <v>#VALUE!</v>
      </c>
      <c r="CJ419" t="e">
        <v>#VALUE!</v>
      </c>
    </row>
    <row r="420" spans="1:88">
      <c r="A420" t="s">
        <v>38</v>
      </c>
      <c r="B420" t="s">
        <v>283</v>
      </c>
      <c r="C420" t="s">
        <v>283</v>
      </c>
      <c r="D420">
        <v>39.264</v>
      </c>
      <c r="E420">
        <v>40.2247912331169</v>
      </c>
      <c r="F420">
        <v>49.8525825358696</v>
      </c>
      <c r="G420">
        <v>60.1874567216683</v>
      </c>
      <c r="H420">
        <v>70.2286970965134</v>
      </c>
      <c r="I420">
        <v>79.6000926158636</v>
      </c>
      <c r="J420">
        <v>88.5674629876359</v>
      </c>
      <c r="K420">
        <v>97.2306510264698</v>
      </c>
      <c r="L420">
        <v>105.790894958278</v>
      </c>
      <c r="M420">
        <v>114.429489978263</v>
      </c>
      <c r="N420">
        <v>123.558804591252</v>
      </c>
      <c r="O420">
        <v>133.149609821288</v>
      </c>
      <c r="P420">
        <v>142.937971167694</v>
      </c>
      <c r="Q420">
        <v>152.79062639228</v>
      </c>
      <c r="R420">
        <v>162.648613762469</v>
      </c>
      <c r="S420">
        <v>172.605781450367</v>
      </c>
      <c r="T420">
        <v>182.731181231561</v>
      </c>
      <c r="U420">
        <v>193.10579846479</v>
      </c>
      <c r="V420">
        <v>5</v>
      </c>
      <c r="AF420" s="99" t="s">
        <v>284</v>
      </c>
      <c r="AH420">
        <v>1</v>
      </c>
      <c r="AI420">
        <v>1.02452985829096</v>
      </c>
      <c r="AJ420">
        <v>1.27339265664415</v>
      </c>
      <c r="AK420">
        <v>1.54465582806161</v>
      </c>
      <c r="AL420">
        <v>1.81281998780747</v>
      </c>
      <c r="AM420">
        <v>2.06778382856818</v>
      </c>
      <c r="AN420">
        <v>2.31650302234424</v>
      </c>
      <c r="AO420">
        <v>2.56162432418135</v>
      </c>
      <c r="AP420">
        <v>2.80885971574661</v>
      </c>
      <c r="AQ420">
        <v>3.06370838114509</v>
      </c>
      <c r="AR420">
        <v>3.33911810804935</v>
      </c>
      <c r="AS420">
        <v>3.63533178097863</v>
      </c>
      <c r="AT420">
        <v>3.94518430960285</v>
      </c>
      <c r="AU420">
        <v>4.26511363017723</v>
      </c>
      <c r="AV420">
        <v>4.59369076356374</v>
      </c>
      <c r="AW420">
        <v>4.93456428136288</v>
      </c>
      <c r="AX420">
        <v>5.29083676575762</v>
      </c>
      <c r="AY420">
        <v>5.66632280704435</v>
      </c>
      <c r="AZ420">
        <v>0</v>
      </c>
      <c r="BA420">
        <v>0</v>
      </c>
      <c r="BB420">
        <v>0</v>
      </c>
      <c r="BC420">
        <v>0</v>
      </c>
      <c r="BD420">
        <v>0</v>
      </c>
      <c r="BE420">
        <v>0</v>
      </c>
      <c r="BF420">
        <v>0</v>
      </c>
      <c r="BG420">
        <v>0</v>
      </c>
      <c r="BI420" t="s">
        <v>273</v>
      </c>
      <c r="BK420">
        <v>1</v>
      </c>
      <c r="BL420">
        <v>0.997560975609757</v>
      </c>
      <c r="BM420">
        <v>0.985365853658537</v>
      </c>
      <c r="BN420">
        <v>0.973170731707317</v>
      </c>
      <c r="BO420">
        <v>0.960975609756098</v>
      </c>
      <c r="BP420">
        <v>0.948780487804878</v>
      </c>
      <c r="BQ420">
        <v>0.936585365853658</v>
      </c>
      <c r="BR420">
        <v>0.924390243902439</v>
      </c>
      <c r="BS420">
        <v>0.91219512195122</v>
      </c>
      <c r="BT420">
        <v>0.9</v>
      </c>
      <c r="BU420">
        <v>0.8875</v>
      </c>
      <c r="BV420">
        <v>0.875000000000001</v>
      </c>
      <c r="BW420">
        <v>0.862500000000001</v>
      </c>
      <c r="BX420">
        <v>0.850000000000001</v>
      </c>
      <c r="BY420">
        <v>0.8375</v>
      </c>
      <c r="BZ420">
        <v>0.825000000000001</v>
      </c>
      <c r="CA420">
        <v>0.812500000000001</v>
      </c>
      <c r="CB420">
        <v>0.800000000000001</v>
      </c>
      <c r="CC420" t="e">
        <v>#VALUE!</v>
      </c>
      <c r="CD420" t="e">
        <v>#VALUE!</v>
      </c>
      <c r="CE420" t="e">
        <v>#VALUE!</v>
      </c>
      <c r="CF420" t="e">
        <v>#VALUE!</v>
      </c>
      <c r="CG420" t="e">
        <v>#VALUE!</v>
      </c>
      <c r="CH420" t="e">
        <v>#VALUE!</v>
      </c>
      <c r="CI420" t="e">
        <v>#VALUE!</v>
      </c>
      <c r="CJ420" t="e">
        <v>#VALUE!</v>
      </c>
    </row>
    <row r="421" spans="1:88">
      <c r="A421" t="s">
        <v>38</v>
      </c>
      <c r="B421" t="s">
        <v>285</v>
      </c>
      <c r="C421" t="s">
        <v>285</v>
      </c>
      <c r="D421">
        <v>16.31</v>
      </c>
      <c r="E421">
        <v>16.6213103990311</v>
      </c>
      <c r="F421">
        <v>20.0607017988045</v>
      </c>
      <c r="G421">
        <v>23.8258178754856</v>
      </c>
      <c r="H421">
        <v>27.2681983886852</v>
      </c>
      <c r="I421">
        <v>30.2405343855336</v>
      </c>
      <c r="J421">
        <v>32.8953536095175</v>
      </c>
      <c r="K421">
        <v>35.3206402711898</v>
      </c>
      <c r="L421">
        <v>37.6168268492257</v>
      </c>
      <c r="M421">
        <v>39.8483011755903</v>
      </c>
      <c r="N421">
        <v>42.1452151589095</v>
      </c>
      <c r="O421">
        <v>44.4786499380045</v>
      </c>
      <c r="P421">
        <v>46.7537323395421</v>
      </c>
      <c r="Q421">
        <v>48.936624197609</v>
      </c>
      <c r="R421">
        <v>51.0252979836641</v>
      </c>
      <c r="S421">
        <v>53.0612887395663</v>
      </c>
      <c r="T421">
        <v>55.069357495699</v>
      </c>
      <c r="U421">
        <v>57.0588549674083</v>
      </c>
      <c r="V421">
        <v>5</v>
      </c>
      <c r="AF421" s="99" t="s">
        <v>272</v>
      </c>
      <c r="AH421">
        <v>1</v>
      </c>
      <c r="AI421">
        <v>1.01913375531275</v>
      </c>
      <c r="AJ421">
        <v>1.23315161622153</v>
      </c>
      <c r="AK421">
        <v>1.47097780985759</v>
      </c>
      <c r="AL421">
        <v>1.69213690943865</v>
      </c>
      <c r="AM421">
        <v>1.88654360124696</v>
      </c>
      <c r="AN421">
        <v>2.06337727586039</v>
      </c>
      <c r="AO421">
        <v>2.2279477078463</v>
      </c>
      <c r="AP421">
        <v>2.38672772854871</v>
      </c>
      <c r="AQ421">
        <v>2.54404271809451</v>
      </c>
      <c r="AR421">
        <v>2.70927350008765</v>
      </c>
      <c r="AS421">
        <v>2.88070561673748</v>
      </c>
      <c r="AT421">
        <v>3.05154394385827</v>
      </c>
      <c r="AU421">
        <v>3.21916039351676</v>
      </c>
      <c r="AV421">
        <v>3.38321725886575</v>
      </c>
      <c r="AW421">
        <v>3.54684848747269</v>
      </c>
      <c r="AX421">
        <v>3.71205229495624</v>
      </c>
      <c r="AY421">
        <v>3.87968450893851</v>
      </c>
      <c r="AZ421">
        <v>0</v>
      </c>
      <c r="BA421">
        <v>0</v>
      </c>
      <c r="BB421">
        <v>0</v>
      </c>
      <c r="BC421">
        <v>0</v>
      </c>
      <c r="BD421">
        <v>0</v>
      </c>
      <c r="BE421">
        <v>0</v>
      </c>
      <c r="BF421">
        <v>0</v>
      </c>
      <c r="BG421">
        <v>0</v>
      </c>
      <c r="BI421" t="s">
        <v>273</v>
      </c>
      <c r="BK421">
        <v>1</v>
      </c>
      <c r="BL421">
        <v>0.997560975609757</v>
      </c>
      <c r="BM421">
        <v>0.985365853658537</v>
      </c>
      <c r="BN421">
        <v>0.973170731707317</v>
      </c>
      <c r="BO421">
        <v>0.960975609756098</v>
      </c>
      <c r="BP421">
        <v>0.948780487804878</v>
      </c>
      <c r="BQ421">
        <v>0.936585365853658</v>
      </c>
      <c r="BR421">
        <v>0.924390243902439</v>
      </c>
      <c r="BS421">
        <v>0.91219512195122</v>
      </c>
      <c r="BT421">
        <v>0.9</v>
      </c>
      <c r="BU421">
        <v>0.8875</v>
      </c>
      <c r="BV421">
        <v>0.875000000000001</v>
      </c>
      <c r="BW421">
        <v>0.862500000000001</v>
      </c>
      <c r="BX421">
        <v>0.850000000000001</v>
      </c>
      <c r="BY421">
        <v>0.8375</v>
      </c>
      <c r="BZ421">
        <v>0.825000000000001</v>
      </c>
      <c r="CA421">
        <v>0.812500000000001</v>
      </c>
      <c r="CB421">
        <v>0.800000000000001</v>
      </c>
      <c r="CC421" t="e">
        <v>#VALUE!</v>
      </c>
      <c r="CD421" t="e">
        <v>#VALUE!</v>
      </c>
      <c r="CE421" t="e">
        <v>#VALUE!</v>
      </c>
      <c r="CF421" t="e">
        <v>#VALUE!</v>
      </c>
      <c r="CG421" t="e">
        <v>#VALUE!</v>
      </c>
      <c r="CH421" t="e">
        <v>#VALUE!</v>
      </c>
      <c r="CI421" t="e">
        <v>#VALUE!</v>
      </c>
      <c r="CJ421" t="e">
        <v>#VALUE!</v>
      </c>
    </row>
    <row r="422" spans="1:88">
      <c r="A422" t="s">
        <v>38</v>
      </c>
      <c r="B422" t="s">
        <v>286</v>
      </c>
      <c r="C422" t="s">
        <v>286</v>
      </c>
      <c r="D422">
        <v>11.49</v>
      </c>
      <c r="E422">
        <v>11.7093106367178</v>
      </c>
      <c r="F422">
        <v>14.1322785817452</v>
      </c>
      <c r="G422">
        <v>16.7847116731655</v>
      </c>
      <c r="H422">
        <v>19.2097853762105</v>
      </c>
      <c r="I422">
        <v>21.3037241011515</v>
      </c>
      <c r="J422">
        <v>23.1739799493167</v>
      </c>
      <c r="K422">
        <v>24.8825356662153</v>
      </c>
      <c r="L422">
        <v>26.5001435007727</v>
      </c>
      <c r="M422">
        <v>28.0721631212466</v>
      </c>
      <c r="N422">
        <v>29.6902833952097</v>
      </c>
      <c r="O422">
        <v>31.3341316853263</v>
      </c>
      <c r="P422">
        <v>32.9368721386474</v>
      </c>
      <c r="Q422">
        <v>34.474666586789</v>
      </c>
      <c r="R422">
        <v>35.946086684997</v>
      </c>
      <c r="S422">
        <v>37.3803928643542</v>
      </c>
      <c r="T422">
        <v>38.7950286710963</v>
      </c>
      <c r="U422">
        <v>40.1965814577266</v>
      </c>
      <c r="V422">
        <v>5</v>
      </c>
      <c r="AF422" s="99" t="s">
        <v>272</v>
      </c>
      <c r="AH422">
        <v>1</v>
      </c>
      <c r="AI422">
        <v>1.01913375531275</v>
      </c>
      <c r="AJ422">
        <v>1.23315161622153</v>
      </c>
      <c r="AK422">
        <v>1.47097780985759</v>
      </c>
      <c r="AL422">
        <v>1.69213690943865</v>
      </c>
      <c r="AM422">
        <v>1.88654360124696</v>
      </c>
      <c r="AN422">
        <v>2.06337727586039</v>
      </c>
      <c r="AO422">
        <v>2.2279477078463</v>
      </c>
      <c r="AP422">
        <v>2.38672772854871</v>
      </c>
      <c r="AQ422">
        <v>2.54404271809451</v>
      </c>
      <c r="AR422">
        <v>2.70927350008765</v>
      </c>
      <c r="AS422">
        <v>2.88070561673748</v>
      </c>
      <c r="AT422">
        <v>3.05154394385827</v>
      </c>
      <c r="AU422">
        <v>3.21916039351676</v>
      </c>
      <c r="AV422">
        <v>3.38321725886575</v>
      </c>
      <c r="AW422">
        <v>3.54684848747269</v>
      </c>
      <c r="AX422">
        <v>3.71205229495624</v>
      </c>
      <c r="AY422">
        <v>3.87968450893851</v>
      </c>
      <c r="AZ422">
        <v>0</v>
      </c>
      <c r="BA422">
        <v>0</v>
      </c>
      <c r="BB422">
        <v>0</v>
      </c>
      <c r="BC422">
        <v>0</v>
      </c>
      <c r="BD422">
        <v>0</v>
      </c>
      <c r="BE422">
        <v>0</v>
      </c>
      <c r="BF422">
        <v>0</v>
      </c>
      <c r="BG422">
        <v>0</v>
      </c>
      <c r="BI422" t="s">
        <v>273</v>
      </c>
      <c r="BK422">
        <v>1</v>
      </c>
      <c r="BL422">
        <v>0.997560975609757</v>
      </c>
      <c r="BM422">
        <v>0.985365853658537</v>
      </c>
      <c r="BN422">
        <v>0.973170731707317</v>
      </c>
      <c r="BO422">
        <v>0.960975609756098</v>
      </c>
      <c r="BP422">
        <v>0.948780487804878</v>
      </c>
      <c r="BQ422">
        <v>0.936585365853658</v>
      </c>
      <c r="BR422">
        <v>0.924390243902439</v>
      </c>
      <c r="BS422">
        <v>0.91219512195122</v>
      </c>
      <c r="BT422">
        <v>0.9</v>
      </c>
      <c r="BU422">
        <v>0.8875</v>
      </c>
      <c r="BV422">
        <v>0.875000000000001</v>
      </c>
      <c r="BW422">
        <v>0.862500000000001</v>
      </c>
      <c r="BX422">
        <v>0.850000000000001</v>
      </c>
      <c r="BY422">
        <v>0.8375</v>
      </c>
      <c r="BZ422">
        <v>0.825000000000001</v>
      </c>
      <c r="CA422">
        <v>0.812500000000001</v>
      </c>
      <c r="CB422">
        <v>0.800000000000001</v>
      </c>
      <c r="CC422" t="e">
        <v>#VALUE!</v>
      </c>
      <c r="CD422" t="e">
        <v>#VALUE!</v>
      </c>
      <c r="CE422" t="e">
        <v>#VALUE!</v>
      </c>
      <c r="CF422" t="e">
        <v>#VALUE!</v>
      </c>
      <c r="CG422" t="e">
        <v>#VALUE!</v>
      </c>
      <c r="CH422" t="e">
        <v>#VALUE!</v>
      </c>
      <c r="CI422" t="e">
        <v>#VALUE!</v>
      </c>
      <c r="CJ422" t="e">
        <v>#VALUE!</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2026-04-25T21:07:46Z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1033-12.1.0.25862</vt:lpwstr>
  </property>
  <property fmtid="{D5CDD505-2E9C-101B-9397-08002B2CF9AE}" pid="6" name="CalculationRule">
    <vt:i4>0</vt:i4>
  </property>
</Properties>
</file>