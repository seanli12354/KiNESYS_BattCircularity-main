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https://mcgill-my.sharepoint.com/personal/xiao_li8_mcgill_ca/Documents/Desktop/manu11_Battery_ISIE/KiNESYS_BattCircularity-main/KiNESYS_BattCircularity-main/SubRes_Tmpl/"/>
    </mc:Choice>
  </mc:AlternateContent>
  <xr:revisionPtr revIDLastSave="13" documentId="11_855C2F8CF4B93A257B1E2F087E59A9AFA7B43F00" xr6:coauthVersionLast="47" xr6:coauthVersionMax="47" xr10:uidLastSave="{A6F538C0-53B7-4118-88AA-5F6215CA3168}"/>
  <bookViews>
    <workbookView xWindow="-110" yWindow="-110" windowWidth="19420" windowHeight="12220" activeTab="1" xr2:uid="{00000000-000D-0000-FFFF-FFFF00000000}"/>
  </bookViews>
  <sheets>
    <sheet name="TechSelection" sheetId="21" r:id="rId1"/>
    <sheet name="Road transport" sheetId="25" r:id="rId2"/>
    <sheet name="RoadTra_BY" sheetId="26" r:id="rId3"/>
  </sheets>
  <externalReferences>
    <externalReference r:id="rId4"/>
    <externalReference r:id="rId5"/>
  </externalReferences>
  <definedNames>
    <definedName name="FID_1">[1]AGR_Fuels!$A$2</definedName>
    <definedName name="GROWTH">'[2]TechRep-Doc'!#REF!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135" i="25" l="1"/>
  <c r="E136" i="25" s="1"/>
  <c r="E137" i="25" s="1"/>
  <c r="E138" i="25" s="1"/>
  <c r="E139" i="25" s="1"/>
  <c r="E140" i="25" s="1"/>
  <c r="E141" i="25" s="1"/>
  <c r="E142" i="25" s="1"/>
  <c r="E143" i="25" s="1"/>
  <c r="E144" i="25" s="1"/>
  <c r="E145" i="25" s="1"/>
  <c r="E146" i="25" s="1"/>
  <c r="E147" i="25" s="1"/>
  <c r="E148" i="25" s="1"/>
  <c r="E149" i="25" s="1"/>
  <c r="E150" i="25" s="1"/>
  <c r="E151" i="25" s="1"/>
  <c r="E152" i="25" s="1"/>
  <c r="E153" i="25" s="1"/>
  <c r="E154" i="25" s="1"/>
  <c r="Q124" i="25"/>
  <c r="P124" i="25"/>
  <c r="O124" i="25"/>
  <c r="Q123" i="25"/>
  <c r="P123" i="25"/>
  <c r="O123" i="25"/>
  <c r="Q122" i="25"/>
  <c r="P122" i="25"/>
  <c r="O122" i="25"/>
  <c r="Q121" i="25"/>
  <c r="P121" i="25"/>
  <c r="O121" i="25"/>
  <c r="Q120" i="25"/>
  <c r="P120" i="25"/>
  <c r="O120" i="25"/>
  <c r="Q119" i="25"/>
  <c r="P119" i="25"/>
  <c r="O119" i="25"/>
  <c r="Q118" i="25"/>
  <c r="P118" i="25"/>
  <c r="O118" i="25"/>
  <c r="Q117" i="25"/>
  <c r="P117" i="25"/>
  <c r="O117" i="25"/>
  <c r="Q116" i="25"/>
  <c r="P116" i="25"/>
  <c r="O116" i="25"/>
  <c r="Q115" i="25"/>
  <c r="P115" i="25"/>
  <c r="O115" i="25"/>
  <c r="Q114" i="25"/>
  <c r="P114" i="25"/>
  <c r="O114" i="25"/>
  <c r="Q113" i="25"/>
  <c r="P113" i="25"/>
  <c r="O113" i="25"/>
  <c r="Q112" i="25"/>
  <c r="P112" i="25"/>
  <c r="O112" i="25"/>
  <c r="Q111" i="25"/>
  <c r="P111" i="25"/>
  <c r="O111" i="25"/>
  <c r="Q110" i="25"/>
  <c r="P110" i="25"/>
  <c r="O110" i="25"/>
  <c r="Q109" i="25"/>
  <c r="P109" i="25"/>
  <c r="O109" i="25"/>
  <c r="Q108" i="25"/>
  <c r="P108" i="25"/>
  <c r="O108" i="25"/>
  <c r="Q107" i="25"/>
  <c r="P107" i="25"/>
  <c r="O107" i="25"/>
  <c r="Q106" i="25"/>
  <c r="P106" i="25"/>
  <c r="O106" i="25"/>
  <c r="Q105" i="25"/>
  <c r="P105" i="25"/>
  <c r="O105" i="25"/>
  <c r="Q104" i="25"/>
  <c r="P104" i="25"/>
  <c r="O104" i="25"/>
  <c r="AN73" i="25"/>
  <c r="AM73" i="25"/>
  <c r="AL73" i="25"/>
  <c r="AK73" i="25"/>
  <c r="AJ73" i="25"/>
  <c r="AI73" i="25"/>
  <c r="AH73" i="25"/>
  <c r="AG73" i="25"/>
  <c r="AF73" i="25"/>
  <c r="AE73" i="25"/>
  <c r="AD73" i="25"/>
  <c r="AC73" i="25"/>
  <c r="AB73" i="25"/>
  <c r="AA73" i="25"/>
  <c r="Z73" i="25"/>
  <c r="Y73" i="25"/>
  <c r="X73" i="25"/>
  <c r="W73" i="25"/>
  <c r="V73" i="25"/>
  <c r="U73" i="25"/>
  <c r="T73" i="25"/>
  <c r="S73" i="25"/>
  <c r="R73" i="25"/>
  <c r="Q73" i="25"/>
  <c r="P73" i="25"/>
  <c r="O73" i="25"/>
  <c r="N73" i="25"/>
  <c r="M73" i="25"/>
  <c r="L73" i="25"/>
  <c r="K73" i="25"/>
  <c r="J73" i="25"/>
  <c r="I73" i="25"/>
  <c r="H73" i="25"/>
  <c r="G73" i="25"/>
  <c r="F73" i="25"/>
  <c r="AN72" i="25"/>
  <c r="AM72" i="25"/>
  <c r="AL72" i="25"/>
  <c r="AK72" i="25"/>
  <c r="AJ72" i="25"/>
  <c r="AI72" i="25"/>
  <c r="AH72" i="25"/>
  <c r="AG72" i="25"/>
  <c r="AF72" i="25"/>
  <c r="AE72" i="25"/>
  <c r="AD72" i="25"/>
  <c r="AC72" i="25"/>
  <c r="AB72" i="25"/>
  <c r="AA72" i="25"/>
  <c r="Z72" i="25"/>
  <c r="Y72" i="25"/>
  <c r="X72" i="25"/>
  <c r="W72" i="25"/>
  <c r="V72" i="25"/>
  <c r="U72" i="25"/>
  <c r="T72" i="25"/>
  <c r="S72" i="25"/>
  <c r="R72" i="25"/>
  <c r="Q72" i="25"/>
  <c r="P72" i="25"/>
  <c r="O72" i="25"/>
  <c r="N72" i="25"/>
  <c r="M72" i="25"/>
  <c r="L72" i="25"/>
  <c r="K72" i="25"/>
  <c r="J72" i="25"/>
  <c r="I72" i="25"/>
  <c r="H72" i="25"/>
  <c r="G72" i="25"/>
  <c r="F72" i="25"/>
  <c r="AN71" i="25"/>
  <c r="AM71" i="25"/>
  <c r="AL71" i="25"/>
  <c r="AK71" i="25"/>
  <c r="AJ71" i="25"/>
  <c r="AI71" i="25"/>
  <c r="AH71" i="25"/>
  <c r="AG71" i="25"/>
  <c r="AF71" i="25"/>
  <c r="AE71" i="25"/>
  <c r="AD71" i="25"/>
  <c r="AC71" i="25"/>
  <c r="AB71" i="25"/>
  <c r="Z71" i="25"/>
  <c r="Y71" i="25"/>
  <c r="X71" i="25"/>
  <c r="W71" i="25"/>
  <c r="V71" i="25"/>
  <c r="U71" i="25"/>
  <c r="T71" i="25"/>
  <c r="S71" i="25"/>
  <c r="R71" i="25"/>
  <c r="Q71" i="25"/>
  <c r="P71" i="25"/>
  <c r="O71" i="25"/>
  <c r="N71" i="25"/>
  <c r="L71" i="25"/>
  <c r="K71" i="25"/>
  <c r="J71" i="25"/>
  <c r="I71" i="25"/>
  <c r="H71" i="25"/>
  <c r="G71" i="25"/>
  <c r="F71" i="25"/>
  <c r="AN70" i="25"/>
  <c r="AM70" i="25"/>
  <c r="AL70" i="25"/>
  <c r="AK70" i="25"/>
  <c r="AJ70" i="25"/>
  <c r="AI70" i="25"/>
  <c r="AH70" i="25"/>
  <c r="AG70" i="25"/>
  <c r="AF70" i="25"/>
  <c r="AE70" i="25"/>
  <c r="AD70" i="25"/>
  <c r="AC70" i="25"/>
  <c r="AB70" i="25"/>
  <c r="Z70" i="25"/>
  <c r="Y70" i="25"/>
  <c r="X70" i="25"/>
  <c r="W70" i="25"/>
  <c r="V70" i="25"/>
  <c r="U70" i="25"/>
  <c r="T70" i="25"/>
  <c r="S70" i="25"/>
  <c r="R70" i="25"/>
  <c r="Q70" i="25"/>
  <c r="P70" i="25"/>
  <c r="O70" i="25"/>
  <c r="N70" i="25"/>
  <c r="M70" i="25"/>
  <c r="L70" i="25"/>
  <c r="K70" i="25"/>
  <c r="J70" i="25"/>
  <c r="I70" i="25"/>
  <c r="H70" i="25"/>
  <c r="G70" i="25"/>
  <c r="F70" i="25"/>
  <c r="AN69" i="25"/>
  <c r="AM69" i="25"/>
  <c r="AL69" i="25"/>
  <c r="AK69" i="25"/>
  <c r="AJ69" i="25"/>
  <c r="AI69" i="25"/>
  <c r="AH69" i="25"/>
  <c r="AG69" i="25"/>
  <c r="AF69" i="25"/>
  <c r="AE69" i="25"/>
  <c r="AD69" i="25"/>
  <c r="AC69" i="25"/>
  <c r="AB69" i="25"/>
  <c r="AA69" i="25"/>
  <c r="Z69" i="25"/>
  <c r="Y69" i="25"/>
  <c r="X69" i="25"/>
  <c r="W69" i="25"/>
  <c r="V69" i="25"/>
  <c r="U69" i="25"/>
  <c r="T69" i="25"/>
  <c r="S69" i="25"/>
  <c r="R69" i="25"/>
  <c r="Q69" i="25"/>
  <c r="P69" i="25"/>
  <c r="O69" i="25"/>
  <c r="N69" i="25"/>
  <c r="M69" i="25"/>
  <c r="L69" i="25"/>
  <c r="K69" i="25"/>
  <c r="J69" i="25"/>
  <c r="I69" i="25"/>
  <c r="H69" i="25"/>
  <c r="G69" i="25"/>
  <c r="AN68" i="25"/>
  <c r="AM68" i="25"/>
  <c r="AL68" i="25"/>
  <c r="AK68" i="25"/>
  <c r="AJ68" i="25"/>
  <c r="AI68" i="25"/>
  <c r="AH68" i="25"/>
  <c r="AG68" i="25"/>
  <c r="AF68" i="25"/>
  <c r="AE68" i="25"/>
  <c r="AD68" i="25"/>
  <c r="AC68" i="25"/>
  <c r="AB68" i="25"/>
  <c r="AA68" i="25"/>
  <c r="Z68" i="25"/>
  <c r="Y68" i="25"/>
  <c r="X68" i="25"/>
  <c r="W68" i="25"/>
  <c r="V68" i="25"/>
  <c r="U68" i="25"/>
  <c r="T68" i="25"/>
  <c r="S68" i="25"/>
  <c r="R68" i="25"/>
  <c r="Q68" i="25"/>
  <c r="P68" i="25"/>
  <c r="O68" i="25"/>
  <c r="N68" i="25"/>
  <c r="M68" i="25"/>
  <c r="L68" i="25"/>
  <c r="K68" i="25"/>
  <c r="J68" i="25"/>
  <c r="I68" i="25"/>
  <c r="H68" i="25"/>
  <c r="G68" i="25"/>
  <c r="F68" i="25"/>
  <c r="AN67" i="25"/>
  <c r="AM67" i="25"/>
  <c r="AL67" i="25"/>
  <c r="AK67" i="25"/>
  <c r="AJ67" i="25"/>
  <c r="AI67" i="25"/>
  <c r="AH67" i="25"/>
  <c r="AG67" i="25"/>
  <c r="AF67" i="25"/>
  <c r="AE67" i="25"/>
  <c r="AD67" i="25"/>
  <c r="AC67" i="25"/>
  <c r="AB67" i="25"/>
  <c r="AA67" i="25"/>
  <c r="Z67" i="25"/>
  <c r="Y67" i="25"/>
  <c r="X67" i="25"/>
  <c r="W67" i="25"/>
  <c r="V67" i="25"/>
  <c r="U67" i="25"/>
  <c r="T67" i="25"/>
  <c r="S67" i="25"/>
  <c r="R67" i="25"/>
  <c r="Q67" i="25"/>
  <c r="P67" i="25"/>
  <c r="O67" i="25"/>
  <c r="N67" i="25"/>
  <c r="L67" i="25"/>
  <c r="K67" i="25"/>
  <c r="J67" i="25"/>
  <c r="I67" i="25"/>
  <c r="H67" i="25"/>
  <c r="G67" i="25"/>
  <c r="F67" i="25"/>
  <c r="H56" i="25"/>
  <c r="AZ38" i="25"/>
  <c r="AX38" i="25"/>
  <c r="AW38" i="25"/>
  <c r="AV38" i="25"/>
  <c r="AU38" i="25"/>
  <c r="AT38" i="25"/>
  <c r="AS38" i="25"/>
  <c r="AR38" i="25"/>
  <c r="AQ38" i="25"/>
  <c r="AP38" i="25"/>
  <c r="AO38" i="25"/>
  <c r="AN38" i="25"/>
  <c r="AM38" i="25"/>
  <c r="AL38" i="25"/>
  <c r="AK38" i="25"/>
  <c r="AJ38" i="25"/>
  <c r="AI38" i="25"/>
  <c r="AH38" i="25"/>
  <c r="AG38" i="25"/>
  <c r="AF38" i="25"/>
  <c r="AE38" i="25"/>
  <c r="AD38" i="25"/>
  <c r="AC38" i="25"/>
  <c r="AB38" i="25"/>
  <c r="AA38" i="25"/>
  <c r="Z38" i="25"/>
  <c r="Y38" i="25"/>
  <c r="X38" i="25"/>
  <c r="W38" i="25"/>
  <c r="V38" i="25"/>
  <c r="U38" i="25"/>
  <c r="T38" i="25"/>
  <c r="S38" i="25"/>
  <c r="R38" i="25"/>
  <c r="Q38" i="25"/>
  <c r="P38" i="25"/>
  <c r="O38" i="25"/>
  <c r="N38" i="25"/>
  <c r="M38" i="25"/>
  <c r="L38" i="25"/>
  <c r="K38" i="25"/>
  <c r="J38" i="25"/>
  <c r="I38" i="25"/>
  <c r="H38" i="25"/>
  <c r="G38" i="25"/>
  <c r="F38" i="25"/>
  <c r="E38" i="25"/>
  <c r="D38" i="25"/>
  <c r="AZ37" i="25"/>
  <c r="AX37" i="25"/>
  <c r="AW37" i="25"/>
  <c r="AV37" i="25"/>
  <c r="AU37" i="25"/>
  <c r="AT37" i="25"/>
  <c r="AS37" i="25"/>
  <c r="AR37" i="25"/>
  <c r="AQ37" i="25"/>
  <c r="AP37" i="25"/>
  <c r="AO37" i="25"/>
  <c r="AN37" i="25"/>
  <c r="AM37" i="25"/>
  <c r="AL37" i="25"/>
  <c r="AK37" i="25"/>
  <c r="AJ37" i="25"/>
  <c r="AI37" i="25"/>
  <c r="AH37" i="25"/>
  <c r="AG37" i="25"/>
  <c r="AF37" i="25"/>
  <c r="AE37" i="25"/>
  <c r="AD37" i="25"/>
  <c r="AC37" i="25"/>
  <c r="AB37" i="25"/>
  <c r="AA37" i="25"/>
  <c r="Z37" i="25"/>
  <c r="Y37" i="25"/>
  <c r="X37" i="25"/>
  <c r="W37" i="25"/>
  <c r="V37" i="25"/>
  <c r="U37" i="25"/>
  <c r="T37" i="25"/>
  <c r="S37" i="25"/>
  <c r="R37" i="25"/>
  <c r="Q37" i="25"/>
  <c r="P37" i="25"/>
  <c r="O37" i="25"/>
  <c r="N37" i="25"/>
  <c r="M37" i="25"/>
  <c r="L37" i="25"/>
  <c r="K37" i="25"/>
  <c r="J37" i="25"/>
  <c r="I37" i="25"/>
  <c r="H37" i="25"/>
  <c r="G37" i="25"/>
  <c r="F37" i="25"/>
  <c r="E37" i="25"/>
  <c r="D37" i="25"/>
  <c r="AZ36" i="25"/>
  <c r="AX36" i="25"/>
  <c r="AW36" i="25"/>
  <c r="AV36" i="25"/>
  <c r="AU36" i="25"/>
  <c r="AT36" i="25"/>
  <c r="AS36" i="25"/>
  <c r="AR36" i="25"/>
  <c r="AQ36" i="25"/>
  <c r="AP36" i="25"/>
  <c r="AO36" i="25"/>
  <c r="AN36" i="25"/>
  <c r="AM36" i="25"/>
  <c r="AL36" i="25"/>
  <c r="AK36" i="25"/>
  <c r="AJ36" i="25"/>
  <c r="AI36" i="25"/>
  <c r="AH36" i="25"/>
  <c r="AG36" i="25"/>
  <c r="AF36" i="25"/>
  <c r="AE36" i="25"/>
  <c r="AD36" i="25"/>
  <c r="AC36" i="25"/>
  <c r="AB36" i="25"/>
  <c r="AA36" i="25"/>
  <c r="Z36" i="25"/>
  <c r="Y36" i="25"/>
  <c r="X36" i="25"/>
  <c r="W36" i="25"/>
  <c r="V36" i="25"/>
  <c r="U36" i="25"/>
  <c r="T36" i="25"/>
  <c r="S36" i="25"/>
  <c r="R36" i="25"/>
  <c r="Q36" i="25"/>
  <c r="P36" i="25"/>
  <c r="O36" i="25"/>
  <c r="N36" i="25"/>
  <c r="M36" i="25"/>
  <c r="L36" i="25"/>
  <c r="K36" i="25"/>
  <c r="J36" i="25"/>
  <c r="I36" i="25"/>
  <c r="H36" i="25"/>
  <c r="G36" i="25"/>
  <c r="F36" i="25"/>
  <c r="E36" i="25"/>
  <c r="D36" i="25"/>
  <c r="AZ35" i="25"/>
  <c r="AX35" i="25"/>
  <c r="AW35" i="25"/>
  <c r="AV35" i="25"/>
  <c r="AU35" i="25"/>
  <c r="AT35" i="25"/>
  <c r="AS35" i="25"/>
  <c r="AR35" i="25"/>
  <c r="AQ35" i="25"/>
  <c r="AP35" i="25"/>
  <c r="AO35" i="25"/>
  <c r="AN35" i="25"/>
  <c r="AM35" i="25"/>
  <c r="AL35" i="25"/>
  <c r="AK35" i="25"/>
  <c r="AJ35" i="25"/>
  <c r="AI35" i="25"/>
  <c r="AH35" i="25"/>
  <c r="AG35" i="25"/>
  <c r="AF35" i="25"/>
  <c r="AE35" i="25"/>
  <c r="AD35" i="25"/>
  <c r="AC35" i="25"/>
  <c r="AB35" i="25"/>
  <c r="AA35" i="25"/>
  <c r="Z35" i="25"/>
  <c r="Y35" i="25"/>
  <c r="X35" i="25"/>
  <c r="W35" i="25"/>
  <c r="V35" i="25"/>
  <c r="U35" i="25"/>
  <c r="T35" i="25"/>
  <c r="S35" i="25"/>
  <c r="R35" i="25"/>
  <c r="Q35" i="25"/>
  <c r="P35" i="25"/>
  <c r="O35" i="25"/>
  <c r="N35" i="25"/>
  <c r="M35" i="25"/>
  <c r="L35" i="25"/>
  <c r="K35" i="25"/>
  <c r="J35" i="25"/>
  <c r="I35" i="25"/>
  <c r="H35" i="25"/>
  <c r="G35" i="25"/>
  <c r="F35" i="25"/>
  <c r="E35" i="25"/>
  <c r="D35" i="25"/>
  <c r="AZ34" i="25"/>
  <c r="AX34" i="25"/>
  <c r="AW34" i="25"/>
  <c r="AV34" i="25"/>
  <c r="AU34" i="25"/>
  <c r="AT34" i="25"/>
  <c r="AS34" i="25"/>
  <c r="AR34" i="25"/>
  <c r="AQ34" i="25"/>
  <c r="AP34" i="25"/>
  <c r="AO34" i="25"/>
  <c r="AN34" i="25"/>
  <c r="AM34" i="25"/>
  <c r="AL34" i="25"/>
  <c r="AK34" i="25"/>
  <c r="AJ34" i="25"/>
  <c r="AI34" i="25"/>
  <c r="AH34" i="25"/>
  <c r="AG34" i="25"/>
  <c r="AF34" i="25"/>
  <c r="AE34" i="25"/>
  <c r="AD34" i="25"/>
  <c r="AC34" i="25"/>
  <c r="AB34" i="25"/>
  <c r="AA34" i="25"/>
  <c r="Z34" i="25"/>
  <c r="Y34" i="25"/>
  <c r="X34" i="25"/>
  <c r="W34" i="25"/>
  <c r="V34" i="25"/>
  <c r="U34" i="25"/>
  <c r="T34" i="25"/>
  <c r="S34" i="25"/>
  <c r="R34" i="25"/>
  <c r="Q34" i="25"/>
  <c r="P34" i="25"/>
  <c r="O34" i="25"/>
  <c r="N34" i="25"/>
  <c r="M34" i="25"/>
  <c r="L34" i="25"/>
  <c r="K34" i="25"/>
  <c r="J34" i="25"/>
  <c r="I34" i="25"/>
  <c r="H34" i="25"/>
  <c r="G34" i="25"/>
  <c r="F34" i="25"/>
  <c r="E34" i="25"/>
  <c r="D34" i="25"/>
  <c r="AZ33" i="25"/>
  <c r="AX33" i="25"/>
  <c r="AW33" i="25"/>
  <c r="AV33" i="25"/>
  <c r="AU33" i="25"/>
  <c r="AT33" i="25"/>
  <c r="AS33" i="25"/>
  <c r="AR33" i="25"/>
  <c r="AQ33" i="25"/>
  <c r="AP33" i="25"/>
  <c r="AO33" i="25"/>
  <c r="AN33" i="25"/>
  <c r="AM33" i="25"/>
  <c r="AL33" i="25"/>
  <c r="AK33" i="25"/>
  <c r="AJ33" i="25"/>
  <c r="AI33" i="25"/>
  <c r="AH33" i="25"/>
  <c r="AG33" i="25"/>
  <c r="AF33" i="25"/>
  <c r="AE33" i="25"/>
  <c r="AD33" i="25"/>
  <c r="AC33" i="25"/>
  <c r="AB33" i="25"/>
  <c r="AA33" i="25"/>
  <c r="Z33" i="25"/>
  <c r="Y33" i="25"/>
  <c r="X33" i="25"/>
  <c r="W33" i="25"/>
  <c r="V33" i="25"/>
  <c r="U33" i="25"/>
  <c r="T33" i="25"/>
  <c r="S33" i="25"/>
  <c r="R33" i="25"/>
  <c r="Q33" i="25"/>
  <c r="P33" i="25"/>
  <c r="O33" i="25"/>
  <c r="N33" i="25"/>
  <c r="M33" i="25"/>
  <c r="L33" i="25"/>
  <c r="K33" i="25"/>
  <c r="J33" i="25"/>
  <c r="I33" i="25"/>
  <c r="H33" i="25"/>
  <c r="G33" i="25"/>
  <c r="F33" i="25"/>
  <c r="E33" i="25"/>
  <c r="D33" i="25"/>
  <c r="AW32" i="25"/>
  <c r="AV32" i="25"/>
  <c r="AU32" i="25"/>
  <c r="AT32" i="25"/>
  <c r="AS32" i="25"/>
  <c r="AR32" i="25"/>
  <c r="AQ32" i="25"/>
  <c r="AP32" i="25"/>
  <c r="AO32" i="25"/>
  <c r="AN32" i="25"/>
  <c r="AM32" i="25"/>
  <c r="AL32" i="25"/>
  <c r="AK32" i="25"/>
  <c r="AJ32" i="25"/>
  <c r="AI32" i="25"/>
  <c r="AH32" i="25"/>
  <c r="AG32" i="25"/>
  <c r="AF32" i="25"/>
  <c r="AE32" i="25"/>
  <c r="AD32" i="25"/>
  <c r="AC32" i="25"/>
  <c r="AB32" i="25"/>
  <c r="AA32" i="25"/>
  <c r="Z32" i="25"/>
  <c r="Y32" i="25"/>
  <c r="X32" i="25"/>
  <c r="W32" i="25"/>
  <c r="V32" i="25"/>
  <c r="U32" i="25"/>
  <c r="T32" i="25"/>
  <c r="S32" i="25"/>
  <c r="R32" i="25"/>
  <c r="Q32" i="25"/>
  <c r="P32" i="25"/>
  <c r="O32" i="25"/>
  <c r="N32" i="25"/>
  <c r="M32" i="25"/>
  <c r="L32" i="25"/>
  <c r="K32" i="25"/>
  <c r="J32" i="25"/>
  <c r="I32" i="25"/>
  <c r="H32" i="25"/>
  <c r="G32" i="25"/>
  <c r="F32" i="25"/>
  <c r="E32" i="25"/>
  <c r="D32" i="25"/>
  <c r="AW28" i="25"/>
  <c r="AV28" i="25"/>
  <c r="AU28" i="25"/>
  <c r="AT28" i="25"/>
  <c r="AS28" i="25"/>
  <c r="AR28" i="25"/>
  <c r="AQ28" i="25"/>
  <c r="AP28" i="25"/>
  <c r="AO28" i="25"/>
  <c r="AN28" i="25"/>
  <c r="AM28" i="25"/>
  <c r="AL28" i="25"/>
  <c r="AK28" i="25"/>
  <c r="AJ28" i="25"/>
  <c r="AI28" i="25"/>
  <c r="AH28" i="25"/>
  <c r="AG28" i="25"/>
  <c r="AF28" i="25"/>
  <c r="AE28" i="25"/>
  <c r="AD28" i="25"/>
  <c r="AC28" i="25"/>
  <c r="AB28" i="25"/>
  <c r="AA28" i="25"/>
  <c r="Z28" i="25"/>
  <c r="Y28" i="25"/>
  <c r="X28" i="25"/>
  <c r="W28" i="25"/>
  <c r="V28" i="25"/>
  <c r="U28" i="25"/>
  <c r="T28" i="25"/>
  <c r="S28" i="25"/>
  <c r="R28" i="25"/>
  <c r="Q28" i="25"/>
  <c r="P28" i="25"/>
  <c r="O28" i="25"/>
  <c r="N28" i="25"/>
  <c r="M28" i="25"/>
  <c r="L28" i="25"/>
  <c r="K28" i="25"/>
  <c r="J28" i="25"/>
  <c r="I28" i="25"/>
  <c r="H28" i="25"/>
  <c r="G28" i="25"/>
  <c r="F28" i="25"/>
  <c r="E28" i="25"/>
  <c r="D28" i="25"/>
  <c r="AW27" i="25"/>
  <c r="AV27" i="25"/>
  <c r="AU27" i="25"/>
  <c r="AT27" i="25"/>
  <c r="AS27" i="25"/>
  <c r="AR27" i="25"/>
  <c r="AQ27" i="25"/>
  <c r="AP27" i="25"/>
  <c r="AO27" i="25"/>
  <c r="AN27" i="25"/>
  <c r="AM27" i="25"/>
  <c r="AL27" i="25"/>
  <c r="AK27" i="25"/>
  <c r="AJ27" i="25"/>
  <c r="AI27" i="25"/>
  <c r="AH27" i="25"/>
  <c r="AG27" i="25"/>
  <c r="AF27" i="25"/>
  <c r="AE27" i="25"/>
  <c r="AD27" i="25"/>
  <c r="AC27" i="25"/>
  <c r="AB27" i="25"/>
  <c r="AA27" i="25"/>
  <c r="Z27" i="25"/>
  <c r="Y27" i="25"/>
  <c r="X27" i="25"/>
  <c r="W27" i="25"/>
  <c r="V27" i="25"/>
  <c r="U27" i="25"/>
  <c r="T27" i="25"/>
  <c r="S27" i="25"/>
  <c r="R27" i="25"/>
  <c r="Q27" i="25"/>
  <c r="P27" i="25"/>
  <c r="O27" i="25"/>
  <c r="N27" i="25"/>
  <c r="M27" i="25"/>
  <c r="L27" i="25"/>
  <c r="K27" i="25"/>
  <c r="J27" i="25"/>
  <c r="I27" i="25"/>
  <c r="H27" i="25"/>
  <c r="G27" i="25"/>
  <c r="F27" i="25"/>
  <c r="E27" i="25"/>
  <c r="D27" i="25"/>
  <c r="AW26" i="25"/>
  <c r="AV26" i="25"/>
  <c r="AU26" i="25"/>
  <c r="AT26" i="25"/>
  <c r="AS26" i="25"/>
  <c r="AR26" i="25"/>
  <c r="AQ26" i="25"/>
  <c r="AP26" i="25"/>
  <c r="AO26" i="25"/>
  <c r="AN26" i="25"/>
  <c r="AM26" i="25"/>
  <c r="AL26" i="25"/>
  <c r="AK26" i="25"/>
  <c r="AJ26" i="25"/>
  <c r="AI26" i="25"/>
  <c r="AH26" i="25"/>
  <c r="AG26" i="25"/>
  <c r="AF26" i="25"/>
  <c r="AE26" i="25"/>
  <c r="AD26" i="25"/>
  <c r="AC26" i="25"/>
  <c r="AB26" i="25"/>
  <c r="AA26" i="25"/>
  <c r="Z26" i="25"/>
  <c r="Y26" i="25"/>
  <c r="X26" i="25"/>
  <c r="W26" i="25"/>
  <c r="V26" i="25"/>
  <c r="U26" i="25"/>
  <c r="T26" i="25"/>
  <c r="S26" i="25"/>
  <c r="R26" i="25"/>
  <c r="Q26" i="25"/>
  <c r="P26" i="25"/>
  <c r="O26" i="25"/>
  <c r="N26" i="25"/>
  <c r="M26" i="25"/>
  <c r="L26" i="25"/>
  <c r="K26" i="25"/>
  <c r="J26" i="25"/>
  <c r="I26" i="25"/>
  <c r="H26" i="25"/>
  <c r="G26" i="25"/>
  <c r="F26" i="25"/>
  <c r="E26" i="25"/>
  <c r="D26" i="25"/>
  <c r="AW25" i="25"/>
  <c r="AV25" i="25"/>
  <c r="AU25" i="25"/>
  <c r="AT25" i="25"/>
  <c r="AS25" i="25"/>
  <c r="AR25" i="25"/>
  <c r="AQ25" i="25"/>
  <c r="AP25" i="25"/>
  <c r="AO25" i="25"/>
  <c r="AN25" i="25"/>
  <c r="AM25" i="25"/>
  <c r="AL25" i="25"/>
  <c r="AK25" i="25"/>
  <c r="AJ25" i="25"/>
  <c r="AI25" i="25"/>
  <c r="AH25" i="25"/>
  <c r="AG25" i="25"/>
  <c r="AF25" i="25"/>
  <c r="AE25" i="25"/>
  <c r="AD25" i="25"/>
  <c r="AC25" i="25"/>
  <c r="AB25" i="25"/>
  <c r="AA25" i="25"/>
  <c r="Z25" i="25"/>
  <c r="Y25" i="25"/>
  <c r="X25" i="25"/>
  <c r="W25" i="25"/>
  <c r="V25" i="25"/>
  <c r="U25" i="25"/>
  <c r="T25" i="25"/>
  <c r="S25" i="25"/>
  <c r="R25" i="25"/>
  <c r="Q25" i="25"/>
  <c r="P25" i="25"/>
  <c r="O25" i="25"/>
  <c r="N25" i="25"/>
  <c r="M25" i="25"/>
  <c r="L25" i="25"/>
  <c r="K25" i="25"/>
  <c r="J25" i="25"/>
  <c r="I25" i="25"/>
  <c r="H25" i="25"/>
  <c r="G25" i="25"/>
  <c r="F25" i="25"/>
  <c r="E25" i="25"/>
  <c r="D25" i="25"/>
  <c r="AW24" i="25"/>
  <c r="AV24" i="25"/>
  <c r="AU24" i="25"/>
  <c r="AT24" i="25"/>
  <c r="AS24" i="25"/>
  <c r="AR24" i="25"/>
  <c r="AQ24" i="25"/>
  <c r="AP24" i="25"/>
  <c r="AO24" i="25"/>
  <c r="AN24" i="25"/>
  <c r="AM24" i="25"/>
  <c r="AL24" i="25"/>
  <c r="AK24" i="25"/>
  <c r="AJ24" i="25"/>
  <c r="AI24" i="25"/>
  <c r="AH24" i="25"/>
  <c r="AG24" i="25"/>
  <c r="AF24" i="25"/>
  <c r="AE24" i="25"/>
  <c r="AD24" i="25"/>
  <c r="AC24" i="25"/>
  <c r="AB24" i="25"/>
  <c r="AA24" i="25"/>
  <c r="Z24" i="25"/>
  <c r="Y24" i="25"/>
  <c r="X24" i="25"/>
  <c r="W24" i="25"/>
  <c r="V24" i="25"/>
  <c r="U24" i="25"/>
  <c r="T24" i="25"/>
  <c r="S24" i="25"/>
  <c r="R24" i="25"/>
  <c r="Q24" i="25"/>
  <c r="P24" i="25"/>
  <c r="O24" i="25"/>
  <c r="N24" i="25"/>
  <c r="M24" i="25"/>
  <c r="L24" i="25"/>
  <c r="K24" i="25"/>
  <c r="J24" i="25"/>
  <c r="I24" i="25"/>
  <c r="H24" i="25"/>
  <c r="G24" i="25"/>
  <c r="F24" i="25"/>
  <c r="E24" i="25"/>
  <c r="D24" i="25"/>
  <c r="AW23" i="25"/>
  <c r="AV23" i="25"/>
  <c r="AU23" i="25"/>
  <c r="AT23" i="25"/>
  <c r="AS23" i="25"/>
  <c r="AR23" i="25"/>
  <c r="AQ23" i="25"/>
  <c r="AP23" i="25"/>
  <c r="AO23" i="25"/>
  <c r="AN23" i="25"/>
  <c r="AM23" i="25"/>
  <c r="AL23" i="25"/>
  <c r="AK23" i="25"/>
  <c r="AJ23" i="25"/>
  <c r="AI23" i="25"/>
  <c r="AH23" i="25"/>
  <c r="AG23" i="25"/>
  <c r="AF23" i="25"/>
  <c r="AE23" i="25"/>
  <c r="AD23" i="25"/>
  <c r="AC23" i="25"/>
  <c r="AB23" i="25"/>
  <c r="AA23" i="25"/>
  <c r="Z23" i="25"/>
  <c r="Y23" i="25"/>
  <c r="X23" i="25"/>
  <c r="W23" i="25"/>
  <c r="V23" i="25"/>
  <c r="U23" i="25"/>
  <c r="T23" i="25"/>
  <c r="S23" i="25"/>
  <c r="R23" i="25"/>
  <c r="Q23" i="25"/>
  <c r="P23" i="25"/>
  <c r="O23" i="25"/>
  <c r="N23" i="25"/>
  <c r="M23" i="25"/>
  <c r="L23" i="25"/>
  <c r="K23" i="25"/>
  <c r="J23" i="25"/>
  <c r="I23" i="25"/>
  <c r="H23" i="25"/>
  <c r="G23" i="25"/>
  <c r="F23" i="25"/>
  <c r="E23" i="25"/>
  <c r="D23" i="25"/>
  <c r="AW22" i="25"/>
  <c r="AV22" i="25"/>
  <c r="AU22" i="25"/>
  <c r="AT22" i="25"/>
  <c r="AS22" i="25"/>
  <c r="AR22" i="25"/>
  <c r="AQ22" i="25"/>
  <c r="AP22" i="25"/>
  <c r="AO22" i="25"/>
  <c r="AN22" i="25"/>
  <c r="AM22" i="25"/>
  <c r="AL22" i="25"/>
  <c r="AK22" i="25"/>
  <c r="AJ22" i="25"/>
  <c r="AI22" i="25"/>
  <c r="AH22" i="25"/>
  <c r="AG22" i="25"/>
  <c r="AF22" i="25"/>
  <c r="AE22" i="25"/>
  <c r="AD22" i="25"/>
  <c r="AC22" i="25"/>
  <c r="AB22" i="25"/>
  <c r="AA22" i="25"/>
  <c r="Z22" i="25"/>
  <c r="Y22" i="25"/>
  <c r="X22" i="25"/>
  <c r="W22" i="25"/>
  <c r="V22" i="25"/>
  <c r="U22" i="25"/>
  <c r="T22" i="25"/>
  <c r="S22" i="25"/>
  <c r="R22" i="25"/>
  <c r="Q22" i="25"/>
  <c r="P22" i="25"/>
  <c r="O22" i="25"/>
  <c r="N22" i="25"/>
  <c r="M22" i="25"/>
  <c r="L22" i="25"/>
  <c r="K22" i="25"/>
  <c r="J22" i="25"/>
  <c r="I22" i="25"/>
  <c r="H22" i="25"/>
  <c r="G22" i="25"/>
  <c r="F22" i="25"/>
  <c r="E22" i="25"/>
  <c r="D22" i="2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xli9</author>
    <author>Xiao Li</author>
  </authors>
  <commentList>
    <comment ref="M71" authorId="0" shapeId="0" xr:uid="{00000000-0006-0000-0100-000001000000}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https://www.lightmetalage.com/news/industry-news/smelting/decline-of-u-s-primary-aluminum-production-and-the-growth-of-secondary-aluminum/?utm_source=chatgpt.com</t>
        </r>
      </text>
    </comment>
    <comment ref="AA71" authorId="0" shapeId="0" xr:uid="{00000000-0006-0000-0100-000002000000}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US750 ktonne, CAN 2.9 Mtonne: https://en.wikipedia.org/wiki/Aluminum_industry_in_the_United_States?utm_source=chatgpt.com; https://www.statista.com/statistics/312839/primary-aluminum-production-in-the-united-states/?utm_source=chatgpt.com</t>
        </r>
      </text>
    </comment>
    <comment ref="D101" authorId="0" shapeId="0" xr:uid="{00000000-0006-0000-0100-000003000000}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Bca its cap with unit of GW, which means this block defines how many costs for recycling 1Gwh of EV-Bat so do not need to multiplyy ktonne/GWh</t>
        </r>
      </text>
    </comment>
    <comment ref="E104" authorId="1" shapeId="0" xr:uid="{00000000-0006-0000-0100-000004000000}">
      <text>
        <r>
          <rPr>
            <b/>
            <sz val="9"/>
            <rFont val="Tahoma"/>
            <charset val="1"/>
          </rPr>
          <t>Xiao Li:</t>
        </r>
        <r>
          <rPr>
            <sz val="9"/>
            <rFont val="Tahoma"/>
            <charset val="1"/>
          </rPr>
          <t xml:space="preserve">
unit is m$/ktonne, so we use ACT_COST</t>
        </r>
      </text>
    </comment>
  </commentList>
</comments>
</file>

<file path=xl/sharedStrings.xml><?xml version="1.0" encoding="utf-8"?>
<sst xmlns="http://schemas.openxmlformats.org/spreadsheetml/2006/main" count="529" uniqueCount="173">
  <si>
    <t>~TFM_AVA</t>
  </si>
  <si>
    <t>Region</t>
  </si>
  <si>
    <t>Process</t>
  </si>
  <si>
    <t>Africa_North</t>
  </si>
  <si>
    <t>*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</si>
  <si>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</si>
  <si>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</si>
  <si>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</si>
  <si>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</si>
  <si>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</si>
  <si>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</si>
  <si>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</si>
  <si>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</si>
  <si>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</si>
  <si>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</si>
  <si>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</si>
  <si>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</si>
  <si>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</si>
  <si>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</si>
  <si>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</si>
  <si>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</si>
  <si>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</si>
  <si>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</si>
  <si>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</si>
  <si>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</si>
  <si>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</si>
  <si>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</si>
  <si>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</si>
  <si>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</si>
  <si>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</si>
  <si>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</si>
  <si>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</si>
  <si>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</si>
  <si>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</si>
  <si>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</si>
  <si>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</si>
  <si>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</si>
  <si>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</si>
  <si>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</si>
  <si>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~TFM_FILL-R:w=RoadTra_BY; hcol=region</t>
  </si>
  <si>
    <t>~TFM_TOPINS</t>
  </si>
  <si>
    <t>Scenario</t>
  </si>
  <si>
    <t>Attribute</t>
  </si>
  <si>
    <t>PSET_CO</t>
  </si>
  <si>
    <t>AllRegions</t>
  </si>
  <si>
    <t>process</t>
  </si>
  <si>
    <t>IO</t>
  </si>
  <si>
    <t>commodity</t>
  </si>
  <si>
    <t>pset_ci</t>
  </si>
  <si>
    <t>pset_co</t>
  </si>
  <si>
    <t>cset_cn</t>
  </si>
  <si>
    <t>BASE</t>
  </si>
  <si>
    <t>AF</t>
  </si>
  <si>
    <t>Trd[_]*</t>
  </si>
  <si>
    <t>*1</t>
  </si>
  <si>
    <t>Trd[_]*gsl*</t>
  </si>
  <si>
    <t>IN</t>
  </si>
  <si>
    <t>TRAGSL,TRABGS</t>
  </si>
  <si>
    <t>TRAELC</t>
  </si>
  <si>
    <t>TRDELC</t>
  </si>
  <si>
    <t>ELC</t>
  </si>
  <si>
    <t>Out</t>
  </si>
  <si>
    <t>EFF</t>
  </si>
  <si>
    <t>Trd[_]*dsl*</t>
  </si>
  <si>
    <t>TRADST,TRABDS</t>
  </si>
  <si>
    <t>Trd[_]*hh2*</t>
  </si>
  <si>
    <t>TRAGH2</t>
  </si>
  <si>
    <t>Trd[_]*cng*</t>
  </si>
  <si>
    <t>TRANGA</t>
  </si>
  <si>
    <t>~TFM_INS</t>
  </si>
  <si>
    <t>Trd[_]*elc*</t>
  </si>
  <si>
    <t>attribute</t>
  </si>
  <si>
    <t>PSET_PN</t>
  </si>
  <si>
    <t>PSET_CI</t>
  </si>
  <si>
    <t>CSET_CN</t>
  </si>
  <si>
    <t>value</t>
  </si>
  <si>
    <t>limtype</t>
  </si>
  <si>
    <t>year</t>
  </si>
  <si>
    <t>Trd[_]*lng*</t>
  </si>
  <si>
    <t>Share</t>
  </si>
  <si>
    <t>Trd[_]*-pih*</t>
  </si>
  <si>
    <t>FX</t>
  </si>
  <si>
    <t>CEFF</t>
  </si>
  <si>
    <t>TRAGSL</t>
  </si>
  <si>
    <t>TRABGS</t>
  </si>
  <si>
    <t>~TFM_MIG</t>
  </si>
  <si>
    <t>LIFE</t>
  </si>
  <si>
    <t>attribute2</t>
  </si>
  <si>
    <t>pset_pn</t>
  </si>
  <si>
    <t>*START</t>
  </si>
  <si>
    <t>-TRDELC</t>
  </si>
  <si>
    <t>INVCOST</t>
  </si>
  <si>
    <t>*.03</t>
  </si>
  <si>
    <t>FIXOM</t>
  </si>
  <si>
    <t>*.02</t>
  </si>
  <si>
    <t>~TFM_INS-TS: attribute=FLO_MARK</t>
  </si>
  <si>
    <t>attrib_cond</t>
  </si>
  <si>
    <t>top_check</t>
  </si>
  <si>
    <t>-FLO_MARK</t>
  </si>
  <si>
    <t>OUT</t>
  </si>
  <si>
    <t>Trd_2w_*</t>
  </si>
  <si>
    <t>Trd_3w_*</t>
  </si>
  <si>
    <t>Trd_bus*</t>
  </si>
  <si>
    <t>Trd_car*</t>
  </si>
  <si>
    <t>Trd_hdt*</t>
  </si>
  <si>
    <t>Trd_lcv*</t>
  </si>
  <si>
    <t>~TFM_UPD</t>
  </si>
  <si>
    <t>Trd_2w_gsl</t>
  </si>
  <si>
    <t>Trd_3w_gsl</t>
  </si>
  <si>
    <t>Trd_bus_dsl</t>
  </si>
  <si>
    <t>Trd_car_gsl</t>
  </si>
  <si>
    <t>Trd_hdt_dsl</t>
  </si>
  <si>
    <t>Trd_lcv_dsl</t>
  </si>
  <si>
    <t>tempering the Eff improvement in smaller Evs</t>
  </si>
  <si>
    <t>*.5</t>
  </si>
  <si>
    <t>Trd_2w,Trd_3w</t>
  </si>
  <si>
    <t>pset_set</t>
  </si>
  <si>
    <t>other_indexes</t>
  </si>
  <si>
    <t>ELE</t>
  </si>
  <si>
    <t>-INVCOST</t>
  </si>
  <si>
    <t>FLO_FUNC</t>
  </si>
  <si>
    <t>AuxStoIN</t>
  </si>
  <si>
    <t>Pset_CO</t>
  </si>
  <si>
    <t>FLO_BND</t>
  </si>
  <si>
    <t>UP</t>
  </si>
  <si>
    <t>MINBatMaterials_LI</t>
  </si>
  <si>
    <t>m_lithium</t>
  </si>
  <si>
    <t>MINBatMaterials</t>
  </si>
  <si>
    <t>MINBatMaterials_NI</t>
  </si>
  <si>
    <t>m_nickel</t>
  </si>
  <si>
    <t>MINBatMaterials_COB</t>
  </si>
  <si>
    <t>m_cobalt</t>
  </si>
  <si>
    <t>MINBatMaterials_MN</t>
  </si>
  <si>
    <t>m_manganese</t>
  </si>
  <si>
    <t>MINBatMaterials_AL</t>
  </si>
  <si>
    <t>m_aluminum</t>
  </si>
  <si>
    <t>MINBatMaterials_COP</t>
  </si>
  <si>
    <t>m_copper</t>
  </si>
  <si>
    <t>MINBatMaterials_GR</t>
  </si>
  <si>
    <t>m_graphite</t>
  </si>
  <si>
    <t>ktonne</t>
  </si>
  <si>
    <t>*According to BloomBerg that ~2.5times more demand in 2024 vs. 2017 [means that 2.5 times higher demand every seven years] [https://about.bnef.com/blog/lithium-ion-battery-pack-prices-see-largest-drop-since-2017-falling-to-115-per-kilowatt-hour-bloombergnef/]; and a 18% learning rate also from Bloomberg</t>
  </si>
  <si>
    <t>ACT_COST</t>
  </si>
  <si>
    <t>PyroRecy-LFP</t>
  </si>
  <si>
    <t>PyroRecy-LMO</t>
  </si>
  <si>
    <t>PyroRecy-NCA</t>
  </si>
  <si>
    <t>PyroRecy-NMC111</t>
  </si>
  <si>
    <t>PyroRecy-NMC532</t>
  </si>
  <si>
    <t>PyroRecy-NMC622</t>
  </si>
  <si>
    <t>PyroRecy-NMC811</t>
  </si>
  <si>
    <t>HydRecy-LFP</t>
  </si>
  <si>
    <t>HydRecy-LMO</t>
  </si>
  <si>
    <t>HydRecy-NCA</t>
  </si>
  <si>
    <t>HydRecy-NMC111</t>
  </si>
  <si>
    <t>HydRecy-NMC532</t>
  </si>
  <si>
    <t>HydRecy-NMC622</t>
  </si>
  <si>
    <t>HydRecy-NMC811</t>
  </si>
  <si>
    <t>DirRecy-LFP</t>
  </si>
  <si>
    <t>DirRecy-LMO</t>
  </si>
  <si>
    <t>DirRecy-NCA</t>
  </si>
  <si>
    <t>DirRecy-NMC111</t>
  </si>
  <si>
    <t>DirRecy-NMC532</t>
  </si>
  <si>
    <t>DirRecy-NMC622</t>
  </si>
  <si>
    <t>DirRecy-NMC811</t>
  </si>
  <si>
    <t>NCAP_COST</t>
  </si>
  <si>
    <t>scenario</t>
  </si>
  <si>
    <t>lim_type</t>
  </si>
  <si>
    <t>time_slice</t>
  </si>
  <si>
    <t>commodity_group</t>
  </si>
  <si>
    <t>currency</t>
  </si>
  <si>
    <t>stage</t>
  </si>
  <si>
    <t>sow</t>
  </si>
  <si>
    <t>valfield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</si>
</sst>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5" formatCode="0.0"/>
    <numFmt numFmtId="166" formatCode="0.000"/>
  </numFmts>
  <fonts count="12">
    <font>
      <sz val="10"/>
      <name val="Arial"/>
      <charset val="134"/>
    </font>
    <font>
      <sz val="9"/>
      <name val="Arial"/>
      <charset val="134"/>
    </font>
    <font>
      <b/>
      <sz val="9"/>
      <name val="Arial"/>
      <charset val="134"/>
    </font>
    <font>
      <sz val="11"/>
      <color rgb="FF000000"/>
      <name val="Calibri"/>
      <charset val="134"/>
    </font>
    <font>
      <b/>
      <sz val="10"/>
      <color rgb="FFFF0000"/>
      <name val="Arial"/>
      <charset val="134"/>
    </font>
    <font>
      <b/>
      <sz val="10"/>
      <name val="Arial"/>
      <charset val="134"/>
    </font>
    <font>
      <sz val="10"/>
      <color rgb="FFFF0000"/>
      <name val="Arial"/>
      <charset val="134"/>
    </font>
    <font>
      <b/>
      <sz val="9"/>
      <name val="Times New Roman"/>
      <charset val="134"/>
    </font>
    <font>
      <sz val="9"/>
      <name val="Times New Roman"/>
      <charset val="134"/>
    </font>
    <font>
      <b/>
      <sz val="9"/>
      <name val="Tahoma"/>
      <charset val="1"/>
    </font>
    <font>
      <sz val="9"/>
      <name val="Tahoma"/>
      <charset val="1"/>
    </font>
    <font>
      <sz val="10"/>
      <name val="Arial"/>
      <charset val="134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59996337778862885"/>
        <bgColor indexed="64"/>
      </patternFill>
    </fill>
    <fill>
      <patternFill patternType="solid">
        <fgColor theme="3" tint="0.79985961485641044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4">
    <xf numFmtId="0" fontId="0" fillId="0" borderId="0"/>
    <xf numFmtId="0" fontId="11" fillId="0" borderId="0"/>
    <xf numFmtId="0" fontId="11" fillId="0" borderId="0"/>
    <xf numFmtId="0" fontId="11" fillId="0" borderId="0"/>
  </cellStyleXfs>
  <cellXfs count="32">
    <xf numFmtId="0" fontId="0" fillId="0" borderId="0" xfId="0"/>
    <xf numFmtId="0" fontId="11" fillId="2" borderId="0" xfId="1" applyFill="1"/>
    <xf numFmtId="0" fontId="0" fillId="2" borderId="0" xfId="0" applyFill="1"/>
    <xf numFmtId="0" fontId="0" fillId="3" borderId="0" xfId="0" applyFill="1"/>
    <xf numFmtId="0" fontId="11" fillId="0" borderId="0" xfId="1"/>
    <xf numFmtId="0" fontId="1" fillId="0" borderId="0" xfId="0" applyFont="1"/>
    <xf numFmtId="0" fontId="2" fillId="0" borderId="0" xfId="0" applyFont="1"/>
    <xf numFmtId="165" fontId="0" fillId="0" borderId="0" xfId="0" applyNumberFormat="1"/>
    <xf numFmtId="3" fontId="0" fillId="0" borderId="0" xfId="0" applyNumberFormat="1"/>
    <xf numFmtId="0" fontId="0" fillId="4" borderId="0" xfId="0" applyFill="1"/>
    <xf numFmtId="0" fontId="11" fillId="4" borderId="0" xfId="1" applyFill="1"/>
    <xf numFmtId="0" fontId="3" fillId="4" borderId="0" xfId="0" applyFont="1" applyFill="1"/>
    <xf numFmtId="0" fontId="3" fillId="3" borderId="0" xfId="0" applyFont="1" applyFill="1"/>
    <xf numFmtId="0" fontId="11" fillId="3" borderId="0" xfId="1" applyFill="1"/>
    <xf numFmtId="0" fontId="4" fillId="3" borderId="0" xfId="0" applyFont="1" applyFill="1"/>
    <xf numFmtId="0" fontId="5" fillId="4" borderId="0" xfId="1" applyFont="1" applyFill="1"/>
    <xf numFmtId="0" fontId="5" fillId="2" borderId="0" xfId="0" applyFont="1" applyFill="1"/>
    <xf numFmtId="0" fontId="0" fillId="5" borderId="0" xfId="0" applyFill="1"/>
    <xf numFmtId="0" fontId="11" fillId="6" borderId="1" xfId="1" applyFill="1" applyBorder="1"/>
    <xf numFmtId="166" fontId="11" fillId="6" borderId="1" xfId="1" applyNumberFormat="1" applyFill="1" applyBorder="1"/>
    <xf numFmtId="0" fontId="11" fillId="6" borderId="2" xfId="1" applyFill="1" applyBorder="1"/>
    <xf numFmtId="0" fontId="6" fillId="2" borderId="0" xfId="0" applyFont="1" applyFill="1"/>
    <xf numFmtId="0" fontId="4" fillId="2" borderId="0" xfId="0" applyFont="1" applyFill="1"/>
    <xf numFmtId="0" fontId="11" fillId="2" borderId="1" xfId="1" applyFill="1" applyBorder="1"/>
    <xf numFmtId="0" fontId="0" fillId="2" borderId="1" xfId="0" applyFill="1" applyBorder="1"/>
    <xf numFmtId="0" fontId="0" fillId="3" borderId="1" xfId="0" applyFill="1" applyBorder="1"/>
    <xf numFmtId="0" fontId="11" fillId="0" borderId="1" xfId="1" applyBorder="1"/>
    <xf numFmtId="0" fontId="3" fillId="0" borderId="0" xfId="0" applyFont="1"/>
    <xf numFmtId="0" fontId="5" fillId="0" borderId="0" xfId="1" applyFont="1"/>
    <xf numFmtId="0" fontId="0" fillId="0" borderId="1" xfId="0" applyBorder="1"/>
    <xf numFmtId="0" fontId="1" fillId="0" borderId="0" xfId="2" applyFont="1"/>
    <xf numFmtId="0" fontId="0" fillId="0" borderId="0" xfId="0" quotePrefix="1"/>
  </cellXfs>
  <cellStyles count="4">
    <cellStyle name="Normal" xfId="0" builtinId="0"/>
    <cellStyle name="Normal 10" xfId="1" xr:uid="{00000000-0005-0000-0000-000031000000}"/>
    <cellStyle name="Normal 3" xfId="2" xr:uid="{00000000-0005-0000-0000-000032000000}"/>
    <cellStyle name="Normal 3 2" xfId="3" xr:uid="{00000000-0005-0000-0000-00003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SAGE/saic_technology/ResCOM/New%20Microsoft%20Excel%20Worksheet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EA Data"/>
      <sheetName val="E&amp;D Drivers"/>
      <sheetName val="AGR_Fuels"/>
      <sheetName val="AGR_Emi"/>
      <sheetName val="AGR"/>
      <sheetName val="RES_Fuels"/>
      <sheetName val="RES_Emi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EA"/>
      <sheetName val="ROT"/>
      <sheetName val="RL1"/>
      <sheetName val="RL2"/>
      <sheetName val="RL3"/>
      <sheetName val="RL4"/>
      <sheetName val="COM_Fuels"/>
      <sheetName val="COM_Emi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LA"/>
      <sheetName val="CCK"/>
      <sheetName val="CRF"/>
      <sheetName val="COE"/>
      <sheetName val="COT"/>
      <sheetName val="ElastPar"/>
      <sheetName val="Conversion Factors"/>
      <sheetName val="ANS_ITEMS"/>
      <sheetName val="ANS_TIDDATA"/>
      <sheetName val="ANS_TSDATA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New Microsoft Excel Worksheet"/>
      <sheetName val="AGR_Fuels"/>
      <sheetName val="TechRep-Doc"/>
    </sheetNames>
    <sheetDataSet>
      <sheetData sheetId="0" refreshError="1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6"/>
  <dimension ref="A1:AA281"/>
  <sheetViews>
    <sheetView workbookViewId="0"/>
  </sheetViews>
  <sheetFormatPr defaultColWidth="9.08984375" defaultRowHeight="11.5"/>
  <cols>
    <col min="1" max="1" width="15" style="30" customWidth="1"/>
    <col min="2" max="2" width="8.81640625" style="30" customWidth="1"/>
    <col min="3" max="3" width="4.7265625" style="30" customWidth="1"/>
    <col min="4" max="4" width="8.81640625" style="30" customWidth="1"/>
    <col min="5" max="5" width="4.36328125" style="30" customWidth="1"/>
    <col min="6" max="6" width="4.26953125" style="30" customWidth="1"/>
    <col min="7" max="7" width="4.36328125" style="30" customWidth="1"/>
    <col min="8" max="8" width="4.6328125" style="30" customWidth="1"/>
    <col min="9" max="9" width="4" style="30" customWidth="1"/>
    <col min="10" max="10" width="4.36328125" style="30" customWidth="1"/>
    <col min="11" max="11" width="4.6328125" style="30" customWidth="1"/>
    <col min="12" max="12" width="4.36328125" style="30" customWidth="1"/>
    <col min="13" max="13" width="4" style="30" customWidth="1"/>
    <col min="14" max="14" width="4.26953125" style="30" customWidth="1"/>
    <col min="15" max="16" width="4.36328125" style="30" customWidth="1"/>
    <col min="17" max="18" width="4.6328125" style="30" customWidth="1"/>
    <col min="19" max="19" width="4.36328125" style="30" customWidth="1"/>
    <col min="20" max="20" width="5" style="30" customWidth="1"/>
    <col min="21" max="21" width="11.7265625" style="30" customWidth="1"/>
    <col min="22" max="22" width="10.7265625" style="30" customWidth="1"/>
    <col min="23" max="23" width="13.08984375" style="30" customWidth="1"/>
    <col min="24" max="259" width="11.36328125" style="30" customWidth="1"/>
    <col min="260" max="16384" width="9.08984375" style="30"/>
  </cols>
  <sheetData>
    <row r="1" spans="1:27" ht="12.5">
      <c r="A1"/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  <c r="U1"/>
    </row>
    <row r="2" spans="1:27" ht="12.5">
      <c r="A2"/>
      <c r="B2"/>
      <c r="C2"/>
      <c r="D2"/>
      <c r="E2"/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</row>
    <row r="3" spans="1:27" ht="12.5">
      <c r="A3" t="s">
        <v>0</v>
      </c>
      <c r="B3"/>
      <c r="C3"/>
      <c r="D3"/>
      <c r="E3"/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 s="5"/>
      <c r="W3" s="5"/>
      <c r="X3" s="5"/>
      <c r="Y3" s="5"/>
      <c r="Z3" s="5"/>
      <c r="AA3" s="5"/>
    </row>
    <row r="4" spans="1:27" ht="12.5">
      <c r="A4" t="s">
        <v>1</v>
      </c>
      <c r="B4" t="s">
        <v>2</v>
      </c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 s="5"/>
      <c r="W4" s="5"/>
      <c r="X4" s="5"/>
      <c r="Y4" s="5"/>
      <c r="Z4" s="5"/>
      <c r="AA4" s="5"/>
    </row>
    <row r="5" spans="1:27" ht="12.5">
      <c r="A5" t="s">
        <v>3</v>
      </c>
      <c r="B5" t="s">
        <v>4</v>
      </c>
      <c r="C5"/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 s="5"/>
      <c r="W5" s="5"/>
      <c r="X5" s="5"/>
      <c r="Y5" s="5"/>
      <c r="Z5" s="5"/>
      <c r="AA5" s="5"/>
    </row>
    <row r="6" spans="1:27" ht="12.5">
      <c r="A6" t="s">
        <v>5</v>
      </c>
      <c r="B6" t="s">
        <v>4</v>
      </c>
      <c r="C6"/>
      <c r="D6"/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 s="5"/>
      <c r="W6" s="5"/>
      <c r="X6" s="5"/>
      <c r="Y6" s="5"/>
      <c r="Z6" s="5"/>
      <c r="AA6" s="5"/>
    </row>
    <row r="7" spans="1:27" ht="12.5">
      <c r="A7" t="s">
        <v>6</v>
      </c>
      <c r="B7" t="s">
        <v>4</v>
      </c>
      <c r="C7"/>
      <c r="D7"/>
      <c r="E7"/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 s="5"/>
      <c r="W7" s="5"/>
      <c r="X7" s="5"/>
      <c r="Y7" s="5"/>
      <c r="Z7" s="5"/>
      <c r="AA7" s="5"/>
    </row>
    <row r="8" spans="1:27" ht="12.5">
      <c r="A8" t="s">
        <v>7</v>
      </c>
      <c r="B8" t="s">
        <v>4</v>
      </c>
      <c r="C8"/>
      <c r="D8"/>
      <c r="E8"/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 s="5"/>
      <c r="W8" s="5"/>
      <c r="X8" s="5"/>
      <c r="Y8" s="5"/>
      <c r="Z8" s="5"/>
      <c r="AA8" s="5"/>
    </row>
    <row r="9" spans="1:27" ht="12.5">
      <c r="A9" t="s">
        <v>8</v>
      </c>
      <c r="B9" t="s">
        <v>4</v>
      </c>
      <c r="C9"/>
      <c r="D9"/>
      <c r="E9"/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 s="5"/>
      <c r="W9" s="5"/>
      <c r="X9" s="5"/>
      <c r="Y9" s="5"/>
      <c r="Z9" s="5"/>
      <c r="AA9" s="5"/>
    </row>
    <row r="10" spans="1:27" ht="12.5">
      <c r="A10" t="s">
        <v>9</v>
      </c>
      <c r="B10" t="s">
        <v>4</v>
      </c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 s="5"/>
      <c r="W10" s="5"/>
      <c r="X10" s="5"/>
      <c r="Y10" s="5"/>
      <c r="Z10" s="5"/>
      <c r="AA10" s="5"/>
    </row>
    <row r="11" spans="1:27" ht="12.5">
      <c r="A11" t="s">
        <v>10</v>
      </c>
      <c r="B11" t="s">
        <v>4</v>
      </c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 s="5"/>
      <c r="W11" s="5"/>
      <c r="X11" s="5"/>
      <c r="Y11" s="5"/>
      <c r="Z11" s="5"/>
      <c r="AA11" s="5"/>
    </row>
    <row r="12" spans="1:27" ht="12.5">
      <c r="A12" t="s">
        <v>11</v>
      </c>
      <c r="B12" t="s">
        <v>4</v>
      </c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 s="5"/>
      <c r="W12" s="5"/>
      <c r="X12" s="5"/>
      <c r="Y12" s="5"/>
      <c r="Z12" s="5"/>
      <c r="AA12" s="5"/>
    </row>
    <row r="13" spans="1:27" ht="12.5">
      <c r="A13" t="s">
        <v>12</v>
      </c>
      <c r="B13" t="s">
        <v>4</v>
      </c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 s="5"/>
      <c r="W13" s="5"/>
      <c r="X13" s="5"/>
      <c r="Y13" s="5"/>
      <c r="Z13" s="5"/>
      <c r="AA13" s="5"/>
    </row>
    <row r="14" spans="1:27" ht="12.5">
      <c r="A14" t="s">
        <v>13</v>
      </c>
      <c r="B14" t="s">
        <v>4</v>
      </c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 s="5"/>
      <c r="W14" s="5"/>
      <c r="X14" s="5"/>
      <c r="Y14" s="5"/>
      <c r="Z14" s="5"/>
      <c r="AA14" s="5"/>
    </row>
    <row r="15" spans="1:27" ht="12.5">
      <c r="A15" t="s">
        <v>14</v>
      </c>
      <c r="B15" t="s">
        <v>4</v>
      </c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 s="5"/>
      <c r="W15" s="5"/>
      <c r="X15" s="5"/>
      <c r="Y15" s="5"/>
      <c r="Z15" s="5"/>
      <c r="AA15" s="5"/>
    </row>
    <row r="16" spans="1:27" ht="12.5">
      <c r="A16" t="s">
        <v>15</v>
      </c>
      <c r="B16" t="s">
        <v>4</v>
      </c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 s="5"/>
      <c r="W16" s="5"/>
      <c r="X16" s="5"/>
      <c r="Y16" s="5"/>
      <c r="Z16" s="5"/>
      <c r="AA16" s="5"/>
    </row>
    <row r="17" spans="1:27" ht="12.5">
      <c r="A17" t="s">
        <v>16</v>
      </c>
      <c r="B17" t="s">
        <v>4</v>
      </c>
      <c r="C17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 s="5"/>
      <c r="W17" s="5"/>
      <c r="X17" s="5"/>
      <c r="Y17" s="5"/>
      <c r="Z17" s="5"/>
      <c r="AA17" s="5"/>
    </row>
    <row r="18" spans="1:27" ht="12.5">
      <c r="A18" t="s">
        <v>17</v>
      </c>
      <c r="B18" t="s">
        <v>4</v>
      </c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 s="5"/>
      <c r="W18" s="5"/>
      <c r="X18" s="5"/>
      <c r="Y18" s="5"/>
      <c r="Z18" s="5"/>
      <c r="AA18" s="5"/>
    </row>
    <row r="19" spans="1:27" ht="12.5">
      <c r="A19" t="s">
        <v>18</v>
      </c>
      <c r="B19" t="s">
        <v>4</v>
      </c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 s="5"/>
      <c r="W19" s="5"/>
      <c r="X19" s="5"/>
      <c r="Y19" s="5"/>
      <c r="Z19" s="5"/>
      <c r="AA19" s="5"/>
    </row>
    <row r="20" spans="1:27" ht="12.5">
      <c r="A20" t="s">
        <v>19</v>
      </c>
      <c r="B20" t="s">
        <v>4</v>
      </c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 s="5"/>
      <c r="W20" s="5"/>
      <c r="X20" s="5"/>
      <c r="Y20" s="5"/>
      <c r="Z20" s="5"/>
      <c r="AA20" s="5"/>
    </row>
    <row r="21" spans="1:27" ht="12.5">
      <c r="A21" t="s">
        <v>20</v>
      </c>
      <c r="B21" t="s">
        <v>4</v>
      </c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 s="5"/>
      <c r="W21" s="5"/>
      <c r="X21" s="5"/>
      <c r="Y21" s="5"/>
      <c r="Z21" s="5"/>
      <c r="AA21" s="5"/>
    </row>
    <row r="22" spans="1:27" ht="12.5">
      <c r="A22" t="s">
        <v>21</v>
      </c>
      <c r="B22" t="s">
        <v>4</v>
      </c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 s="5"/>
      <c r="W22" s="5"/>
      <c r="X22" s="5"/>
      <c r="Y22" s="5"/>
      <c r="Z22" s="5"/>
      <c r="AA22" s="5"/>
    </row>
    <row r="23" spans="1:27" ht="12.5">
      <c r="A23" t="s">
        <v>22</v>
      </c>
      <c r="B23" t="s">
        <v>4</v>
      </c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 s="5"/>
      <c r="W23" s="5"/>
      <c r="X23" s="5"/>
      <c r="Y23" s="5"/>
      <c r="Z23" s="5"/>
      <c r="AA23" s="5"/>
    </row>
    <row r="24" spans="1:27" ht="12.5">
      <c r="A24" t="s">
        <v>23</v>
      </c>
      <c r="B24" t="s">
        <v>4</v>
      </c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 s="5"/>
      <c r="W24" s="5"/>
      <c r="X24" s="5"/>
      <c r="Y24" s="5"/>
      <c r="Z24" s="5"/>
      <c r="AA24" s="5"/>
    </row>
    <row r="25" spans="1:27" ht="12.5">
      <c r="A25" t="s">
        <v>24</v>
      </c>
      <c r="B25" t="s">
        <v>4</v>
      </c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 s="5"/>
      <c r="W25" s="5"/>
      <c r="X25" s="5"/>
      <c r="Y25" s="5"/>
      <c r="Z25" s="5"/>
      <c r="AA25" s="5"/>
    </row>
    <row r="26" spans="1:27" ht="12.5">
      <c r="A26" t="s">
        <v>25</v>
      </c>
      <c r="B26" t="s">
        <v>4</v>
      </c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 s="5"/>
      <c r="W26" s="5"/>
      <c r="X26" s="5"/>
      <c r="Y26" s="5"/>
      <c r="Z26" s="5"/>
      <c r="AA26" s="5"/>
    </row>
    <row r="27" spans="1:27" ht="12.5">
      <c r="A27" t="s">
        <v>26</v>
      </c>
      <c r="B27" t="s">
        <v>4</v>
      </c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 s="5"/>
      <c r="W27" s="5"/>
      <c r="X27" s="5"/>
      <c r="Y27" s="5"/>
      <c r="Z27" s="5"/>
      <c r="AA27" s="5"/>
    </row>
    <row r="28" spans="1:27" ht="12.5">
      <c r="A28" t="s">
        <v>27</v>
      </c>
      <c r="B28" t="s">
        <v>4</v>
      </c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 s="5"/>
      <c r="W28" s="5"/>
      <c r="X28" s="5"/>
      <c r="Y28" s="5"/>
      <c r="Z28" s="5"/>
      <c r="AA28" s="5"/>
    </row>
    <row r="29" spans="1:27" ht="12.5">
      <c r="A29" t="s">
        <v>28</v>
      </c>
      <c r="B29" t="s">
        <v>4</v>
      </c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 s="5"/>
      <c r="W29" s="5"/>
      <c r="X29" s="5"/>
      <c r="Y29" s="5"/>
      <c r="Z29" s="5"/>
      <c r="AA29" s="5"/>
    </row>
    <row r="30" spans="1:27" ht="12.5">
      <c r="A30" t="s">
        <v>29</v>
      </c>
      <c r="B30" t="s">
        <v>4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</row>
    <row r="31" spans="1:27" ht="12.5">
      <c r="A31" t="s">
        <v>30</v>
      </c>
      <c r="B31" t="s">
        <v>4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</row>
    <row r="32" spans="1:27" ht="12.5">
      <c r="A32" t="s">
        <v>31</v>
      </c>
      <c r="B32" t="s">
        <v>4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</row>
    <row r="33" spans="1:27" ht="12.5">
      <c r="A33" t="s">
        <v>32</v>
      </c>
      <c r="B33" t="s">
        <v>4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</row>
    <row r="34" spans="1:27" ht="12.5">
      <c r="A34" t="s">
        <v>33</v>
      </c>
      <c r="B34" t="s">
        <v>4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</row>
    <row r="35" spans="1:27" ht="12.5">
      <c r="A35" s="30" t="s">
        <v>34</v>
      </c>
      <c r="B35" t="s">
        <v>4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</row>
    <row r="36" spans="1:27" ht="12.5">
      <c r="A36" s="30" t="s">
        <v>35</v>
      </c>
      <c r="B36" t="s">
        <v>4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</row>
    <row r="37" spans="1:27" ht="12.5">
      <c r="A37" s="30" t="s">
        <v>36</v>
      </c>
      <c r="B37" t="s">
        <v>4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</row>
    <row r="38" spans="1:27" ht="12.5">
      <c r="A38" s="30" t="s">
        <v>37</v>
      </c>
      <c r="B38" t="s">
        <v>4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2.5">
      <c r="A39" s="30" t="s">
        <v>38</v>
      </c>
      <c r="B39" t="s">
        <v>4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</row>
    <row r="40" spans="1:27"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</row>
    <row r="41" spans="1:27"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</row>
    <row r="42" spans="1:27"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</row>
    <row r="43" spans="1:27"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</row>
    <row r="44" spans="1:27"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</row>
    <row r="45" spans="1:27"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</row>
    <row r="46" spans="1:27"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</row>
    <row r="47" spans="1:27"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</row>
    <row r="48" spans="1:27"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</row>
    <row r="49" spans="8:27"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</row>
    <row r="50" spans="8:27"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8:27"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</row>
    <row r="52" spans="8:27"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</row>
    <row r="53" spans="8:27"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</row>
    <row r="54" spans="8:27"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</row>
    <row r="55" spans="8:27"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</row>
    <row r="56" spans="8:27"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</row>
    <row r="57" spans="8:27"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</row>
    <row r="58" spans="8:27"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</row>
    <row r="59" spans="8:27"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</row>
    <row r="60" spans="8:27"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</row>
    <row r="61" spans="8:27"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</row>
    <row r="62" spans="8:27"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</row>
    <row r="63" spans="8:27"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</row>
    <row r="64" spans="8:27"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</row>
    <row r="65" spans="8:27"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</row>
    <row r="66" spans="8:27"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</row>
    <row r="67" spans="8:27"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spans="8:27"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spans="8:27"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spans="8:27"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</row>
    <row r="71" spans="8:27"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</row>
    <row r="72" spans="8:27"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</row>
    <row r="73" spans="8:27"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</row>
    <row r="74" spans="8:27"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</row>
    <row r="75" spans="8:27"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</row>
    <row r="76" spans="8:27"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</row>
    <row r="77" spans="8:27"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</row>
    <row r="78" spans="8:27"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</row>
    <row r="79" spans="8:27"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</row>
    <row r="80" spans="8:27"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</row>
    <row r="81" spans="8:27"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</row>
    <row r="82" spans="8:27"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</row>
    <row r="83" spans="8:27"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</row>
    <row r="84" spans="8:27"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</row>
    <row r="85" spans="8:27"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</row>
    <row r="86" spans="8:27"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</row>
    <row r="87" spans="8:27"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</row>
    <row r="88" spans="8:27"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</row>
    <row r="89" spans="8:27"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</row>
    <row r="90" spans="8:27"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</row>
    <row r="91" spans="8:27"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</row>
    <row r="92" spans="8:27"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</row>
    <row r="93" spans="8:27"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</row>
    <row r="94" spans="8:27"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</row>
    <row r="95" spans="8:27"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</row>
    <row r="96" spans="8:27"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</row>
    <row r="97" spans="8:27"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</row>
    <row r="98" spans="8:27"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</row>
    <row r="99" spans="8:27"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</row>
    <row r="100" spans="8:27"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</row>
    <row r="101" spans="8:27"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</row>
    <row r="102" spans="8:27"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</row>
    <row r="103" spans="8:27"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</row>
    <row r="104" spans="8:27"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</row>
    <row r="105" spans="8:27"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</row>
    <row r="106" spans="8:27"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</row>
    <row r="107" spans="8:27"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</row>
    <row r="108" spans="8:27"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</row>
    <row r="109" spans="8:27"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</row>
    <row r="110" spans="8:27"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</row>
    <row r="111" spans="8:27"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</row>
    <row r="112" spans="8:27"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</row>
    <row r="113" spans="8:27"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</row>
    <row r="114" spans="8:27"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</row>
    <row r="115" spans="8:27"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</row>
    <row r="116" spans="8:27"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</row>
    <row r="117" spans="8:27"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</row>
    <row r="118" spans="8:27"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</row>
    <row r="119" spans="8:27"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</row>
    <row r="120" spans="8:27"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</row>
    <row r="121" spans="8:27"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</row>
    <row r="122" spans="8:27"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</row>
    <row r="123" spans="8:27"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</row>
    <row r="124" spans="8:27"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</row>
    <row r="125" spans="8:27"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</row>
    <row r="126" spans="8:27"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</row>
    <row r="127" spans="8:27"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</row>
    <row r="128" spans="8:27"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</row>
    <row r="129" spans="8:27"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</row>
    <row r="130" spans="8:27"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</row>
    <row r="131" spans="8:27"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</row>
    <row r="132" spans="8:27"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</row>
    <row r="133" spans="8:27"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</row>
    <row r="134" spans="8:27"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</row>
    <row r="135" spans="8:27"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</row>
    <row r="136" spans="8:27"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</row>
    <row r="137" spans="8:27"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</row>
    <row r="138" spans="8:27"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</row>
    <row r="139" spans="8:27"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</row>
    <row r="140" spans="8:27"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</row>
    <row r="141" spans="8:27"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</row>
    <row r="142" spans="8:27"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</row>
    <row r="143" spans="8:27"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</row>
    <row r="144" spans="8:27"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</row>
    <row r="145" spans="8:27"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</row>
    <row r="146" spans="8:27"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</row>
    <row r="147" spans="8:27"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</row>
    <row r="148" spans="8:27"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</row>
    <row r="149" spans="8:27"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</row>
    <row r="150" spans="8:27"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</row>
    <row r="151" spans="8:27"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</row>
    <row r="152" spans="8:27"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</row>
    <row r="153" spans="8:27"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</row>
    <row r="154" spans="8:27"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</row>
    <row r="155" spans="8:27"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</row>
    <row r="156" spans="8:27"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</row>
    <row r="157" spans="8:27"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</row>
    <row r="158" spans="8:27"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</row>
    <row r="159" spans="8:27"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</row>
    <row r="160" spans="8:27"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</row>
    <row r="161" spans="8:27"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</row>
    <row r="162" spans="8:27"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</row>
    <row r="163" spans="8:27"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</row>
    <row r="164" spans="8:27"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</row>
    <row r="165" spans="8:27"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</row>
    <row r="166" spans="8:27"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</row>
    <row r="167" spans="8:27"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</row>
    <row r="168" spans="8:27"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</row>
    <row r="169" spans="8:27"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</row>
    <row r="170" spans="8:27"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</row>
    <row r="171" spans="8:27"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</row>
    <row r="172" spans="8:27"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</row>
    <row r="173" spans="8:27"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</row>
    <row r="174" spans="8:27"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</row>
    <row r="175" spans="8:27"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</row>
    <row r="176" spans="8:27"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</row>
    <row r="177" spans="8:27"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</row>
    <row r="178" spans="8:27"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</row>
    <row r="179" spans="8:27"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</row>
    <row r="180" spans="8:27"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</row>
    <row r="181" spans="8:27"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</row>
    <row r="182" spans="8:27"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</row>
    <row r="183" spans="8:27"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</row>
    <row r="184" spans="8:27"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</row>
    <row r="185" spans="8:27"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</row>
    <row r="186" spans="8:27"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</row>
    <row r="187" spans="8:27"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</row>
    <row r="188" spans="8:27"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</row>
    <row r="189" spans="8:27"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</row>
    <row r="190" spans="8:27"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</row>
    <row r="191" spans="8:27"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</row>
    <row r="192" spans="8:27"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</row>
    <row r="193" spans="8:27"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</row>
    <row r="194" spans="8:27"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</row>
    <row r="195" spans="8:27"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</row>
    <row r="196" spans="8:27"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</row>
    <row r="197" spans="8:27"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</row>
    <row r="198" spans="8:27"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</row>
    <row r="199" spans="8:27"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</row>
    <row r="200" spans="8:27"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</row>
    <row r="201" spans="8:27"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</row>
    <row r="202" spans="8:27"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</row>
    <row r="203" spans="8:27"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</row>
    <row r="204" spans="8:27"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</row>
    <row r="205" spans="8:27"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</row>
    <row r="206" spans="8:27"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</row>
    <row r="207" spans="8:27"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</row>
    <row r="208" spans="8:27"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</row>
    <row r="209" spans="8:27"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</row>
    <row r="210" spans="8:27"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</row>
    <row r="211" spans="8:27"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</row>
    <row r="212" spans="8:27"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</row>
    <row r="213" spans="8:27"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</row>
    <row r="214" spans="8:27"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</row>
    <row r="215" spans="8:27"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</row>
    <row r="216" spans="8:27"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</row>
    <row r="217" spans="8:27"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</row>
    <row r="218" spans="8:27"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</row>
    <row r="219" spans="8:27"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</row>
    <row r="220" spans="8:27"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</row>
    <row r="221" spans="8:27"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</row>
    <row r="222" spans="8:27"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</row>
    <row r="223" spans="8:27"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</row>
    <row r="224" spans="8:27"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</row>
    <row r="225" spans="8:27"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</row>
    <row r="226" spans="8:27"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</row>
    <row r="227" spans="8:27"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</row>
    <row r="228" spans="8:27"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</row>
    <row r="229" spans="8:27"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</row>
    <row r="230" spans="8:27"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</row>
    <row r="231" spans="8:27"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</row>
    <row r="232" spans="8:27"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</row>
    <row r="233" spans="8:27"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</row>
    <row r="234" spans="8:27"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</row>
    <row r="235" spans="8:27"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</row>
    <row r="236" spans="8:27"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</row>
    <row r="237" spans="8:27"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</row>
    <row r="238" spans="8:27"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</row>
    <row r="239" spans="8:27"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</row>
    <row r="240" spans="8:27"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</row>
    <row r="241" spans="8:27"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</row>
    <row r="242" spans="8:27"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</row>
    <row r="243" spans="8:27"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</row>
    <row r="244" spans="8:27"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</row>
    <row r="245" spans="8:27"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</row>
    <row r="246" spans="8:27"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</row>
    <row r="247" spans="8:27"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</row>
    <row r="248" spans="8:27"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</row>
    <row r="249" spans="8:27"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</row>
    <row r="250" spans="8:27"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</row>
    <row r="251" spans="8:27"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</row>
    <row r="252" spans="8:27"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</row>
    <row r="253" spans="8:27"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</row>
    <row r="254" spans="8:27"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</row>
    <row r="255" spans="8:27"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</row>
    <row r="256" spans="8:27"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</row>
    <row r="257" spans="8:27"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</row>
    <row r="258" spans="8:27"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</row>
    <row r="259" spans="8:27"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</row>
    <row r="260" spans="8:27"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</row>
    <row r="261" spans="8:27"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</row>
    <row r="262" spans="8:27"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</row>
    <row r="263" spans="8:27"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</row>
    <row r="264" spans="8:27"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</row>
    <row r="265" spans="8:27"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</row>
    <row r="266" spans="8:27"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</row>
    <row r="267" spans="8:27"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</row>
    <row r="268" spans="8:27"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</row>
    <row r="269" spans="8:27"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</row>
    <row r="270" spans="8:27"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</row>
    <row r="271" spans="8:27"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</row>
    <row r="272" spans="8:27"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</row>
    <row r="273" spans="8:27"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</row>
    <row r="274" spans="8:27"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</row>
    <row r="275" spans="8:27"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</row>
    <row r="276" spans="8:27"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</row>
    <row r="277" spans="8:27"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</row>
    <row r="278" spans="8:27"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</row>
    <row r="279" spans="8:27"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</row>
    <row r="280" spans="8:27"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</row>
    <row r="281" spans="8:27"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</row>
  </sheetData>
  <pageMargins left="0.75" right="0.75" top="1" bottom="1" header="0.5" footer="0.5"/>
  <pageSetup orientation="portrait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DB154"/>
  <sheetViews>
    <sheetView tabSelected="1" topLeftCell="A35" zoomScale="65" zoomScaleNormal="65" workbookViewId="0">
      <selection activeCell="D74" sqref="D74"/>
    </sheetView>
  </sheetViews>
  <sheetFormatPr defaultColWidth="9" defaultRowHeight="12.5"/>
  <cols>
    <col min="2" max="2" width="21.36328125" customWidth="1"/>
    <col min="3" max="3" width="12.7265625" customWidth="1"/>
    <col min="4" max="5" width="22.08984375" customWidth="1"/>
    <col min="6" max="6" width="12" customWidth="1"/>
    <col min="7" max="7" width="13" customWidth="1"/>
    <col min="8" max="9" width="7.08984375" customWidth="1"/>
    <col min="10" max="10" width="10.6328125" customWidth="1"/>
    <col min="11" max="11" width="11.26953125" customWidth="1"/>
    <col min="12" max="12" width="15.6328125" customWidth="1"/>
    <col min="13" max="13" width="7.08984375" customWidth="1"/>
    <col min="14" max="14" width="17.81640625" customWidth="1"/>
    <col min="15" max="16" width="12.81640625" customWidth="1"/>
    <col min="17" max="18" width="7.08984375" customWidth="1"/>
    <col min="19" max="19" width="12.7265625" customWidth="1"/>
    <col min="20" max="20" width="8.6328125" customWidth="1"/>
    <col min="21" max="21" width="7.81640625" customWidth="1"/>
    <col min="22" max="24" width="7.08984375" customWidth="1"/>
    <col min="25" max="25" width="9.6328125" customWidth="1"/>
    <col min="26" max="26" width="17.81640625" customWidth="1"/>
    <col min="27" max="27" width="9.81640625" customWidth="1"/>
    <col min="28" max="32" width="7.08984375" customWidth="1"/>
    <col min="33" max="33" width="10.81640625" customWidth="1"/>
    <col min="34" max="34" width="11.08984375" customWidth="1"/>
    <col min="35" max="37" width="6" customWidth="1"/>
    <col min="38" max="39" width="15.6328125" customWidth="1"/>
    <col min="40" max="40" width="22.6328125" customWidth="1"/>
    <col min="41" max="41" width="13.6328125" customWidth="1"/>
    <col min="42" max="43" width="6" customWidth="1"/>
    <col min="44" max="44" width="8.36328125" customWidth="1"/>
    <col min="45" max="45" width="10.36328125" customWidth="1"/>
    <col min="46" max="49" width="6" customWidth="1"/>
    <col min="50" max="50" width="12.26953125" customWidth="1"/>
    <col min="51" max="51" width="13.6328125" customWidth="1"/>
  </cols>
  <sheetData>
    <row r="2" spans="2:19">
      <c r="B2" s="5" t="s">
        <v>39</v>
      </c>
      <c r="C2" s="5"/>
      <c r="D2" s="5"/>
      <c r="E2" s="5"/>
      <c r="K2" t="s">
        <v>40</v>
      </c>
      <c r="P2" t="s">
        <v>40</v>
      </c>
    </row>
    <row r="3" spans="2:19">
      <c r="B3" s="6" t="s">
        <v>41</v>
      </c>
      <c r="C3" s="6" t="s">
        <v>42</v>
      </c>
      <c r="D3" s="6" t="s">
        <v>43</v>
      </c>
      <c r="E3" s="6" t="s">
        <v>44</v>
      </c>
      <c r="K3" t="s">
        <v>45</v>
      </c>
      <c r="L3" t="s">
        <v>46</v>
      </c>
      <c r="M3" t="s">
        <v>47</v>
      </c>
      <c r="P3" t="s">
        <v>48</v>
      </c>
      <c r="Q3" t="s">
        <v>49</v>
      </c>
      <c r="R3" t="s">
        <v>50</v>
      </c>
      <c r="S3" t="s">
        <v>46</v>
      </c>
    </row>
    <row r="4" spans="2:19">
      <c r="B4" s="5" t="s">
        <v>51</v>
      </c>
      <c r="C4" s="5" t="s">
        <v>52</v>
      </c>
      <c r="D4" s="5" t="s">
        <v>53</v>
      </c>
      <c r="E4" s="5" t="s">
        <v>54</v>
      </c>
      <c r="K4" t="s">
        <v>55</v>
      </c>
      <c r="L4" t="s">
        <v>56</v>
      </c>
      <c r="M4" t="s">
        <v>57</v>
      </c>
      <c r="P4" t="s">
        <v>58</v>
      </c>
      <c r="Q4" t="s">
        <v>59</v>
      </c>
      <c r="R4" t="s">
        <v>60</v>
      </c>
      <c r="S4" t="s">
        <v>61</v>
      </c>
    </row>
    <row r="5" spans="2:19">
      <c r="B5" s="5" t="s">
        <v>51</v>
      </c>
      <c r="C5" s="5" t="s">
        <v>62</v>
      </c>
      <c r="D5" s="5" t="s">
        <v>53</v>
      </c>
      <c r="E5" s="5" t="s">
        <v>54</v>
      </c>
      <c r="K5" t="s">
        <v>63</v>
      </c>
      <c r="L5" t="s">
        <v>56</v>
      </c>
      <c r="M5" t="s">
        <v>64</v>
      </c>
    </row>
    <row r="6" spans="2:19">
      <c r="K6" t="s">
        <v>65</v>
      </c>
      <c r="L6" t="s">
        <v>56</v>
      </c>
      <c r="M6" t="s">
        <v>66</v>
      </c>
    </row>
    <row r="7" spans="2:19">
      <c r="K7" t="s">
        <v>67</v>
      </c>
      <c r="L7" t="s">
        <v>56</v>
      </c>
      <c r="M7" t="s">
        <v>68</v>
      </c>
    </row>
    <row r="8" spans="2:19">
      <c r="B8" t="s">
        <v>69</v>
      </c>
      <c r="K8" t="s">
        <v>70</v>
      </c>
      <c r="L8" t="s">
        <v>56</v>
      </c>
      <c r="M8" t="s">
        <v>59</v>
      </c>
    </row>
    <row r="9" spans="2:19">
      <c r="B9" t="s">
        <v>71</v>
      </c>
      <c r="C9" t="s">
        <v>72</v>
      </c>
      <c r="D9" t="s">
        <v>73</v>
      </c>
      <c r="E9" t="s">
        <v>74</v>
      </c>
      <c r="F9" t="s">
        <v>75</v>
      </c>
      <c r="G9" t="s">
        <v>76</v>
      </c>
      <c r="H9" t="s">
        <v>77</v>
      </c>
      <c r="K9" t="s">
        <v>78</v>
      </c>
      <c r="L9" t="s">
        <v>56</v>
      </c>
      <c r="M9" t="s">
        <v>68</v>
      </c>
    </row>
    <row r="10" spans="2:19">
      <c r="B10" t="s">
        <v>79</v>
      </c>
      <c r="C10" t="s">
        <v>80</v>
      </c>
      <c r="E10" t="s">
        <v>59</v>
      </c>
      <c r="F10">
        <v>0.25</v>
      </c>
      <c r="G10" t="s">
        <v>81</v>
      </c>
      <c r="K10" t="s">
        <v>80</v>
      </c>
      <c r="L10" t="s">
        <v>56</v>
      </c>
      <c r="M10" t="s">
        <v>59</v>
      </c>
    </row>
    <row r="11" spans="2:19">
      <c r="B11" t="s">
        <v>79</v>
      </c>
      <c r="C11" t="s">
        <v>80</v>
      </c>
      <c r="E11" t="s">
        <v>59</v>
      </c>
      <c r="F11">
        <v>3</v>
      </c>
      <c r="G11" t="s">
        <v>81</v>
      </c>
      <c r="H11">
        <v>0</v>
      </c>
    </row>
    <row r="12" spans="2:19">
      <c r="B12" t="s">
        <v>82</v>
      </c>
      <c r="D12" t="s">
        <v>83</v>
      </c>
      <c r="E12" t="s">
        <v>84</v>
      </c>
      <c r="F12">
        <v>0.93</v>
      </c>
      <c r="K12" t="s">
        <v>85</v>
      </c>
    </row>
    <row r="13" spans="2:19">
      <c r="B13" t="s">
        <v>86</v>
      </c>
      <c r="C13" t="s">
        <v>53</v>
      </c>
      <c r="F13">
        <v>25</v>
      </c>
      <c r="K13" t="s">
        <v>71</v>
      </c>
      <c r="L13" t="s">
        <v>75</v>
      </c>
      <c r="M13" t="s">
        <v>87</v>
      </c>
      <c r="N13" t="s">
        <v>88</v>
      </c>
    </row>
    <row r="14" spans="2:19">
      <c r="B14" t="s">
        <v>89</v>
      </c>
      <c r="C14" t="s">
        <v>53</v>
      </c>
      <c r="E14" s="31" t="s">
        <v>90</v>
      </c>
      <c r="F14">
        <v>2020</v>
      </c>
      <c r="K14" t="s">
        <v>91</v>
      </c>
      <c r="L14" t="s">
        <v>92</v>
      </c>
      <c r="M14" t="s">
        <v>93</v>
      </c>
      <c r="N14" t="s">
        <v>53</v>
      </c>
    </row>
    <row r="15" spans="2:19">
      <c r="K15" t="s">
        <v>91</v>
      </c>
      <c r="L15" t="s">
        <v>94</v>
      </c>
      <c r="M15" t="s">
        <v>93</v>
      </c>
      <c r="N15" t="s">
        <v>70</v>
      </c>
    </row>
    <row r="16" spans="2:19">
      <c r="B16" t="s">
        <v>95</v>
      </c>
    </row>
    <row r="17" spans="2:50">
      <c r="B17" t="s">
        <v>48</v>
      </c>
      <c r="C17">
        <v>2020</v>
      </c>
      <c r="D17">
        <v>0</v>
      </c>
      <c r="E17" t="s">
        <v>96</v>
      </c>
      <c r="F17" t="s">
        <v>47</v>
      </c>
      <c r="G17" t="s">
        <v>97</v>
      </c>
    </row>
    <row r="18" spans="2:50">
      <c r="B18" s="31" t="s">
        <v>90</v>
      </c>
      <c r="C18">
        <v>0.2</v>
      </c>
      <c r="D18">
        <v>3</v>
      </c>
      <c r="E18" s="31" t="s">
        <v>98</v>
      </c>
      <c r="F18" t="s">
        <v>53</v>
      </c>
      <c r="G18" t="s">
        <v>99</v>
      </c>
    </row>
    <row r="21" spans="2:50">
      <c r="C21" t="s">
        <v>69</v>
      </c>
    </row>
    <row r="22" spans="2:50">
      <c r="C22" t="s">
        <v>71</v>
      </c>
      <c r="D22" t="str">
        <f>IF(RoadTra_BY!L$1="","\I:",RoadTra_BY!L$1)</f>
        <v>valfield</v>
      </c>
      <c r="E22" t="str">
        <f>IF(RoadTra_BY!M$1="","\I:",RoadTra_BY!M$1)</f>
        <v>\I:</v>
      </c>
      <c r="F22" t="str">
        <f>IF(RoadTra_BY!N$1="","\I:",RoadTra_BY!N$1)</f>
        <v>\I:</v>
      </c>
      <c r="G22" t="str">
        <f>IF(RoadTra_BY!O$1="","\I:",RoadTra_BY!O$1)</f>
        <v>\I:</v>
      </c>
      <c r="H22" t="str">
        <f>IF(RoadTra_BY!P$1="","\I:",RoadTra_BY!P$1)</f>
        <v>\I:</v>
      </c>
      <c r="I22" t="str">
        <f>IF(RoadTra_BY!Q$1="","\I:",RoadTra_BY!Q$1)</f>
        <v>\I:</v>
      </c>
      <c r="J22" t="str">
        <f>IF(RoadTra_BY!R$1="","\I:",RoadTra_BY!R$1)</f>
        <v>\I:</v>
      </c>
      <c r="K22" t="str">
        <f>IF(RoadTra_BY!S$1="","\I:",RoadTra_BY!S$1)</f>
        <v>\I:</v>
      </c>
      <c r="L22" t="str">
        <f>IF(RoadTra_BY!T$1="","\I:",RoadTra_BY!T$1)</f>
        <v>\I:</v>
      </c>
      <c r="M22" t="str">
        <f>IF(RoadTra_BY!U$1="","\I:",RoadTra_BY!U$1)</f>
        <v>\I:</v>
      </c>
      <c r="N22" t="str">
        <f>IF(RoadTra_BY!V$1="","\I:",RoadTra_BY!V$1)</f>
        <v>\I:</v>
      </c>
      <c r="O22" t="str">
        <f>IF(RoadTra_BY!W$1="","\I:",RoadTra_BY!W$1)</f>
        <v>\I:</v>
      </c>
      <c r="P22" t="str">
        <f>IF(RoadTra_BY!X$1="","\I:",RoadTra_BY!X$1)</f>
        <v>\I:</v>
      </c>
      <c r="Q22" t="str">
        <f>IF(RoadTra_BY!Y$1="","\I:",RoadTra_BY!Y$1)</f>
        <v>\I:</v>
      </c>
      <c r="R22" t="str">
        <f>IF(RoadTra_BY!Z$1="","\I:",RoadTra_BY!Z$1)</f>
        <v>\I:</v>
      </c>
      <c r="S22" t="str">
        <f>IF(RoadTra_BY!AA$1="","\I:",RoadTra_BY!AA$1)</f>
        <v>\I:</v>
      </c>
      <c r="T22" t="str">
        <f>IF(RoadTra_BY!AB$1="","\I:",RoadTra_BY!AB$1)</f>
        <v>\I:</v>
      </c>
      <c r="U22" t="str">
        <f>IF(RoadTra_BY!AC$1="","\I:",RoadTra_BY!AC$1)</f>
        <v>\I:</v>
      </c>
      <c r="V22" t="str">
        <f>IF(RoadTra_BY!AD$1="","\I:",RoadTra_BY!AD$1)</f>
        <v>\I:</v>
      </c>
      <c r="W22" t="str">
        <f>IF(RoadTra_BY!AE$1="","\I:",RoadTra_BY!AE$1)</f>
        <v>\I:</v>
      </c>
      <c r="X22" t="str">
        <f>IF(RoadTra_BY!AF$1="","\I:",RoadTra_BY!AF$1)</f>
        <v>\I:</v>
      </c>
      <c r="Y22" t="str">
        <f>IF(RoadTra_BY!AG$1="","\I:",RoadTra_BY!AG$1)</f>
        <v>\I:</v>
      </c>
      <c r="Z22" t="str">
        <f>IF(RoadTra_BY!AH$1="","\I:",RoadTra_BY!AH$1)</f>
        <v>\I:</v>
      </c>
      <c r="AA22" t="str">
        <f>IF(RoadTra_BY!AI$1="","\I:",RoadTra_BY!AI$1)</f>
        <v>\I:</v>
      </c>
      <c r="AB22" t="str">
        <f>IF(RoadTra_BY!AJ$1="","\I:",RoadTra_BY!AJ$1)</f>
        <v>\I:</v>
      </c>
      <c r="AC22" t="str">
        <f>IF(RoadTra_BY!AK$1="","\I:",RoadTra_BY!AK$1)</f>
        <v>\I:</v>
      </c>
      <c r="AD22" t="str">
        <f>IF(RoadTra_BY!AL$1="","\I:",RoadTra_BY!AL$1)</f>
        <v>\I:</v>
      </c>
      <c r="AE22" t="str">
        <f>IF(RoadTra_BY!AM$1="","\I:",RoadTra_BY!AM$1)</f>
        <v>\I:</v>
      </c>
      <c r="AF22" t="str">
        <f>IF(RoadTra_BY!AN$1="","\I:",RoadTra_BY!AN$1)</f>
        <v>\I:</v>
      </c>
      <c r="AG22" t="str">
        <f>IF(RoadTra_BY!AO$1="","\I:",RoadTra_BY!AO$1)</f>
        <v>\I:</v>
      </c>
      <c r="AH22" t="str">
        <f>IF(RoadTra_BY!AP$1="","\I:",RoadTra_BY!AP$1)</f>
        <v>\I:</v>
      </c>
      <c r="AI22" t="str">
        <f>IF(RoadTra_BY!AQ$1="","\I:",RoadTra_BY!AQ$1)</f>
        <v>\I:</v>
      </c>
      <c r="AJ22" t="str">
        <f>IF(RoadTra_BY!AR$1="","\I:",RoadTra_BY!AR$1)</f>
        <v>\I:</v>
      </c>
      <c r="AK22" t="str">
        <f>IF(RoadTra_BY!AS$1="","\I:",RoadTra_BY!AS$1)</f>
        <v>\I:</v>
      </c>
      <c r="AL22" t="str">
        <f>IF(RoadTra_BY!AT$1="","\I:",RoadTra_BY!AT$1)</f>
        <v>\I:</v>
      </c>
      <c r="AM22" t="str">
        <f>IF(RoadTra_BY!AU$1="","\I:",RoadTra_BY!AU$1)</f>
        <v>\I:</v>
      </c>
      <c r="AN22" t="str">
        <f>IF(RoadTra_BY!AV$1="","\I:",RoadTra_BY!AV$1)</f>
        <v>\I:</v>
      </c>
      <c r="AO22" t="str">
        <f>IF(RoadTra_BY!AW$1="","\I:",RoadTra_BY!AW$1)</f>
        <v>\I:</v>
      </c>
      <c r="AP22" t="str">
        <f>IF(RoadTra_BY!AX$1="","\I:",RoadTra_BY!AX$1)</f>
        <v>\I:</v>
      </c>
      <c r="AQ22" t="str">
        <f>IF(RoadTra_BY!AY$1="","\I:",RoadTra_BY!AY$1)</f>
        <v>\I:</v>
      </c>
      <c r="AR22" t="str">
        <f>IF(RoadTra_BY!AZ$1="","\I:",RoadTra_BY!AZ$1)</f>
        <v>\I:</v>
      </c>
      <c r="AS22" t="str">
        <f>IF(RoadTra_BY!BA$1="","\I:",RoadTra_BY!BA$1)</f>
        <v>\I:</v>
      </c>
      <c r="AT22" t="str">
        <f>IF(RoadTra_BY!BB$1="","\I:",RoadTra_BY!BB$1)</f>
        <v>\I:</v>
      </c>
      <c r="AU22" t="str">
        <f>IF(RoadTra_BY!BC$1="","\I:",RoadTra_BY!BC$1)</f>
        <v>\I:</v>
      </c>
      <c r="AV22" t="str">
        <f>IF(RoadTra_BY!BD$1="","\I:",RoadTra_BY!BD$1)</f>
        <v>\I:</v>
      </c>
      <c r="AW22" t="str">
        <f>IF(RoadTra_BY!BE$1="","\I:",RoadTra_BY!BE$1)</f>
        <v>\I:</v>
      </c>
      <c r="AX22" t="s">
        <v>45</v>
      </c>
    </row>
    <row r="23" spans="2:50">
      <c r="C23" t="s">
        <v>52</v>
      </c>
      <c r="D23" s="7" t="e">
        <f ca="1">AVERAGEIFS(RoadTra_BY!L$2:L$999,RoadTra_BY!$B$2:$B$999,'Road transport'!$C23,RoadTra_BY!$C$2:$C$999,'Road transport'!$AX23)</f>
        <v>#DIV/0!</v>
      </c>
      <c r="E23" s="7" t="e">
        <f ca="1">AVERAGEIFS(RoadTra_BY!M$2:M$999,RoadTra_BY!$B$2:$B$999,'Road transport'!$C23,RoadTra_BY!$C$2:$C$999,'Road transport'!$AX23)</f>
        <v>#DIV/0!</v>
      </c>
      <c r="F23" s="7" t="e">
        <f ca="1">AVERAGEIFS(RoadTra_BY!N$2:N$999,RoadTra_BY!$B$2:$B$999,'Road transport'!$C23,RoadTra_BY!$C$2:$C$999,'Road transport'!$AX23)</f>
        <v>#DIV/0!</v>
      </c>
      <c r="G23" s="7" t="e">
        <f ca="1">AVERAGEIFS(RoadTra_BY!O$2:O$999,RoadTra_BY!$B$2:$B$999,'Road transport'!$C23,RoadTra_BY!$C$2:$C$999,'Road transport'!$AX23)</f>
        <v>#DIV/0!</v>
      </c>
      <c r="H23" s="7" t="e">
        <f ca="1">AVERAGEIFS(RoadTra_BY!P$2:P$999,RoadTra_BY!$B$2:$B$999,'Road transport'!$C23,RoadTra_BY!$C$2:$C$999,'Road transport'!$AX23)</f>
        <v>#DIV/0!</v>
      </c>
      <c r="I23" s="7" t="e">
        <f ca="1">AVERAGEIFS(RoadTra_BY!Q$2:Q$999,RoadTra_BY!$B$2:$B$999,'Road transport'!$C23,RoadTra_BY!$C$2:$C$999,'Road transport'!$AX23)</f>
        <v>#DIV/0!</v>
      </c>
      <c r="J23" s="7" t="e">
        <f ca="1">AVERAGEIFS(RoadTra_BY!R$2:R$999,RoadTra_BY!$B$2:$B$999,'Road transport'!$C23,RoadTra_BY!$C$2:$C$999,'Road transport'!$AX23)</f>
        <v>#DIV/0!</v>
      </c>
      <c r="K23" s="7" t="e">
        <f ca="1">AVERAGEIFS(RoadTra_BY!S$2:S$999,RoadTra_BY!$B$2:$B$999,'Road transport'!$C23,RoadTra_BY!$C$2:$C$999,'Road transport'!$AX23)</f>
        <v>#DIV/0!</v>
      </c>
      <c r="L23" s="7" t="e">
        <f ca="1">AVERAGEIFS(RoadTra_BY!T$2:T$999,RoadTra_BY!$B$2:$B$999,'Road transport'!$C23,RoadTra_BY!$C$2:$C$999,'Road transport'!$AX23)</f>
        <v>#DIV/0!</v>
      </c>
      <c r="M23" s="7" t="e">
        <f ca="1">AVERAGEIFS(RoadTra_BY!U$2:U$999,RoadTra_BY!$B$2:$B$999,'Road transport'!$C23,RoadTra_BY!$C$2:$C$999,'Road transport'!$AX23)</f>
        <v>#DIV/0!</v>
      </c>
      <c r="N23" s="7" t="e">
        <f ca="1">AVERAGEIFS(RoadTra_BY!V$2:V$999,RoadTra_BY!$B$2:$B$999,'Road transport'!$C23,RoadTra_BY!$C$2:$C$999,'Road transport'!$AX23)</f>
        <v>#DIV/0!</v>
      </c>
      <c r="O23" s="7" t="e">
        <f ca="1">AVERAGEIFS(RoadTra_BY!W$2:W$999,RoadTra_BY!$B$2:$B$999,'Road transport'!$C23,RoadTra_BY!$C$2:$C$999,'Road transport'!$AX23)</f>
        <v>#DIV/0!</v>
      </c>
      <c r="P23" s="7" t="e">
        <f ca="1">AVERAGEIFS(RoadTra_BY!X$2:X$999,RoadTra_BY!$B$2:$B$999,'Road transport'!$C23,RoadTra_BY!$C$2:$C$999,'Road transport'!$AX23)</f>
        <v>#DIV/0!</v>
      </c>
      <c r="Q23" s="7" t="e">
        <f ca="1">AVERAGEIFS(RoadTra_BY!Y$2:Y$999,RoadTra_BY!$B$2:$B$999,'Road transport'!$C23,RoadTra_BY!$C$2:$C$999,'Road transport'!$AX23)</f>
        <v>#DIV/0!</v>
      </c>
      <c r="R23" s="7" t="e">
        <f ca="1">AVERAGEIFS(RoadTra_BY!Z$2:Z$999,RoadTra_BY!$B$2:$B$999,'Road transport'!$C23,RoadTra_BY!$C$2:$C$999,'Road transport'!$AX23)</f>
        <v>#DIV/0!</v>
      </c>
      <c r="S23" s="7" t="e">
        <f ca="1">AVERAGEIFS(RoadTra_BY!AA$2:AA$999,RoadTra_BY!$B$2:$B$999,'Road transport'!$C23,RoadTra_BY!$C$2:$C$999,'Road transport'!$AX23)</f>
        <v>#DIV/0!</v>
      </c>
      <c r="T23" s="7" t="e">
        <f ca="1">AVERAGEIFS(RoadTra_BY!AB$2:AB$999,RoadTra_BY!$B$2:$B$999,'Road transport'!$C23,RoadTra_BY!$C$2:$C$999,'Road transport'!$AX23)</f>
        <v>#DIV/0!</v>
      </c>
      <c r="U23" s="7" t="e">
        <f ca="1">AVERAGEIFS(RoadTra_BY!AC$2:AC$999,RoadTra_BY!$B$2:$B$999,'Road transport'!$C23,RoadTra_BY!$C$2:$C$999,'Road transport'!$AX23)</f>
        <v>#DIV/0!</v>
      </c>
      <c r="V23" s="7" t="e">
        <f ca="1">AVERAGEIFS(RoadTra_BY!AD$2:AD$999,RoadTra_BY!$B$2:$B$999,'Road transport'!$C23,RoadTra_BY!$C$2:$C$999,'Road transport'!$AX23)</f>
        <v>#DIV/0!</v>
      </c>
      <c r="W23" s="7" t="e">
        <f ca="1">AVERAGEIFS(RoadTra_BY!AE$2:AE$999,RoadTra_BY!$B$2:$B$999,'Road transport'!$C23,RoadTra_BY!$C$2:$C$999,'Road transport'!$AX23)</f>
        <v>#DIV/0!</v>
      </c>
      <c r="X23" s="7" t="e">
        <f ca="1">AVERAGEIFS(RoadTra_BY!AF$2:AF$999,RoadTra_BY!$B$2:$B$999,'Road transport'!$C23,RoadTra_BY!$C$2:$C$999,'Road transport'!$AX23)</f>
        <v>#DIV/0!</v>
      </c>
      <c r="Y23" s="7" t="e">
        <f ca="1">AVERAGEIFS(RoadTra_BY!AG$2:AG$999,RoadTra_BY!$B$2:$B$999,'Road transport'!$C23,RoadTra_BY!$C$2:$C$999,'Road transport'!$AX23)</f>
        <v>#DIV/0!</v>
      </c>
      <c r="Z23" s="7" t="e">
        <f ca="1">AVERAGEIFS(RoadTra_BY!AH$2:AH$999,RoadTra_BY!$B$2:$B$999,'Road transport'!$C23,RoadTra_BY!$C$2:$C$999,'Road transport'!$AX23)</f>
        <v>#DIV/0!</v>
      </c>
      <c r="AA23" s="7" t="e">
        <f ca="1">AVERAGEIFS(RoadTra_BY!AI$2:AI$999,RoadTra_BY!$B$2:$B$999,'Road transport'!$C23,RoadTra_BY!$C$2:$C$999,'Road transport'!$AX23)</f>
        <v>#DIV/0!</v>
      </c>
      <c r="AB23" s="7" t="e">
        <f ca="1">AVERAGEIFS(RoadTra_BY!AJ$2:AJ$999,RoadTra_BY!$B$2:$B$999,'Road transport'!$C23,RoadTra_BY!$C$2:$C$999,'Road transport'!$AX23)</f>
        <v>#DIV/0!</v>
      </c>
      <c r="AC23" s="7" t="e">
        <f ca="1">AVERAGEIFS(RoadTra_BY!AK$2:AK$999,RoadTra_BY!$B$2:$B$999,'Road transport'!$C23,RoadTra_BY!$C$2:$C$999,'Road transport'!$AX23)</f>
        <v>#DIV/0!</v>
      </c>
      <c r="AD23" s="7" t="e">
        <f ca="1">AVERAGEIFS(RoadTra_BY!AL$2:AL$999,RoadTra_BY!$B$2:$B$999,'Road transport'!$C23,RoadTra_BY!$C$2:$C$999,'Road transport'!$AX23)</f>
        <v>#DIV/0!</v>
      </c>
      <c r="AE23" s="7" t="e">
        <f ca="1">AVERAGEIFS(RoadTra_BY!AM$2:AM$999,RoadTra_BY!$B$2:$B$999,'Road transport'!$C23,RoadTra_BY!$C$2:$C$999,'Road transport'!$AX23)</f>
        <v>#DIV/0!</v>
      </c>
      <c r="AF23" s="7" t="e">
        <f ca="1">AVERAGEIFS(RoadTra_BY!AN$2:AN$999,RoadTra_BY!$B$2:$B$999,'Road transport'!$C23,RoadTra_BY!$C$2:$C$999,'Road transport'!$AX23)</f>
        <v>#DIV/0!</v>
      </c>
      <c r="AG23" s="7" t="e">
        <f ca="1">AVERAGEIFS(RoadTra_BY!AO$2:AO$999,RoadTra_BY!$B$2:$B$999,'Road transport'!$C23,RoadTra_BY!$C$2:$C$999,'Road transport'!$AX23)</f>
        <v>#DIV/0!</v>
      </c>
      <c r="AH23" s="7" t="e">
        <f ca="1">AVERAGEIFS(RoadTra_BY!AP$2:AP$999,RoadTra_BY!$B$2:$B$999,'Road transport'!$C23,RoadTra_BY!$C$2:$C$999,'Road transport'!$AX23)</f>
        <v>#DIV/0!</v>
      </c>
      <c r="AI23" s="7" t="e">
        <f ca="1">AVERAGEIFS(RoadTra_BY!AQ$2:AQ$999,RoadTra_BY!$B$2:$B$999,'Road transport'!$C23,RoadTra_BY!$C$2:$C$999,'Road transport'!$AX23)</f>
        <v>#DIV/0!</v>
      </c>
      <c r="AJ23" s="7" t="e">
        <f ca="1">AVERAGEIFS(RoadTra_BY!AR$2:AR$999,RoadTra_BY!$B$2:$B$999,'Road transport'!$C23,RoadTra_BY!$C$2:$C$999,'Road transport'!$AX23)</f>
        <v>#DIV/0!</v>
      </c>
      <c r="AK23" s="7" t="e">
        <f ca="1">AVERAGEIFS(RoadTra_BY!AS$2:AS$999,RoadTra_BY!$B$2:$B$999,'Road transport'!$C23,RoadTra_BY!$C$2:$C$999,'Road transport'!$AX23)</f>
        <v>#DIV/0!</v>
      </c>
      <c r="AL23" s="7" t="e">
        <f ca="1">AVERAGEIFS(RoadTra_BY!AT$2:AT$999,RoadTra_BY!$B$2:$B$999,'Road transport'!$C23,RoadTra_BY!$C$2:$C$999,'Road transport'!$AX23)</f>
        <v>#DIV/0!</v>
      </c>
      <c r="AM23" s="7" t="e">
        <f ca="1">AVERAGEIFS(RoadTra_BY!AU$2:AU$999,RoadTra_BY!$B$2:$B$999,'Road transport'!$C23,RoadTra_BY!$C$2:$C$999,'Road transport'!$AX23)</f>
        <v>#DIV/0!</v>
      </c>
      <c r="AN23" s="7" t="e">
        <f ca="1">AVERAGEIFS(RoadTra_BY!AV$2:AV$999,RoadTra_BY!$B$2:$B$999,'Road transport'!$C23,RoadTra_BY!$C$2:$C$999,'Road transport'!$AX23)</f>
        <v>#DIV/0!</v>
      </c>
      <c r="AO23" s="7" t="e">
        <f ca="1">AVERAGEIFS(RoadTra_BY!AW$2:AW$999,RoadTra_BY!$B$2:$B$999,'Road transport'!$C23,RoadTra_BY!$C$2:$C$999,'Road transport'!$AX23)</f>
        <v>#DIV/0!</v>
      </c>
      <c r="AP23" s="7" t="e">
        <f ca="1">AVERAGEIFS(RoadTra_BY!AX$2:AX$999,RoadTra_BY!$B$2:$B$999,'Road transport'!$C23,RoadTra_BY!$C$2:$C$999,'Road transport'!$AX23)</f>
        <v>#DIV/0!</v>
      </c>
      <c r="AQ23" s="7" t="e">
        <f ca="1">AVERAGEIFS(RoadTra_BY!AY$2:AY$999,RoadTra_BY!$B$2:$B$999,'Road transport'!$C23,RoadTra_BY!$C$2:$C$999,'Road transport'!$AX23)</f>
        <v>#DIV/0!</v>
      </c>
      <c r="AR23" s="7" t="e">
        <f ca="1">AVERAGEIFS(RoadTra_BY!AZ$2:AZ$999,RoadTra_BY!$B$2:$B$999,'Road transport'!$C23,RoadTra_BY!$C$2:$C$999,'Road transport'!$AX23)</f>
        <v>#DIV/0!</v>
      </c>
      <c r="AS23" s="7" t="e">
        <f ca="1">AVERAGEIFS(RoadTra_BY!BA$2:BA$999,RoadTra_BY!$B$2:$B$999,'Road transport'!$C23,RoadTra_BY!$C$2:$C$999,'Road transport'!$AX23)</f>
        <v>#DIV/0!</v>
      </c>
      <c r="AT23" s="7" t="e">
        <f ca="1">AVERAGEIFS(RoadTra_BY!BB$2:BB$999,RoadTra_BY!$B$2:$B$999,'Road transport'!$C23,RoadTra_BY!$C$2:$C$999,'Road transport'!$AX23)</f>
        <v>#DIV/0!</v>
      </c>
      <c r="AU23" s="7" t="e">
        <f ca="1">AVERAGEIFS(RoadTra_BY!BC$2:BC$999,RoadTra_BY!$B$2:$B$999,'Road transport'!$C23,RoadTra_BY!$C$2:$C$999,'Road transport'!$AX23)</f>
        <v>#DIV/0!</v>
      </c>
      <c r="AV23" s="7" t="e">
        <f ca="1">AVERAGEIFS(RoadTra_BY!BD$2:BD$999,RoadTra_BY!$B$2:$B$999,'Road transport'!$C23,RoadTra_BY!$C$2:$C$999,'Road transport'!$AX23)</f>
        <v>#DIV/0!</v>
      </c>
      <c r="AW23" s="7" t="e">
        <f ca="1">AVERAGEIFS(RoadTra_BY!BE$2:BE$999,RoadTra_BY!$B$2:$B$999,'Road transport'!$C23,RoadTra_BY!$C$2:$C$999,'Road transport'!$AX23)</f>
        <v>#DIV/0!</v>
      </c>
      <c r="AX23" t="s">
        <v>100</v>
      </c>
    </row>
    <row r="24" spans="2:50">
      <c r="C24" t="s">
        <v>52</v>
      </c>
      <c r="D24" s="7" t="e">
        <f ca="1">AVERAGEIFS(RoadTra_BY!L$2:L$999,RoadTra_BY!$B$2:$B$999,'Road transport'!$C24,RoadTra_BY!$C$2:$C$999,'Road transport'!$AX24)</f>
        <v>#DIV/0!</v>
      </c>
      <c r="E24" s="7" t="e">
        <f ca="1">AVERAGEIFS(RoadTra_BY!M$2:M$999,RoadTra_BY!$B$2:$B$999,'Road transport'!$C24,RoadTra_BY!$C$2:$C$999,'Road transport'!$AX24)</f>
        <v>#DIV/0!</v>
      </c>
      <c r="F24" s="7" t="e">
        <f ca="1">AVERAGEIFS(RoadTra_BY!N$2:N$999,RoadTra_BY!$B$2:$B$999,'Road transport'!$C24,RoadTra_BY!$C$2:$C$999,'Road transport'!$AX24)</f>
        <v>#DIV/0!</v>
      </c>
      <c r="G24" s="7" t="e">
        <f ca="1">AVERAGEIFS(RoadTra_BY!O$2:O$999,RoadTra_BY!$B$2:$B$999,'Road transport'!$C24,RoadTra_BY!$C$2:$C$999,'Road transport'!$AX24)</f>
        <v>#DIV/0!</v>
      </c>
      <c r="H24" s="7" t="e">
        <f ca="1">AVERAGEIFS(RoadTra_BY!P$2:P$999,RoadTra_BY!$B$2:$B$999,'Road transport'!$C24,RoadTra_BY!$C$2:$C$999,'Road transport'!$AX24)</f>
        <v>#DIV/0!</v>
      </c>
      <c r="I24" s="7" t="e">
        <f ca="1">AVERAGEIFS(RoadTra_BY!Q$2:Q$999,RoadTra_BY!$B$2:$B$999,'Road transport'!$C24,RoadTra_BY!$C$2:$C$999,'Road transport'!$AX24)</f>
        <v>#DIV/0!</v>
      </c>
      <c r="J24" s="7" t="e">
        <f ca="1">AVERAGEIFS(RoadTra_BY!R$2:R$999,RoadTra_BY!$B$2:$B$999,'Road transport'!$C24,RoadTra_BY!$C$2:$C$999,'Road transport'!$AX24)</f>
        <v>#DIV/0!</v>
      </c>
      <c r="K24" s="7" t="e">
        <f ca="1">AVERAGEIFS(RoadTra_BY!S$2:S$999,RoadTra_BY!$B$2:$B$999,'Road transport'!$C24,RoadTra_BY!$C$2:$C$999,'Road transport'!$AX24)</f>
        <v>#DIV/0!</v>
      </c>
      <c r="L24" s="7" t="e">
        <f ca="1">AVERAGEIFS(RoadTra_BY!T$2:T$999,RoadTra_BY!$B$2:$B$999,'Road transport'!$C24,RoadTra_BY!$C$2:$C$999,'Road transport'!$AX24)</f>
        <v>#DIV/0!</v>
      </c>
      <c r="M24" s="7" t="e">
        <f ca="1">AVERAGEIFS(RoadTra_BY!U$2:U$999,RoadTra_BY!$B$2:$B$999,'Road transport'!$C24,RoadTra_BY!$C$2:$C$999,'Road transport'!$AX24)</f>
        <v>#DIV/0!</v>
      </c>
      <c r="N24" s="7" t="e">
        <f ca="1">AVERAGEIFS(RoadTra_BY!V$2:V$999,RoadTra_BY!$B$2:$B$999,'Road transport'!$C24,RoadTra_BY!$C$2:$C$999,'Road transport'!$AX24)</f>
        <v>#DIV/0!</v>
      </c>
      <c r="O24" s="7" t="e">
        <f ca="1">AVERAGEIFS(RoadTra_BY!W$2:W$999,RoadTra_BY!$B$2:$B$999,'Road transport'!$C24,RoadTra_BY!$C$2:$C$999,'Road transport'!$AX24)</f>
        <v>#DIV/0!</v>
      </c>
      <c r="P24" s="7" t="e">
        <f ca="1">AVERAGEIFS(RoadTra_BY!X$2:X$999,RoadTra_BY!$B$2:$B$999,'Road transport'!$C24,RoadTra_BY!$C$2:$C$999,'Road transport'!$AX24)</f>
        <v>#DIV/0!</v>
      </c>
      <c r="Q24" s="7" t="e">
        <f ca="1">AVERAGEIFS(RoadTra_BY!Y$2:Y$999,RoadTra_BY!$B$2:$B$999,'Road transport'!$C24,RoadTra_BY!$C$2:$C$999,'Road transport'!$AX24)</f>
        <v>#DIV/0!</v>
      </c>
      <c r="R24" s="7" t="e">
        <f ca="1">AVERAGEIFS(RoadTra_BY!Z$2:Z$999,RoadTra_BY!$B$2:$B$999,'Road transport'!$C24,RoadTra_BY!$C$2:$C$999,'Road transport'!$AX24)</f>
        <v>#DIV/0!</v>
      </c>
      <c r="S24" s="7" t="e">
        <f ca="1">AVERAGEIFS(RoadTra_BY!AA$2:AA$999,RoadTra_BY!$B$2:$B$999,'Road transport'!$C24,RoadTra_BY!$C$2:$C$999,'Road transport'!$AX24)</f>
        <v>#DIV/0!</v>
      </c>
      <c r="T24" s="7" t="e">
        <f ca="1">AVERAGEIFS(RoadTra_BY!AB$2:AB$999,RoadTra_BY!$B$2:$B$999,'Road transport'!$C24,RoadTra_BY!$C$2:$C$999,'Road transport'!$AX24)</f>
        <v>#DIV/0!</v>
      </c>
      <c r="U24" s="7" t="e">
        <f ca="1">AVERAGEIFS(RoadTra_BY!AC$2:AC$999,RoadTra_BY!$B$2:$B$999,'Road transport'!$C24,RoadTra_BY!$C$2:$C$999,'Road transport'!$AX24)</f>
        <v>#DIV/0!</v>
      </c>
      <c r="V24" s="7" t="e">
        <f ca="1">AVERAGEIFS(RoadTra_BY!AD$2:AD$999,RoadTra_BY!$B$2:$B$999,'Road transport'!$C24,RoadTra_BY!$C$2:$C$999,'Road transport'!$AX24)</f>
        <v>#DIV/0!</v>
      </c>
      <c r="W24" s="7" t="e">
        <f ca="1">AVERAGEIFS(RoadTra_BY!AE$2:AE$999,RoadTra_BY!$B$2:$B$999,'Road transport'!$C24,RoadTra_BY!$C$2:$C$999,'Road transport'!$AX24)</f>
        <v>#DIV/0!</v>
      </c>
      <c r="X24" s="7" t="e">
        <f ca="1">AVERAGEIFS(RoadTra_BY!AF$2:AF$999,RoadTra_BY!$B$2:$B$999,'Road transport'!$C24,RoadTra_BY!$C$2:$C$999,'Road transport'!$AX24)</f>
        <v>#DIV/0!</v>
      </c>
      <c r="Y24" s="7" t="e">
        <f ca="1">AVERAGEIFS(RoadTra_BY!AG$2:AG$999,RoadTra_BY!$B$2:$B$999,'Road transport'!$C24,RoadTra_BY!$C$2:$C$999,'Road transport'!$AX24)</f>
        <v>#DIV/0!</v>
      </c>
      <c r="Z24" s="7" t="e">
        <f ca="1">AVERAGEIFS(RoadTra_BY!AH$2:AH$999,RoadTra_BY!$B$2:$B$999,'Road transport'!$C24,RoadTra_BY!$C$2:$C$999,'Road transport'!$AX24)</f>
        <v>#DIV/0!</v>
      </c>
      <c r="AA24" s="7" t="e">
        <f ca="1">AVERAGEIFS(RoadTra_BY!AI$2:AI$999,RoadTra_BY!$B$2:$B$999,'Road transport'!$C24,RoadTra_BY!$C$2:$C$999,'Road transport'!$AX24)</f>
        <v>#DIV/0!</v>
      </c>
      <c r="AB24" s="7" t="e">
        <f ca="1">AVERAGEIFS(RoadTra_BY!AJ$2:AJ$999,RoadTra_BY!$B$2:$B$999,'Road transport'!$C24,RoadTra_BY!$C$2:$C$999,'Road transport'!$AX24)</f>
        <v>#DIV/0!</v>
      </c>
      <c r="AC24" s="7" t="e">
        <f ca="1">AVERAGEIFS(RoadTra_BY!AK$2:AK$999,RoadTra_BY!$B$2:$B$999,'Road transport'!$C24,RoadTra_BY!$C$2:$C$999,'Road transport'!$AX24)</f>
        <v>#DIV/0!</v>
      </c>
      <c r="AD24" s="7" t="e">
        <f ca="1">AVERAGEIFS(RoadTra_BY!AL$2:AL$999,RoadTra_BY!$B$2:$B$999,'Road transport'!$C24,RoadTra_BY!$C$2:$C$999,'Road transport'!$AX24)</f>
        <v>#DIV/0!</v>
      </c>
      <c r="AE24" s="7" t="e">
        <f ca="1">AVERAGEIFS(RoadTra_BY!AM$2:AM$999,RoadTra_BY!$B$2:$B$999,'Road transport'!$C24,RoadTra_BY!$C$2:$C$999,'Road transport'!$AX24)</f>
        <v>#DIV/0!</v>
      </c>
      <c r="AF24" s="7" t="e">
        <f ca="1">AVERAGEIFS(RoadTra_BY!AN$2:AN$999,RoadTra_BY!$B$2:$B$999,'Road transport'!$C24,RoadTra_BY!$C$2:$C$999,'Road transport'!$AX24)</f>
        <v>#DIV/0!</v>
      </c>
      <c r="AG24" s="7" t="e">
        <f ca="1">AVERAGEIFS(RoadTra_BY!AO$2:AO$999,RoadTra_BY!$B$2:$B$999,'Road transport'!$C24,RoadTra_BY!$C$2:$C$999,'Road transport'!$AX24)</f>
        <v>#DIV/0!</v>
      </c>
      <c r="AH24" s="7" t="e">
        <f ca="1">AVERAGEIFS(RoadTra_BY!AP$2:AP$999,RoadTra_BY!$B$2:$B$999,'Road transport'!$C24,RoadTra_BY!$C$2:$C$999,'Road transport'!$AX24)</f>
        <v>#DIV/0!</v>
      </c>
      <c r="AI24" s="7" t="e">
        <f ca="1">AVERAGEIFS(RoadTra_BY!AQ$2:AQ$999,RoadTra_BY!$B$2:$B$999,'Road transport'!$C24,RoadTra_BY!$C$2:$C$999,'Road transport'!$AX24)</f>
        <v>#DIV/0!</v>
      </c>
      <c r="AJ24" s="7" t="e">
        <f ca="1">AVERAGEIFS(RoadTra_BY!AR$2:AR$999,RoadTra_BY!$B$2:$B$999,'Road transport'!$C24,RoadTra_BY!$C$2:$C$999,'Road transport'!$AX24)</f>
        <v>#DIV/0!</v>
      </c>
      <c r="AK24" s="7" t="e">
        <f ca="1">AVERAGEIFS(RoadTra_BY!AS$2:AS$999,RoadTra_BY!$B$2:$B$999,'Road transport'!$C24,RoadTra_BY!$C$2:$C$999,'Road transport'!$AX24)</f>
        <v>#DIV/0!</v>
      </c>
      <c r="AL24" s="7" t="e">
        <f ca="1">AVERAGEIFS(RoadTra_BY!AT$2:AT$999,RoadTra_BY!$B$2:$B$999,'Road transport'!$C24,RoadTra_BY!$C$2:$C$999,'Road transport'!$AX24)</f>
        <v>#DIV/0!</v>
      </c>
      <c r="AM24" s="7" t="e">
        <f ca="1">AVERAGEIFS(RoadTra_BY!AU$2:AU$999,RoadTra_BY!$B$2:$B$999,'Road transport'!$C24,RoadTra_BY!$C$2:$C$999,'Road transport'!$AX24)</f>
        <v>#DIV/0!</v>
      </c>
      <c r="AN24" s="7" t="e">
        <f ca="1">AVERAGEIFS(RoadTra_BY!AV$2:AV$999,RoadTra_BY!$B$2:$B$999,'Road transport'!$C24,RoadTra_BY!$C$2:$C$999,'Road transport'!$AX24)</f>
        <v>#DIV/0!</v>
      </c>
      <c r="AO24" s="7" t="e">
        <f ca="1">AVERAGEIFS(RoadTra_BY!AW$2:AW$999,RoadTra_BY!$B$2:$B$999,'Road transport'!$C24,RoadTra_BY!$C$2:$C$999,'Road transport'!$AX24)</f>
        <v>#DIV/0!</v>
      </c>
      <c r="AP24" s="7" t="e">
        <f ca="1">AVERAGEIFS(RoadTra_BY!AX$2:AX$999,RoadTra_BY!$B$2:$B$999,'Road transport'!$C24,RoadTra_BY!$C$2:$C$999,'Road transport'!$AX24)</f>
        <v>#DIV/0!</v>
      </c>
      <c r="AQ24" s="7" t="e">
        <f ca="1">AVERAGEIFS(RoadTra_BY!AY$2:AY$999,RoadTra_BY!$B$2:$B$999,'Road transport'!$C24,RoadTra_BY!$C$2:$C$999,'Road transport'!$AX24)</f>
        <v>#DIV/0!</v>
      </c>
      <c r="AR24" s="7" t="e">
        <f ca="1">AVERAGEIFS(RoadTra_BY!AZ$2:AZ$999,RoadTra_BY!$B$2:$B$999,'Road transport'!$C24,RoadTra_BY!$C$2:$C$999,'Road transport'!$AX24)</f>
        <v>#DIV/0!</v>
      </c>
      <c r="AS24" s="7" t="e">
        <f ca="1">AVERAGEIFS(RoadTra_BY!BA$2:BA$999,RoadTra_BY!$B$2:$B$999,'Road transport'!$C24,RoadTra_BY!$C$2:$C$999,'Road transport'!$AX24)</f>
        <v>#DIV/0!</v>
      </c>
      <c r="AT24" s="7" t="e">
        <f ca="1">AVERAGEIFS(RoadTra_BY!BB$2:BB$999,RoadTra_BY!$B$2:$B$999,'Road transport'!$C24,RoadTra_BY!$C$2:$C$999,'Road transport'!$AX24)</f>
        <v>#DIV/0!</v>
      </c>
      <c r="AU24" s="7" t="e">
        <f ca="1">AVERAGEIFS(RoadTra_BY!BC$2:BC$999,RoadTra_BY!$B$2:$B$999,'Road transport'!$C24,RoadTra_BY!$C$2:$C$999,'Road transport'!$AX24)</f>
        <v>#DIV/0!</v>
      </c>
      <c r="AV24" s="7" t="e">
        <f ca="1">AVERAGEIFS(RoadTra_BY!BD$2:BD$999,RoadTra_BY!$B$2:$B$999,'Road transport'!$C24,RoadTra_BY!$C$2:$C$999,'Road transport'!$AX24)</f>
        <v>#DIV/0!</v>
      </c>
      <c r="AW24" s="7" t="e">
        <f ca="1">AVERAGEIFS(RoadTra_BY!BE$2:BE$999,RoadTra_BY!$B$2:$B$999,'Road transport'!$C24,RoadTra_BY!$C$2:$C$999,'Road transport'!$AX24)</f>
        <v>#DIV/0!</v>
      </c>
      <c r="AX24" t="s">
        <v>101</v>
      </c>
    </row>
    <row r="25" spans="2:50">
      <c r="C25" t="s">
        <v>52</v>
      </c>
      <c r="D25" s="7" t="e">
        <f ca="1">AVERAGEIFS(RoadTra_BY!L$2:L$999,RoadTra_BY!$B$2:$B$999,'Road transport'!$C25,RoadTra_BY!$C$2:$C$999,'Road transport'!$AX25)</f>
        <v>#DIV/0!</v>
      </c>
      <c r="E25" s="7" t="e">
        <f ca="1">AVERAGEIFS(RoadTra_BY!M$2:M$999,RoadTra_BY!$B$2:$B$999,'Road transport'!$C25,RoadTra_BY!$C$2:$C$999,'Road transport'!$AX25)</f>
        <v>#DIV/0!</v>
      </c>
      <c r="F25" s="7" t="e">
        <f ca="1">AVERAGEIFS(RoadTra_BY!N$2:N$999,RoadTra_BY!$B$2:$B$999,'Road transport'!$C25,RoadTra_BY!$C$2:$C$999,'Road transport'!$AX25)</f>
        <v>#DIV/0!</v>
      </c>
      <c r="G25" s="7" t="e">
        <f ca="1">AVERAGEIFS(RoadTra_BY!O$2:O$999,RoadTra_BY!$B$2:$B$999,'Road transport'!$C25,RoadTra_BY!$C$2:$C$999,'Road transport'!$AX25)</f>
        <v>#DIV/0!</v>
      </c>
      <c r="H25" s="7" t="e">
        <f ca="1">AVERAGEIFS(RoadTra_BY!P$2:P$999,RoadTra_BY!$B$2:$B$999,'Road transport'!$C25,RoadTra_BY!$C$2:$C$999,'Road transport'!$AX25)</f>
        <v>#DIV/0!</v>
      </c>
      <c r="I25" s="7" t="e">
        <f ca="1">AVERAGEIFS(RoadTra_BY!Q$2:Q$999,RoadTra_BY!$B$2:$B$999,'Road transport'!$C25,RoadTra_BY!$C$2:$C$999,'Road transport'!$AX25)</f>
        <v>#DIV/0!</v>
      </c>
      <c r="J25" s="7" t="e">
        <f ca="1">AVERAGEIFS(RoadTra_BY!R$2:R$999,RoadTra_BY!$B$2:$B$999,'Road transport'!$C25,RoadTra_BY!$C$2:$C$999,'Road transport'!$AX25)</f>
        <v>#DIV/0!</v>
      </c>
      <c r="K25" s="7" t="e">
        <f ca="1">AVERAGEIFS(RoadTra_BY!S$2:S$999,RoadTra_BY!$B$2:$B$999,'Road transport'!$C25,RoadTra_BY!$C$2:$C$999,'Road transport'!$AX25)</f>
        <v>#DIV/0!</v>
      </c>
      <c r="L25" s="7" t="e">
        <f ca="1">AVERAGEIFS(RoadTra_BY!T$2:T$999,RoadTra_BY!$B$2:$B$999,'Road transport'!$C25,RoadTra_BY!$C$2:$C$999,'Road transport'!$AX25)</f>
        <v>#DIV/0!</v>
      </c>
      <c r="M25" s="7" t="e">
        <f ca="1">AVERAGEIFS(RoadTra_BY!U$2:U$999,RoadTra_BY!$B$2:$B$999,'Road transport'!$C25,RoadTra_BY!$C$2:$C$999,'Road transport'!$AX25)</f>
        <v>#DIV/0!</v>
      </c>
      <c r="N25" s="7" t="e">
        <f ca="1">AVERAGEIFS(RoadTra_BY!V$2:V$999,RoadTra_BY!$B$2:$B$999,'Road transport'!$C25,RoadTra_BY!$C$2:$C$999,'Road transport'!$AX25)</f>
        <v>#DIV/0!</v>
      </c>
      <c r="O25" s="7" t="e">
        <f ca="1">AVERAGEIFS(RoadTra_BY!W$2:W$999,RoadTra_BY!$B$2:$B$999,'Road transport'!$C25,RoadTra_BY!$C$2:$C$999,'Road transport'!$AX25)</f>
        <v>#DIV/0!</v>
      </c>
      <c r="P25" s="7" t="e">
        <f ca="1">AVERAGEIFS(RoadTra_BY!X$2:X$999,RoadTra_BY!$B$2:$B$999,'Road transport'!$C25,RoadTra_BY!$C$2:$C$999,'Road transport'!$AX25)</f>
        <v>#DIV/0!</v>
      </c>
      <c r="Q25" s="7" t="e">
        <f ca="1">AVERAGEIFS(RoadTra_BY!Y$2:Y$999,RoadTra_BY!$B$2:$B$999,'Road transport'!$C25,RoadTra_BY!$C$2:$C$999,'Road transport'!$AX25)</f>
        <v>#DIV/0!</v>
      </c>
      <c r="R25" s="7" t="e">
        <f ca="1">AVERAGEIFS(RoadTra_BY!Z$2:Z$999,RoadTra_BY!$B$2:$B$999,'Road transport'!$C25,RoadTra_BY!$C$2:$C$999,'Road transport'!$AX25)</f>
        <v>#DIV/0!</v>
      </c>
      <c r="S25" s="7" t="e">
        <f ca="1">AVERAGEIFS(RoadTra_BY!AA$2:AA$999,RoadTra_BY!$B$2:$B$999,'Road transport'!$C25,RoadTra_BY!$C$2:$C$999,'Road transport'!$AX25)</f>
        <v>#DIV/0!</v>
      </c>
      <c r="T25" s="7" t="e">
        <f ca="1">AVERAGEIFS(RoadTra_BY!AB$2:AB$999,RoadTra_BY!$B$2:$B$999,'Road transport'!$C25,RoadTra_BY!$C$2:$C$999,'Road transport'!$AX25)</f>
        <v>#DIV/0!</v>
      </c>
      <c r="U25" s="7" t="e">
        <f ca="1">AVERAGEIFS(RoadTra_BY!AC$2:AC$999,RoadTra_BY!$B$2:$B$999,'Road transport'!$C25,RoadTra_BY!$C$2:$C$999,'Road transport'!$AX25)</f>
        <v>#DIV/0!</v>
      </c>
      <c r="V25" s="7" t="e">
        <f ca="1">AVERAGEIFS(RoadTra_BY!AD$2:AD$999,RoadTra_BY!$B$2:$B$999,'Road transport'!$C25,RoadTra_BY!$C$2:$C$999,'Road transport'!$AX25)</f>
        <v>#DIV/0!</v>
      </c>
      <c r="W25" s="7" t="e">
        <f ca="1">AVERAGEIFS(RoadTra_BY!AE$2:AE$999,RoadTra_BY!$B$2:$B$999,'Road transport'!$C25,RoadTra_BY!$C$2:$C$999,'Road transport'!$AX25)</f>
        <v>#DIV/0!</v>
      </c>
      <c r="X25" s="7" t="e">
        <f ca="1">AVERAGEIFS(RoadTra_BY!AF$2:AF$999,RoadTra_BY!$B$2:$B$999,'Road transport'!$C25,RoadTra_BY!$C$2:$C$999,'Road transport'!$AX25)</f>
        <v>#DIV/0!</v>
      </c>
      <c r="Y25" s="7" t="e">
        <f ca="1">AVERAGEIFS(RoadTra_BY!AG$2:AG$999,RoadTra_BY!$B$2:$B$999,'Road transport'!$C25,RoadTra_BY!$C$2:$C$999,'Road transport'!$AX25)</f>
        <v>#DIV/0!</v>
      </c>
      <c r="Z25" s="7" t="e">
        <f ca="1">AVERAGEIFS(RoadTra_BY!AH$2:AH$999,RoadTra_BY!$B$2:$B$999,'Road transport'!$C25,RoadTra_BY!$C$2:$C$999,'Road transport'!$AX25)</f>
        <v>#DIV/0!</v>
      </c>
      <c r="AA25" s="7" t="e">
        <f ca="1">AVERAGEIFS(RoadTra_BY!AI$2:AI$999,RoadTra_BY!$B$2:$B$999,'Road transport'!$C25,RoadTra_BY!$C$2:$C$999,'Road transport'!$AX25)</f>
        <v>#DIV/0!</v>
      </c>
      <c r="AB25" s="7" t="e">
        <f ca="1">AVERAGEIFS(RoadTra_BY!AJ$2:AJ$999,RoadTra_BY!$B$2:$B$999,'Road transport'!$C25,RoadTra_BY!$C$2:$C$999,'Road transport'!$AX25)</f>
        <v>#DIV/0!</v>
      </c>
      <c r="AC25" s="7" t="e">
        <f ca="1">AVERAGEIFS(RoadTra_BY!AK$2:AK$999,RoadTra_BY!$B$2:$B$999,'Road transport'!$C25,RoadTra_BY!$C$2:$C$999,'Road transport'!$AX25)</f>
        <v>#DIV/0!</v>
      </c>
      <c r="AD25" s="7" t="e">
        <f ca="1">AVERAGEIFS(RoadTra_BY!AL$2:AL$999,RoadTra_BY!$B$2:$B$999,'Road transport'!$C25,RoadTra_BY!$C$2:$C$999,'Road transport'!$AX25)</f>
        <v>#DIV/0!</v>
      </c>
      <c r="AE25" s="7" t="e">
        <f ca="1">AVERAGEIFS(RoadTra_BY!AM$2:AM$999,RoadTra_BY!$B$2:$B$999,'Road transport'!$C25,RoadTra_BY!$C$2:$C$999,'Road transport'!$AX25)</f>
        <v>#DIV/0!</v>
      </c>
      <c r="AF25" s="7" t="e">
        <f ca="1">AVERAGEIFS(RoadTra_BY!AN$2:AN$999,RoadTra_BY!$B$2:$B$999,'Road transport'!$C25,RoadTra_BY!$C$2:$C$999,'Road transport'!$AX25)</f>
        <v>#DIV/0!</v>
      </c>
      <c r="AG25" s="7" t="e">
        <f ca="1">AVERAGEIFS(RoadTra_BY!AO$2:AO$999,RoadTra_BY!$B$2:$B$999,'Road transport'!$C25,RoadTra_BY!$C$2:$C$999,'Road transport'!$AX25)</f>
        <v>#DIV/0!</v>
      </c>
      <c r="AH25" s="7" t="e">
        <f ca="1">AVERAGEIFS(RoadTra_BY!AP$2:AP$999,RoadTra_BY!$B$2:$B$999,'Road transport'!$C25,RoadTra_BY!$C$2:$C$999,'Road transport'!$AX25)</f>
        <v>#DIV/0!</v>
      </c>
      <c r="AI25" s="7" t="e">
        <f ca="1">AVERAGEIFS(RoadTra_BY!AQ$2:AQ$999,RoadTra_BY!$B$2:$B$999,'Road transport'!$C25,RoadTra_BY!$C$2:$C$999,'Road transport'!$AX25)</f>
        <v>#DIV/0!</v>
      </c>
      <c r="AJ25" s="7" t="e">
        <f ca="1">AVERAGEIFS(RoadTra_BY!AR$2:AR$999,RoadTra_BY!$B$2:$B$999,'Road transport'!$C25,RoadTra_BY!$C$2:$C$999,'Road transport'!$AX25)</f>
        <v>#DIV/0!</v>
      </c>
      <c r="AK25" s="7" t="e">
        <f ca="1">AVERAGEIFS(RoadTra_BY!AS$2:AS$999,RoadTra_BY!$B$2:$B$999,'Road transport'!$C25,RoadTra_BY!$C$2:$C$999,'Road transport'!$AX25)</f>
        <v>#DIV/0!</v>
      </c>
      <c r="AL25" s="7" t="e">
        <f ca="1">AVERAGEIFS(RoadTra_BY!AT$2:AT$999,RoadTra_BY!$B$2:$B$999,'Road transport'!$C25,RoadTra_BY!$C$2:$C$999,'Road transport'!$AX25)</f>
        <v>#DIV/0!</v>
      </c>
      <c r="AM25" s="7" t="e">
        <f ca="1">AVERAGEIFS(RoadTra_BY!AU$2:AU$999,RoadTra_BY!$B$2:$B$999,'Road transport'!$C25,RoadTra_BY!$C$2:$C$999,'Road transport'!$AX25)</f>
        <v>#DIV/0!</v>
      </c>
      <c r="AN25" s="7" t="e">
        <f ca="1">AVERAGEIFS(RoadTra_BY!AV$2:AV$999,RoadTra_BY!$B$2:$B$999,'Road transport'!$C25,RoadTra_BY!$C$2:$C$999,'Road transport'!$AX25)</f>
        <v>#DIV/0!</v>
      </c>
      <c r="AO25" s="7" t="e">
        <f ca="1">AVERAGEIFS(RoadTra_BY!AW$2:AW$999,RoadTra_BY!$B$2:$B$999,'Road transport'!$C25,RoadTra_BY!$C$2:$C$999,'Road transport'!$AX25)</f>
        <v>#DIV/0!</v>
      </c>
      <c r="AP25" s="7" t="e">
        <f ca="1">AVERAGEIFS(RoadTra_BY!AX$2:AX$999,RoadTra_BY!$B$2:$B$999,'Road transport'!$C25,RoadTra_BY!$C$2:$C$999,'Road transport'!$AX25)</f>
        <v>#DIV/0!</v>
      </c>
      <c r="AQ25" s="7" t="e">
        <f ca="1">AVERAGEIFS(RoadTra_BY!AY$2:AY$999,RoadTra_BY!$B$2:$B$999,'Road transport'!$C25,RoadTra_BY!$C$2:$C$999,'Road transport'!$AX25)</f>
        <v>#DIV/0!</v>
      </c>
      <c r="AR25" s="7" t="e">
        <f ca="1">AVERAGEIFS(RoadTra_BY!AZ$2:AZ$999,RoadTra_BY!$B$2:$B$999,'Road transport'!$C25,RoadTra_BY!$C$2:$C$999,'Road transport'!$AX25)</f>
        <v>#DIV/0!</v>
      </c>
      <c r="AS25" s="7" t="e">
        <f ca="1">AVERAGEIFS(RoadTra_BY!BA$2:BA$999,RoadTra_BY!$B$2:$B$999,'Road transport'!$C25,RoadTra_BY!$C$2:$C$999,'Road transport'!$AX25)</f>
        <v>#DIV/0!</v>
      </c>
      <c r="AT25" s="7" t="e">
        <f ca="1">AVERAGEIFS(RoadTra_BY!BB$2:BB$999,RoadTra_BY!$B$2:$B$999,'Road transport'!$C25,RoadTra_BY!$C$2:$C$999,'Road transport'!$AX25)</f>
        <v>#DIV/0!</v>
      </c>
      <c r="AU25" s="7" t="e">
        <f ca="1">AVERAGEIFS(RoadTra_BY!BC$2:BC$999,RoadTra_BY!$B$2:$B$999,'Road transport'!$C25,RoadTra_BY!$C$2:$C$999,'Road transport'!$AX25)</f>
        <v>#DIV/0!</v>
      </c>
      <c r="AV25" s="7" t="e">
        <f ca="1">AVERAGEIFS(RoadTra_BY!BD$2:BD$999,RoadTra_BY!$B$2:$B$999,'Road transport'!$C25,RoadTra_BY!$C$2:$C$999,'Road transport'!$AX25)</f>
        <v>#DIV/0!</v>
      </c>
      <c r="AW25" s="7" t="e">
        <f ca="1">AVERAGEIFS(RoadTra_BY!BE$2:BE$999,RoadTra_BY!$B$2:$B$999,'Road transport'!$C25,RoadTra_BY!$C$2:$C$999,'Road transport'!$AX25)</f>
        <v>#DIV/0!</v>
      </c>
      <c r="AX25" t="s">
        <v>102</v>
      </c>
    </row>
    <row r="26" spans="2:50">
      <c r="C26" t="s">
        <v>52</v>
      </c>
      <c r="D26" s="7" t="e">
        <f ca="1">AVERAGEIFS(RoadTra_BY!L$2:L$999,RoadTra_BY!$B$2:$B$999,'Road transport'!$C26,RoadTra_BY!$C$2:$C$999,'Road transport'!$AX26)</f>
        <v>#DIV/0!</v>
      </c>
      <c r="E26" s="7" t="e">
        <f ca="1">AVERAGEIFS(RoadTra_BY!M$2:M$999,RoadTra_BY!$B$2:$B$999,'Road transport'!$C26,RoadTra_BY!$C$2:$C$999,'Road transport'!$AX26)</f>
        <v>#DIV/0!</v>
      </c>
      <c r="F26" s="7" t="e">
        <f ca="1">AVERAGEIFS(RoadTra_BY!N$2:N$999,RoadTra_BY!$B$2:$B$999,'Road transport'!$C26,RoadTra_BY!$C$2:$C$999,'Road transport'!$AX26)</f>
        <v>#DIV/0!</v>
      </c>
      <c r="G26" s="7" t="e">
        <f ca="1">AVERAGEIFS(RoadTra_BY!O$2:O$999,RoadTra_BY!$B$2:$B$999,'Road transport'!$C26,RoadTra_BY!$C$2:$C$999,'Road transport'!$AX26)</f>
        <v>#DIV/0!</v>
      </c>
      <c r="H26" s="7" t="e">
        <f ca="1">AVERAGEIFS(RoadTra_BY!P$2:P$999,RoadTra_BY!$B$2:$B$999,'Road transport'!$C26,RoadTra_BY!$C$2:$C$999,'Road transport'!$AX26)</f>
        <v>#DIV/0!</v>
      </c>
      <c r="I26" s="7" t="e">
        <f ca="1">AVERAGEIFS(RoadTra_BY!Q$2:Q$999,RoadTra_BY!$B$2:$B$999,'Road transport'!$C26,RoadTra_BY!$C$2:$C$999,'Road transport'!$AX26)</f>
        <v>#DIV/0!</v>
      </c>
      <c r="J26" s="7" t="e">
        <f ca="1">AVERAGEIFS(RoadTra_BY!R$2:R$999,RoadTra_BY!$B$2:$B$999,'Road transport'!$C26,RoadTra_BY!$C$2:$C$999,'Road transport'!$AX26)</f>
        <v>#DIV/0!</v>
      </c>
      <c r="K26" s="7" t="e">
        <f ca="1">AVERAGEIFS(RoadTra_BY!S$2:S$999,RoadTra_BY!$B$2:$B$999,'Road transport'!$C26,RoadTra_BY!$C$2:$C$999,'Road transport'!$AX26)</f>
        <v>#DIV/0!</v>
      </c>
      <c r="L26" s="7" t="e">
        <f ca="1">AVERAGEIFS(RoadTra_BY!T$2:T$999,RoadTra_BY!$B$2:$B$999,'Road transport'!$C26,RoadTra_BY!$C$2:$C$999,'Road transport'!$AX26)</f>
        <v>#DIV/0!</v>
      </c>
      <c r="M26" s="7" t="e">
        <f ca="1">AVERAGEIFS(RoadTra_BY!U$2:U$999,RoadTra_BY!$B$2:$B$999,'Road transport'!$C26,RoadTra_BY!$C$2:$C$999,'Road transport'!$AX26)</f>
        <v>#DIV/0!</v>
      </c>
      <c r="N26" s="7" t="e">
        <f ca="1">AVERAGEIFS(RoadTra_BY!V$2:V$999,RoadTra_BY!$B$2:$B$999,'Road transport'!$C26,RoadTra_BY!$C$2:$C$999,'Road transport'!$AX26)</f>
        <v>#DIV/0!</v>
      </c>
      <c r="O26" s="7" t="e">
        <f ca="1">AVERAGEIFS(RoadTra_BY!W$2:W$999,RoadTra_BY!$B$2:$B$999,'Road transport'!$C26,RoadTra_BY!$C$2:$C$999,'Road transport'!$AX26)</f>
        <v>#DIV/0!</v>
      </c>
      <c r="P26" s="7" t="e">
        <f ca="1">AVERAGEIFS(RoadTra_BY!X$2:X$999,RoadTra_BY!$B$2:$B$999,'Road transport'!$C26,RoadTra_BY!$C$2:$C$999,'Road transport'!$AX26)</f>
        <v>#DIV/0!</v>
      </c>
      <c r="Q26" s="7" t="e">
        <f ca="1">AVERAGEIFS(RoadTra_BY!Y$2:Y$999,RoadTra_BY!$B$2:$B$999,'Road transport'!$C26,RoadTra_BY!$C$2:$C$999,'Road transport'!$AX26)</f>
        <v>#DIV/0!</v>
      </c>
      <c r="R26" s="7" t="e">
        <f ca="1">AVERAGEIFS(RoadTra_BY!Z$2:Z$999,RoadTra_BY!$B$2:$B$999,'Road transport'!$C26,RoadTra_BY!$C$2:$C$999,'Road transport'!$AX26)</f>
        <v>#DIV/0!</v>
      </c>
      <c r="S26" s="7" t="e">
        <f ca="1">AVERAGEIFS(RoadTra_BY!AA$2:AA$999,RoadTra_BY!$B$2:$B$999,'Road transport'!$C26,RoadTra_BY!$C$2:$C$999,'Road transport'!$AX26)</f>
        <v>#DIV/0!</v>
      </c>
      <c r="T26" s="7" t="e">
        <f ca="1">AVERAGEIFS(RoadTra_BY!AB$2:AB$999,RoadTra_BY!$B$2:$B$999,'Road transport'!$C26,RoadTra_BY!$C$2:$C$999,'Road transport'!$AX26)</f>
        <v>#DIV/0!</v>
      </c>
      <c r="U26" s="7" t="e">
        <f ca="1">AVERAGEIFS(RoadTra_BY!AC$2:AC$999,RoadTra_BY!$B$2:$B$999,'Road transport'!$C26,RoadTra_BY!$C$2:$C$999,'Road transport'!$AX26)</f>
        <v>#DIV/0!</v>
      </c>
      <c r="V26" s="7" t="e">
        <f ca="1">AVERAGEIFS(RoadTra_BY!AD$2:AD$999,RoadTra_BY!$B$2:$B$999,'Road transport'!$C26,RoadTra_BY!$C$2:$C$999,'Road transport'!$AX26)</f>
        <v>#DIV/0!</v>
      </c>
      <c r="W26" s="7" t="e">
        <f ca="1">AVERAGEIFS(RoadTra_BY!AE$2:AE$999,RoadTra_BY!$B$2:$B$999,'Road transport'!$C26,RoadTra_BY!$C$2:$C$999,'Road transport'!$AX26)</f>
        <v>#DIV/0!</v>
      </c>
      <c r="X26" s="7" t="e">
        <f ca="1">AVERAGEIFS(RoadTra_BY!AF$2:AF$999,RoadTra_BY!$B$2:$B$999,'Road transport'!$C26,RoadTra_BY!$C$2:$C$999,'Road transport'!$AX26)</f>
        <v>#DIV/0!</v>
      </c>
      <c r="Y26" s="7" t="e">
        <f ca="1">AVERAGEIFS(RoadTra_BY!AG$2:AG$999,RoadTra_BY!$B$2:$B$999,'Road transport'!$C26,RoadTra_BY!$C$2:$C$999,'Road transport'!$AX26)</f>
        <v>#DIV/0!</v>
      </c>
      <c r="Z26" s="7" t="e">
        <f ca="1">AVERAGEIFS(RoadTra_BY!AH$2:AH$999,RoadTra_BY!$B$2:$B$999,'Road transport'!$C26,RoadTra_BY!$C$2:$C$999,'Road transport'!$AX26)</f>
        <v>#DIV/0!</v>
      </c>
      <c r="AA26" s="7" t="e">
        <f ca="1">AVERAGEIFS(RoadTra_BY!AI$2:AI$999,RoadTra_BY!$B$2:$B$999,'Road transport'!$C26,RoadTra_BY!$C$2:$C$999,'Road transport'!$AX26)</f>
        <v>#DIV/0!</v>
      </c>
      <c r="AB26" s="7" t="e">
        <f ca="1">AVERAGEIFS(RoadTra_BY!AJ$2:AJ$999,RoadTra_BY!$B$2:$B$999,'Road transport'!$C26,RoadTra_BY!$C$2:$C$999,'Road transport'!$AX26)</f>
        <v>#DIV/0!</v>
      </c>
      <c r="AC26" s="7" t="e">
        <f ca="1">AVERAGEIFS(RoadTra_BY!AK$2:AK$999,RoadTra_BY!$B$2:$B$999,'Road transport'!$C26,RoadTra_BY!$C$2:$C$999,'Road transport'!$AX26)</f>
        <v>#DIV/0!</v>
      </c>
      <c r="AD26" s="7" t="e">
        <f ca="1">AVERAGEIFS(RoadTra_BY!AL$2:AL$999,RoadTra_BY!$B$2:$B$999,'Road transport'!$C26,RoadTra_BY!$C$2:$C$999,'Road transport'!$AX26)</f>
        <v>#DIV/0!</v>
      </c>
      <c r="AE26" s="7" t="e">
        <f ca="1">AVERAGEIFS(RoadTra_BY!AM$2:AM$999,RoadTra_BY!$B$2:$B$999,'Road transport'!$C26,RoadTra_BY!$C$2:$C$999,'Road transport'!$AX26)</f>
        <v>#DIV/0!</v>
      </c>
      <c r="AF26" s="7" t="e">
        <f ca="1">AVERAGEIFS(RoadTra_BY!AN$2:AN$999,RoadTra_BY!$B$2:$B$999,'Road transport'!$C26,RoadTra_BY!$C$2:$C$999,'Road transport'!$AX26)</f>
        <v>#DIV/0!</v>
      </c>
      <c r="AG26" s="7" t="e">
        <f ca="1">AVERAGEIFS(RoadTra_BY!AO$2:AO$999,RoadTra_BY!$B$2:$B$999,'Road transport'!$C26,RoadTra_BY!$C$2:$C$999,'Road transport'!$AX26)</f>
        <v>#DIV/0!</v>
      </c>
      <c r="AH26" s="7" t="e">
        <f ca="1">AVERAGEIFS(RoadTra_BY!AP$2:AP$999,RoadTra_BY!$B$2:$B$999,'Road transport'!$C26,RoadTra_BY!$C$2:$C$999,'Road transport'!$AX26)</f>
        <v>#DIV/0!</v>
      </c>
      <c r="AI26" s="7" t="e">
        <f ca="1">AVERAGEIFS(RoadTra_BY!AQ$2:AQ$999,RoadTra_BY!$B$2:$B$999,'Road transport'!$C26,RoadTra_BY!$C$2:$C$999,'Road transport'!$AX26)</f>
        <v>#DIV/0!</v>
      </c>
      <c r="AJ26" s="7" t="e">
        <f ca="1">AVERAGEIFS(RoadTra_BY!AR$2:AR$999,RoadTra_BY!$B$2:$B$999,'Road transport'!$C26,RoadTra_BY!$C$2:$C$999,'Road transport'!$AX26)</f>
        <v>#DIV/0!</v>
      </c>
      <c r="AK26" s="7" t="e">
        <f ca="1">AVERAGEIFS(RoadTra_BY!AS$2:AS$999,RoadTra_BY!$B$2:$B$999,'Road transport'!$C26,RoadTra_BY!$C$2:$C$999,'Road transport'!$AX26)</f>
        <v>#DIV/0!</v>
      </c>
      <c r="AL26" s="7" t="e">
        <f ca="1">AVERAGEIFS(RoadTra_BY!AT$2:AT$999,RoadTra_BY!$B$2:$B$999,'Road transport'!$C26,RoadTra_BY!$C$2:$C$999,'Road transport'!$AX26)</f>
        <v>#DIV/0!</v>
      </c>
      <c r="AM26" s="7" t="e">
        <f ca="1">AVERAGEIFS(RoadTra_BY!AU$2:AU$999,RoadTra_BY!$B$2:$B$999,'Road transport'!$C26,RoadTra_BY!$C$2:$C$999,'Road transport'!$AX26)</f>
        <v>#DIV/0!</v>
      </c>
      <c r="AN26" s="7" t="e">
        <f ca="1">AVERAGEIFS(RoadTra_BY!AV$2:AV$999,RoadTra_BY!$B$2:$B$999,'Road transport'!$C26,RoadTra_BY!$C$2:$C$999,'Road transport'!$AX26)</f>
        <v>#DIV/0!</v>
      </c>
      <c r="AO26" s="7" t="e">
        <f ca="1">AVERAGEIFS(RoadTra_BY!AW$2:AW$999,RoadTra_BY!$B$2:$B$999,'Road transport'!$C26,RoadTra_BY!$C$2:$C$999,'Road transport'!$AX26)</f>
        <v>#DIV/0!</v>
      </c>
      <c r="AP26" s="7" t="e">
        <f ca="1">AVERAGEIFS(RoadTra_BY!AX$2:AX$999,RoadTra_BY!$B$2:$B$999,'Road transport'!$C26,RoadTra_BY!$C$2:$C$999,'Road transport'!$AX26)</f>
        <v>#DIV/0!</v>
      </c>
      <c r="AQ26" s="7" t="e">
        <f ca="1">AVERAGEIFS(RoadTra_BY!AY$2:AY$999,RoadTra_BY!$B$2:$B$999,'Road transport'!$C26,RoadTra_BY!$C$2:$C$999,'Road transport'!$AX26)</f>
        <v>#DIV/0!</v>
      </c>
      <c r="AR26" s="7" t="e">
        <f ca="1">AVERAGEIFS(RoadTra_BY!AZ$2:AZ$999,RoadTra_BY!$B$2:$B$999,'Road transport'!$C26,RoadTra_BY!$C$2:$C$999,'Road transport'!$AX26)</f>
        <v>#DIV/0!</v>
      </c>
      <c r="AS26" s="7" t="e">
        <f ca="1">AVERAGEIFS(RoadTra_BY!BA$2:BA$999,RoadTra_BY!$B$2:$B$999,'Road transport'!$C26,RoadTra_BY!$C$2:$C$999,'Road transport'!$AX26)</f>
        <v>#DIV/0!</v>
      </c>
      <c r="AT26" s="7" t="e">
        <f ca="1">AVERAGEIFS(RoadTra_BY!BB$2:BB$999,RoadTra_BY!$B$2:$B$999,'Road transport'!$C26,RoadTra_BY!$C$2:$C$999,'Road transport'!$AX26)</f>
        <v>#DIV/0!</v>
      </c>
      <c r="AU26" s="7" t="e">
        <f ca="1">AVERAGEIFS(RoadTra_BY!BC$2:BC$999,RoadTra_BY!$B$2:$B$999,'Road transport'!$C26,RoadTra_BY!$C$2:$C$999,'Road transport'!$AX26)</f>
        <v>#DIV/0!</v>
      </c>
      <c r="AV26" s="7" t="e">
        <f ca="1">AVERAGEIFS(RoadTra_BY!BD$2:BD$999,RoadTra_BY!$B$2:$B$999,'Road transport'!$C26,RoadTra_BY!$C$2:$C$999,'Road transport'!$AX26)</f>
        <v>#DIV/0!</v>
      </c>
      <c r="AW26" s="7" t="e">
        <f ca="1">AVERAGEIFS(RoadTra_BY!BE$2:BE$999,RoadTra_BY!$B$2:$B$999,'Road transport'!$C26,RoadTra_BY!$C$2:$C$999,'Road transport'!$AX26)</f>
        <v>#DIV/0!</v>
      </c>
      <c r="AX26" t="s">
        <v>103</v>
      </c>
    </row>
    <row r="27" spans="2:50">
      <c r="C27" t="s">
        <v>52</v>
      </c>
      <c r="D27" s="7" t="e">
        <f ca="1">AVERAGEIFS(RoadTra_BY!L$2:L$999,RoadTra_BY!$B$2:$B$999,'Road transport'!$C27,RoadTra_BY!$C$2:$C$999,'Road transport'!$AX27)</f>
        <v>#DIV/0!</v>
      </c>
      <c r="E27" s="7" t="e">
        <f ca="1">AVERAGEIFS(RoadTra_BY!M$2:M$999,RoadTra_BY!$B$2:$B$999,'Road transport'!$C27,RoadTra_BY!$C$2:$C$999,'Road transport'!$AX27)</f>
        <v>#DIV/0!</v>
      </c>
      <c r="F27" s="7" t="e">
        <f ca="1">AVERAGEIFS(RoadTra_BY!N$2:N$999,RoadTra_BY!$B$2:$B$999,'Road transport'!$C27,RoadTra_BY!$C$2:$C$999,'Road transport'!$AX27)</f>
        <v>#DIV/0!</v>
      </c>
      <c r="G27" s="7" t="e">
        <f ca="1">AVERAGEIFS(RoadTra_BY!O$2:O$999,RoadTra_BY!$B$2:$B$999,'Road transport'!$C27,RoadTra_BY!$C$2:$C$999,'Road transport'!$AX27)</f>
        <v>#DIV/0!</v>
      </c>
      <c r="H27" s="7" t="e">
        <f ca="1">AVERAGEIFS(RoadTra_BY!P$2:P$999,RoadTra_BY!$B$2:$B$999,'Road transport'!$C27,RoadTra_BY!$C$2:$C$999,'Road transport'!$AX27)</f>
        <v>#DIV/0!</v>
      </c>
      <c r="I27" s="7" t="e">
        <f ca="1">AVERAGEIFS(RoadTra_BY!Q$2:Q$999,RoadTra_BY!$B$2:$B$999,'Road transport'!$C27,RoadTra_BY!$C$2:$C$999,'Road transport'!$AX27)</f>
        <v>#DIV/0!</v>
      </c>
      <c r="J27" s="7" t="e">
        <f ca="1">AVERAGEIFS(RoadTra_BY!R$2:R$999,RoadTra_BY!$B$2:$B$999,'Road transport'!$C27,RoadTra_BY!$C$2:$C$999,'Road transport'!$AX27)</f>
        <v>#DIV/0!</v>
      </c>
      <c r="K27" s="7" t="e">
        <f ca="1">AVERAGEIFS(RoadTra_BY!S$2:S$999,RoadTra_BY!$B$2:$B$999,'Road transport'!$C27,RoadTra_BY!$C$2:$C$999,'Road transport'!$AX27)</f>
        <v>#DIV/0!</v>
      </c>
      <c r="L27" s="7" t="e">
        <f ca="1">AVERAGEIFS(RoadTra_BY!T$2:T$999,RoadTra_BY!$B$2:$B$999,'Road transport'!$C27,RoadTra_BY!$C$2:$C$999,'Road transport'!$AX27)</f>
        <v>#DIV/0!</v>
      </c>
      <c r="M27" s="7" t="e">
        <f ca="1">AVERAGEIFS(RoadTra_BY!U$2:U$999,RoadTra_BY!$B$2:$B$999,'Road transport'!$C27,RoadTra_BY!$C$2:$C$999,'Road transport'!$AX27)</f>
        <v>#DIV/0!</v>
      </c>
      <c r="N27" s="7" t="e">
        <f ca="1">AVERAGEIFS(RoadTra_BY!V$2:V$999,RoadTra_BY!$B$2:$B$999,'Road transport'!$C27,RoadTra_BY!$C$2:$C$999,'Road transport'!$AX27)</f>
        <v>#DIV/0!</v>
      </c>
      <c r="O27" s="7" t="e">
        <f ca="1">AVERAGEIFS(RoadTra_BY!W$2:W$999,RoadTra_BY!$B$2:$B$999,'Road transport'!$C27,RoadTra_BY!$C$2:$C$999,'Road transport'!$AX27)</f>
        <v>#DIV/0!</v>
      </c>
      <c r="P27" s="7" t="e">
        <f ca="1">AVERAGEIFS(RoadTra_BY!X$2:X$999,RoadTra_BY!$B$2:$B$999,'Road transport'!$C27,RoadTra_BY!$C$2:$C$999,'Road transport'!$AX27)</f>
        <v>#DIV/0!</v>
      </c>
      <c r="Q27" s="7" t="e">
        <f ca="1">AVERAGEIFS(RoadTra_BY!Y$2:Y$999,RoadTra_BY!$B$2:$B$999,'Road transport'!$C27,RoadTra_BY!$C$2:$C$999,'Road transport'!$AX27)</f>
        <v>#DIV/0!</v>
      </c>
      <c r="R27" s="7" t="e">
        <f ca="1">AVERAGEIFS(RoadTra_BY!Z$2:Z$999,RoadTra_BY!$B$2:$B$999,'Road transport'!$C27,RoadTra_BY!$C$2:$C$999,'Road transport'!$AX27)</f>
        <v>#DIV/0!</v>
      </c>
      <c r="S27" s="7" t="e">
        <f ca="1">AVERAGEIFS(RoadTra_BY!AA$2:AA$999,RoadTra_BY!$B$2:$B$999,'Road transport'!$C27,RoadTra_BY!$C$2:$C$999,'Road transport'!$AX27)</f>
        <v>#DIV/0!</v>
      </c>
      <c r="T27" s="7" t="e">
        <f ca="1">AVERAGEIFS(RoadTra_BY!AB$2:AB$999,RoadTra_BY!$B$2:$B$999,'Road transport'!$C27,RoadTra_BY!$C$2:$C$999,'Road transport'!$AX27)</f>
        <v>#DIV/0!</v>
      </c>
      <c r="U27" s="7" t="e">
        <f ca="1">AVERAGEIFS(RoadTra_BY!AC$2:AC$999,RoadTra_BY!$B$2:$B$999,'Road transport'!$C27,RoadTra_BY!$C$2:$C$999,'Road transport'!$AX27)</f>
        <v>#DIV/0!</v>
      </c>
      <c r="V27" s="7" t="e">
        <f ca="1">AVERAGEIFS(RoadTra_BY!AD$2:AD$999,RoadTra_BY!$B$2:$B$999,'Road transport'!$C27,RoadTra_BY!$C$2:$C$999,'Road transport'!$AX27)</f>
        <v>#DIV/0!</v>
      </c>
      <c r="W27" s="7" t="e">
        <f ca="1">AVERAGEIFS(RoadTra_BY!AE$2:AE$999,RoadTra_BY!$B$2:$B$999,'Road transport'!$C27,RoadTra_BY!$C$2:$C$999,'Road transport'!$AX27)</f>
        <v>#DIV/0!</v>
      </c>
      <c r="X27" s="7" t="e">
        <f ca="1">AVERAGEIFS(RoadTra_BY!AF$2:AF$999,RoadTra_BY!$B$2:$B$999,'Road transport'!$C27,RoadTra_BY!$C$2:$C$999,'Road transport'!$AX27)</f>
        <v>#DIV/0!</v>
      </c>
      <c r="Y27" s="7" t="e">
        <f ca="1">AVERAGEIFS(RoadTra_BY!AG$2:AG$999,RoadTra_BY!$B$2:$B$999,'Road transport'!$C27,RoadTra_BY!$C$2:$C$999,'Road transport'!$AX27)</f>
        <v>#DIV/0!</v>
      </c>
      <c r="Z27" s="7" t="e">
        <f ca="1">AVERAGEIFS(RoadTra_BY!AH$2:AH$999,RoadTra_BY!$B$2:$B$999,'Road transport'!$C27,RoadTra_BY!$C$2:$C$999,'Road transport'!$AX27)</f>
        <v>#DIV/0!</v>
      </c>
      <c r="AA27" s="7" t="e">
        <f ca="1">AVERAGEIFS(RoadTra_BY!AI$2:AI$999,RoadTra_BY!$B$2:$B$999,'Road transport'!$C27,RoadTra_BY!$C$2:$C$999,'Road transport'!$AX27)</f>
        <v>#DIV/0!</v>
      </c>
      <c r="AB27" s="7" t="e">
        <f ca="1">AVERAGEIFS(RoadTra_BY!AJ$2:AJ$999,RoadTra_BY!$B$2:$B$999,'Road transport'!$C27,RoadTra_BY!$C$2:$C$999,'Road transport'!$AX27)</f>
        <v>#DIV/0!</v>
      </c>
      <c r="AC27" s="7" t="e">
        <f ca="1">AVERAGEIFS(RoadTra_BY!AK$2:AK$999,RoadTra_BY!$B$2:$B$999,'Road transport'!$C27,RoadTra_BY!$C$2:$C$999,'Road transport'!$AX27)</f>
        <v>#DIV/0!</v>
      </c>
      <c r="AD27" s="7" t="e">
        <f ca="1">AVERAGEIFS(RoadTra_BY!AL$2:AL$999,RoadTra_BY!$B$2:$B$999,'Road transport'!$C27,RoadTra_BY!$C$2:$C$999,'Road transport'!$AX27)</f>
        <v>#DIV/0!</v>
      </c>
      <c r="AE27" s="7" t="e">
        <f ca="1">AVERAGEIFS(RoadTra_BY!AM$2:AM$999,RoadTra_BY!$B$2:$B$999,'Road transport'!$C27,RoadTra_BY!$C$2:$C$999,'Road transport'!$AX27)</f>
        <v>#DIV/0!</v>
      </c>
      <c r="AF27" s="7" t="e">
        <f ca="1">AVERAGEIFS(RoadTra_BY!AN$2:AN$999,RoadTra_BY!$B$2:$B$999,'Road transport'!$C27,RoadTra_BY!$C$2:$C$999,'Road transport'!$AX27)</f>
        <v>#DIV/0!</v>
      </c>
      <c r="AG27" s="7" t="e">
        <f ca="1">AVERAGEIFS(RoadTra_BY!AO$2:AO$999,RoadTra_BY!$B$2:$B$999,'Road transport'!$C27,RoadTra_BY!$C$2:$C$999,'Road transport'!$AX27)</f>
        <v>#DIV/0!</v>
      </c>
      <c r="AH27" s="7" t="e">
        <f ca="1">AVERAGEIFS(RoadTra_BY!AP$2:AP$999,RoadTra_BY!$B$2:$B$999,'Road transport'!$C27,RoadTra_BY!$C$2:$C$999,'Road transport'!$AX27)</f>
        <v>#DIV/0!</v>
      </c>
      <c r="AI27" s="7" t="e">
        <f ca="1">AVERAGEIFS(RoadTra_BY!AQ$2:AQ$999,RoadTra_BY!$B$2:$B$999,'Road transport'!$C27,RoadTra_BY!$C$2:$C$999,'Road transport'!$AX27)</f>
        <v>#DIV/0!</v>
      </c>
      <c r="AJ27" s="7" t="e">
        <f ca="1">AVERAGEIFS(RoadTra_BY!AR$2:AR$999,RoadTra_BY!$B$2:$B$999,'Road transport'!$C27,RoadTra_BY!$C$2:$C$999,'Road transport'!$AX27)</f>
        <v>#DIV/0!</v>
      </c>
      <c r="AK27" s="7" t="e">
        <f ca="1">AVERAGEIFS(RoadTra_BY!AS$2:AS$999,RoadTra_BY!$B$2:$B$999,'Road transport'!$C27,RoadTra_BY!$C$2:$C$999,'Road transport'!$AX27)</f>
        <v>#DIV/0!</v>
      </c>
      <c r="AL27" s="7" t="e">
        <f ca="1">AVERAGEIFS(RoadTra_BY!AT$2:AT$999,RoadTra_BY!$B$2:$B$999,'Road transport'!$C27,RoadTra_BY!$C$2:$C$999,'Road transport'!$AX27)</f>
        <v>#DIV/0!</v>
      </c>
      <c r="AM27" s="7" t="e">
        <f ca="1">AVERAGEIFS(RoadTra_BY!AU$2:AU$999,RoadTra_BY!$B$2:$B$999,'Road transport'!$C27,RoadTra_BY!$C$2:$C$999,'Road transport'!$AX27)</f>
        <v>#DIV/0!</v>
      </c>
      <c r="AN27" s="7" t="e">
        <f ca="1">AVERAGEIFS(RoadTra_BY!AV$2:AV$999,RoadTra_BY!$B$2:$B$999,'Road transport'!$C27,RoadTra_BY!$C$2:$C$999,'Road transport'!$AX27)</f>
        <v>#DIV/0!</v>
      </c>
      <c r="AO27" s="7" t="e">
        <f ca="1">AVERAGEIFS(RoadTra_BY!AW$2:AW$999,RoadTra_BY!$B$2:$B$999,'Road transport'!$C27,RoadTra_BY!$C$2:$C$999,'Road transport'!$AX27)</f>
        <v>#DIV/0!</v>
      </c>
      <c r="AP27" s="7" t="e">
        <f ca="1">AVERAGEIFS(RoadTra_BY!AX$2:AX$999,RoadTra_BY!$B$2:$B$999,'Road transport'!$C27,RoadTra_BY!$C$2:$C$999,'Road transport'!$AX27)</f>
        <v>#DIV/0!</v>
      </c>
      <c r="AQ27" s="7" t="e">
        <f ca="1">AVERAGEIFS(RoadTra_BY!AY$2:AY$999,RoadTra_BY!$B$2:$B$999,'Road transport'!$C27,RoadTra_BY!$C$2:$C$999,'Road transport'!$AX27)</f>
        <v>#DIV/0!</v>
      </c>
      <c r="AR27" s="7" t="e">
        <f ca="1">AVERAGEIFS(RoadTra_BY!AZ$2:AZ$999,RoadTra_BY!$B$2:$B$999,'Road transport'!$C27,RoadTra_BY!$C$2:$C$999,'Road transport'!$AX27)</f>
        <v>#DIV/0!</v>
      </c>
      <c r="AS27" s="7" t="e">
        <f ca="1">AVERAGEIFS(RoadTra_BY!BA$2:BA$999,RoadTra_BY!$B$2:$B$999,'Road transport'!$C27,RoadTra_BY!$C$2:$C$999,'Road transport'!$AX27)</f>
        <v>#DIV/0!</v>
      </c>
      <c r="AT27" s="7" t="e">
        <f ca="1">AVERAGEIFS(RoadTra_BY!BB$2:BB$999,RoadTra_BY!$B$2:$B$999,'Road transport'!$C27,RoadTra_BY!$C$2:$C$999,'Road transport'!$AX27)</f>
        <v>#DIV/0!</v>
      </c>
      <c r="AU27" s="7" t="e">
        <f ca="1">AVERAGEIFS(RoadTra_BY!BC$2:BC$999,RoadTra_BY!$B$2:$B$999,'Road transport'!$C27,RoadTra_BY!$C$2:$C$999,'Road transport'!$AX27)</f>
        <v>#DIV/0!</v>
      </c>
      <c r="AV27" s="7" t="e">
        <f ca="1">AVERAGEIFS(RoadTra_BY!BD$2:BD$999,RoadTra_BY!$B$2:$B$999,'Road transport'!$C27,RoadTra_BY!$C$2:$C$999,'Road transport'!$AX27)</f>
        <v>#DIV/0!</v>
      </c>
      <c r="AW27" s="7" t="e">
        <f ca="1">AVERAGEIFS(RoadTra_BY!BE$2:BE$999,RoadTra_BY!$B$2:$B$999,'Road transport'!$C27,RoadTra_BY!$C$2:$C$999,'Road transport'!$AX27)</f>
        <v>#DIV/0!</v>
      </c>
      <c r="AX27" t="s">
        <v>104</v>
      </c>
    </row>
    <row r="28" spans="2:50">
      <c r="C28" t="s">
        <v>52</v>
      </c>
      <c r="D28" s="7" t="e">
        <f ca="1">AVERAGEIFS(RoadTra_BY!L$2:L$999,RoadTra_BY!$B$2:$B$999,'Road transport'!$C28,RoadTra_BY!$C$2:$C$999,'Road transport'!$AX28)</f>
        <v>#DIV/0!</v>
      </c>
      <c r="E28" s="7" t="e">
        <f ca="1">AVERAGEIFS(RoadTra_BY!M$2:M$999,RoadTra_BY!$B$2:$B$999,'Road transport'!$C28,RoadTra_BY!$C$2:$C$999,'Road transport'!$AX28)</f>
        <v>#DIV/0!</v>
      </c>
      <c r="F28" s="7" t="e">
        <f ca="1">AVERAGEIFS(RoadTra_BY!N$2:N$999,RoadTra_BY!$B$2:$B$999,'Road transport'!$C28,RoadTra_BY!$C$2:$C$999,'Road transport'!$AX28)</f>
        <v>#DIV/0!</v>
      </c>
      <c r="G28" s="7" t="e">
        <f ca="1">AVERAGEIFS(RoadTra_BY!O$2:O$999,RoadTra_BY!$B$2:$B$999,'Road transport'!$C28,RoadTra_BY!$C$2:$C$999,'Road transport'!$AX28)</f>
        <v>#DIV/0!</v>
      </c>
      <c r="H28" s="7" t="e">
        <f ca="1">AVERAGEIFS(RoadTra_BY!P$2:P$999,RoadTra_BY!$B$2:$B$999,'Road transport'!$C28,RoadTra_BY!$C$2:$C$999,'Road transport'!$AX28)</f>
        <v>#DIV/0!</v>
      </c>
      <c r="I28" s="7" t="e">
        <f ca="1">AVERAGEIFS(RoadTra_BY!Q$2:Q$999,RoadTra_BY!$B$2:$B$999,'Road transport'!$C28,RoadTra_BY!$C$2:$C$999,'Road transport'!$AX28)</f>
        <v>#DIV/0!</v>
      </c>
      <c r="J28" s="7" t="e">
        <f ca="1">AVERAGEIFS(RoadTra_BY!R$2:R$999,RoadTra_BY!$B$2:$B$999,'Road transport'!$C28,RoadTra_BY!$C$2:$C$999,'Road transport'!$AX28)</f>
        <v>#DIV/0!</v>
      </c>
      <c r="K28" s="7" t="e">
        <f ca="1">AVERAGEIFS(RoadTra_BY!S$2:S$999,RoadTra_BY!$B$2:$B$999,'Road transport'!$C28,RoadTra_BY!$C$2:$C$999,'Road transport'!$AX28)</f>
        <v>#DIV/0!</v>
      </c>
      <c r="L28" s="7" t="e">
        <f ca="1">AVERAGEIFS(RoadTra_BY!T$2:T$999,RoadTra_BY!$B$2:$B$999,'Road transport'!$C28,RoadTra_BY!$C$2:$C$999,'Road transport'!$AX28)</f>
        <v>#DIV/0!</v>
      </c>
      <c r="M28" s="7" t="e">
        <f ca="1">AVERAGEIFS(RoadTra_BY!U$2:U$999,RoadTra_BY!$B$2:$B$999,'Road transport'!$C28,RoadTra_BY!$C$2:$C$999,'Road transport'!$AX28)</f>
        <v>#DIV/0!</v>
      </c>
      <c r="N28" s="7" t="e">
        <f ca="1">AVERAGEIFS(RoadTra_BY!V$2:V$999,RoadTra_BY!$B$2:$B$999,'Road transport'!$C28,RoadTra_BY!$C$2:$C$999,'Road transport'!$AX28)</f>
        <v>#DIV/0!</v>
      </c>
      <c r="O28" s="7" t="e">
        <f ca="1">AVERAGEIFS(RoadTra_BY!W$2:W$999,RoadTra_BY!$B$2:$B$999,'Road transport'!$C28,RoadTra_BY!$C$2:$C$999,'Road transport'!$AX28)</f>
        <v>#DIV/0!</v>
      </c>
      <c r="P28" s="7" t="e">
        <f ca="1">AVERAGEIFS(RoadTra_BY!X$2:X$999,RoadTra_BY!$B$2:$B$999,'Road transport'!$C28,RoadTra_BY!$C$2:$C$999,'Road transport'!$AX28)</f>
        <v>#DIV/0!</v>
      </c>
      <c r="Q28" s="7" t="e">
        <f ca="1">AVERAGEIFS(RoadTra_BY!Y$2:Y$999,RoadTra_BY!$B$2:$B$999,'Road transport'!$C28,RoadTra_BY!$C$2:$C$999,'Road transport'!$AX28)</f>
        <v>#DIV/0!</v>
      </c>
      <c r="R28" s="7" t="e">
        <f ca="1">AVERAGEIFS(RoadTra_BY!Z$2:Z$999,RoadTra_BY!$B$2:$B$999,'Road transport'!$C28,RoadTra_BY!$C$2:$C$999,'Road transport'!$AX28)</f>
        <v>#DIV/0!</v>
      </c>
      <c r="S28" s="7" t="e">
        <f ca="1">AVERAGEIFS(RoadTra_BY!AA$2:AA$999,RoadTra_BY!$B$2:$B$999,'Road transport'!$C28,RoadTra_BY!$C$2:$C$999,'Road transport'!$AX28)</f>
        <v>#DIV/0!</v>
      </c>
      <c r="T28" s="7" t="e">
        <f ca="1">AVERAGEIFS(RoadTra_BY!AB$2:AB$999,RoadTra_BY!$B$2:$B$999,'Road transport'!$C28,RoadTra_BY!$C$2:$C$999,'Road transport'!$AX28)</f>
        <v>#DIV/0!</v>
      </c>
      <c r="U28" s="7" t="e">
        <f ca="1">AVERAGEIFS(RoadTra_BY!AC$2:AC$999,RoadTra_BY!$B$2:$B$999,'Road transport'!$C28,RoadTra_BY!$C$2:$C$999,'Road transport'!$AX28)</f>
        <v>#DIV/0!</v>
      </c>
      <c r="V28" s="7" t="e">
        <f ca="1">AVERAGEIFS(RoadTra_BY!AD$2:AD$999,RoadTra_BY!$B$2:$B$999,'Road transport'!$C28,RoadTra_BY!$C$2:$C$999,'Road transport'!$AX28)</f>
        <v>#DIV/0!</v>
      </c>
      <c r="W28" s="7" t="e">
        <f ca="1">AVERAGEIFS(RoadTra_BY!AE$2:AE$999,RoadTra_BY!$B$2:$B$999,'Road transport'!$C28,RoadTra_BY!$C$2:$C$999,'Road transport'!$AX28)</f>
        <v>#DIV/0!</v>
      </c>
      <c r="X28" s="7" t="e">
        <f ca="1">AVERAGEIFS(RoadTra_BY!AF$2:AF$999,RoadTra_BY!$B$2:$B$999,'Road transport'!$C28,RoadTra_BY!$C$2:$C$999,'Road transport'!$AX28)</f>
        <v>#DIV/0!</v>
      </c>
      <c r="Y28" s="7" t="e">
        <f ca="1">AVERAGEIFS(RoadTra_BY!AG$2:AG$999,RoadTra_BY!$B$2:$B$999,'Road transport'!$C28,RoadTra_BY!$C$2:$C$999,'Road transport'!$AX28)</f>
        <v>#DIV/0!</v>
      </c>
      <c r="Z28" s="7" t="e">
        <f ca="1">AVERAGEIFS(RoadTra_BY!AH$2:AH$999,RoadTra_BY!$B$2:$B$999,'Road transport'!$C28,RoadTra_BY!$C$2:$C$999,'Road transport'!$AX28)</f>
        <v>#DIV/0!</v>
      </c>
      <c r="AA28" s="7" t="e">
        <f ca="1">AVERAGEIFS(RoadTra_BY!AI$2:AI$999,RoadTra_BY!$B$2:$B$999,'Road transport'!$C28,RoadTra_BY!$C$2:$C$999,'Road transport'!$AX28)</f>
        <v>#DIV/0!</v>
      </c>
      <c r="AB28" s="7" t="e">
        <f ca="1">AVERAGEIFS(RoadTra_BY!AJ$2:AJ$999,RoadTra_BY!$B$2:$B$999,'Road transport'!$C28,RoadTra_BY!$C$2:$C$999,'Road transport'!$AX28)</f>
        <v>#DIV/0!</v>
      </c>
      <c r="AC28" s="7" t="e">
        <f ca="1">AVERAGEIFS(RoadTra_BY!AK$2:AK$999,RoadTra_BY!$B$2:$B$999,'Road transport'!$C28,RoadTra_BY!$C$2:$C$999,'Road transport'!$AX28)</f>
        <v>#DIV/0!</v>
      </c>
      <c r="AD28" s="7" t="e">
        <f ca="1">AVERAGEIFS(RoadTra_BY!AL$2:AL$999,RoadTra_BY!$B$2:$B$999,'Road transport'!$C28,RoadTra_BY!$C$2:$C$999,'Road transport'!$AX28)</f>
        <v>#DIV/0!</v>
      </c>
      <c r="AE28" s="7" t="e">
        <f ca="1">AVERAGEIFS(RoadTra_BY!AM$2:AM$999,RoadTra_BY!$B$2:$B$999,'Road transport'!$C28,RoadTra_BY!$C$2:$C$999,'Road transport'!$AX28)</f>
        <v>#DIV/0!</v>
      </c>
      <c r="AF28" s="7" t="e">
        <f ca="1">AVERAGEIFS(RoadTra_BY!AN$2:AN$999,RoadTra_BY!$B$2:$B$999,'Road transport'!$C28,RoadTra_BY!$C$2:$C$999,'Road transport'!$AX28)</f>
        <v>#DIV/0!</v>
      </c>
      <c r="AG28" s="7" t="e">
        <f ca="1">AVERAGEIFS(RoadTra_BY!AO$2:AO$999,RoadTra_BY!$B$2:$B$999,'Road transport'!$C28,RoadTra_BY!$C$2:$C$999,'Road transport'!$AX28)</f>
        <v>#DIV/0!</v>
      </c>
      <c r="AH28" s="7" t="e">
        <f ca="1">AVERAGEIFS(RoadTra_BY!AP$2:AP$999,RoadTra_BY!$B$2:$B$999,'Road transport'!$C28,RoadTra_BY!$C$2:$C$999,'Road transport'!$AX28)</f>
        <v>#DIV/0!</v>
      </c>
      <c r="AI28" s="7" t="e">
        <f ca="1">AVERAGEIFS(RoadTra_BY!AQ$2:AQ$999,RoadTra_BY!$B$2:$B$999,'Road transport'!$C28,RoadTra_BY!$C$2:$C$999,'Road transport'!$AX28)</f>
        <v>#DIV/0!</v>
      </c>
      <c r="AJ28" s="7" t="e">
        <f ca="1">AVERAGEIFS(RoadTra_BY!AR$2:AR$999,RoadTra_BY!$B$2:$B$999,'Road transport'!$C28,RoadTra_BY!$C$2:$C$999,'Road transport'!$AX28)</f>
        <v>#DIV/0!</v>
      </c>
      <c r="AK28" s="7" t="e">
        <f ca="1">AVERAGEIFS(RoadTra_BY!AS$2:AS$999,RoadTra_BY!$B$2:$B$999,'Road transport'!$C28,RoadTra_BY!$C$2:$C$999,'Road transport'!$AX28)</f>
        <v>#DIV/0!</v>
      </c>
      <c r="AL28" s="7" t="e">
        <f ca="1">AVERAGEIFS(RoadTra_BY!AT$2:AT$999,RoadTra_BY!$B$2:$B$999,'Road transport'!$C28,RoadTra_BY!$C$2:$C$999,'Road transport'!$AX28)</f>
        <v>#DIV/0!</v>
      </c>
      <c r="AM28" s="7" t="e">
        <f ca="1">AVERAGEIFS(RoadTra_BY!AU$2:AU$999,RoadTra_BY!$B$2:$B$999,'Road transport'!$C28,RoadTra_BY!$C$2:$C$999,'Road transport'!$AX28)</f>
        <v>#DIV/0!</v>
      </c>
      <c r="AN28" s="7" t="e">
        <f ca="1">AVERAGEIFS(RoadTra_BY!AV$2:AV$999,RoadTra_BY!$B$2:$B$999,'Road transport'!$C28,RoadTra_BY!$C$2:$C$999,'Road transport'!$AX28)</f>
        <v>#DIV/0!</v>
      </c>
      <c r="AO28" s="7" t="e">
        <f ca="1">AVERAGEIFS(RoadTra_BY!AW$2:AW$999,RoadTra_BY!$B$2:$B$999,'Road transport'!$C28,RoadTra_BY!$C$2:$C$999,'Road transport'!$AX28)</f>
        <v>#DIV/0!</v>
      </c>
      <c r="AP28" s="7" t="e">
        <f ca="1">AVERAGEIFS(RoadTra_BY!AX$2:AX$999,RoadTra_BY!$B$2:$B$999,'Road transport'!$C28,RoadTra_BY!$C$2:$C$999,'Road transport'!$AX28)</f>
        <v>#DIV/0!</v>
      </c>
      <c r="AQ28" s="7" t="e">
        <f ca="1">AVERAGEIFS(RoadTra_BY!AY$2:AY$999,RoadTra_BY!$B$2:$B$999,'Road transport'!$C28,RoadTra_BY!$C$2:$C$999,'Road transport'!$AX28)</f>
        <v>#DIV/0!</v>
      </c>
      <c r="AR28" s="7" t="e">
        <f ca="1">AVERAGEIFS(RoadTra_BY!AZ$2:AZ$999,RoadTra_BY!$B$2:$B$999,'Road transport'!$C28,RoadTra_BY!$C$2:$C$999,'Road transport'!$AX28)</f>
        <v>#DIV/0!</v>
      </c>
      <c r="AS28" s="7" t="e">
        <f ca="1">AVERAGEIFS(RoadTra_BY!BA$2:BA$999,RoadTra_BY!$B$2:$B$999,'Road transport'!$C28,RoadTra_BY!$C$2:$C$999,'Road transport'!$AX28)</f>
        <v>#DIV/0!</v>
      </c>
      <c r="AT28" s="7" t="e">
        <f ca="1">AVERAGEIFS(RoadTra_BY!BB$2:BB$999,RoadTra_BY!$B$2:$B$999,'Road transport'!$C28,RoadTra_BY!$C$2:$C$999,'Road transport'!$AX28)</f>
        <v>#DIV/0!</v>
      </c>
      <c r="AU28" s="7" t="e">
        <f ca="1">AVERAGEIFS(RoadTra_BY!BC$2:BC$999,RoadTra_BY!$B$2:$B$999,'Road transport'!$C28,RoadTra_BY!$C$2:$C$999,'Road transport'!$AX28)</f>
        <v>#DIV/0!</v>
      </c>
      <c r="AV28" s="7" t="e">
        <f ca="1">AVERAGEIFS(RoadTra_BY!BD$2:BD$999,RoadTra_BY!$B$2:$B$999,'Road transport'!$C28,RoadTra_BY!$C$2:$C$999,'Road transport'!$AX28)</f>
        <v>#DIV/0!</v>
      </c>
      <c r="AW28" s="7" t="e">
        <f ca="1">AVERAGEIFS(RoadTra_BY!BE$2:BE$999,RoadTra_BY!$B$2:$B$999,'Road transport'!$C28,RoadTra_BY!$C$2:$C$999,'Road transport'!$AX28)</f>
        <v>#DIV/0!</v>
      </c>
      <c r="AX28" t="s">
        <v>105</v>
      </c>
    </row>
    <row r="31" spans="2:50">
      <c r="C31" t="s">
        <v>106</v>
      </c>
    </row>
    <row r="32" spans="2:50">
      <c r="C32" t="s">
        <v>71</v>
      </c>
      <c r="D32" t="str">
        <f>IF(RoadTra_BY!L$1="","\I:",RoadTra_BY!L$1)</f>
        <v>valfield</v>
      </c>
      <c r="E32" t="str">
        <f>IF(RoadTra_BY!M$1="","\I:",RoadTra_BY!M$1)</f>
        <v>\I:</v>
      </c>
      <c r="F32" t="str">
        <f>IF(RoadTra_BY!N$1="","\I:",RoadTra_BY!N$1)</f>
        <v>\I:</v>
      </c>
      <c r="G32" t="str">
        <f>IF(RoadTra_BY!O$1="","\I:",RoadTra_BY!O$1)</f>
        <v>\I:</v>
      </c>
      <c r="H32" t="str">
        <f>IF(RoadTra_BY!P$1="","\I:",RoadTra_BY!P$1)</f>
        <v>\I:</v>
      </c>
      <c r="I32" t="str">
        <f>IF(RoadTra_BY!Q$1="","\I:",RoadTra_BY!Q$1)</f>
        <v>\I:</v>
      </c>
      <c r="J32" t="str">
        <f>IF(RoadTra_BY!R$1="","\I:",RoadTra_BY!R$1)</f>
        <v>\I:</v>
      </c>
      <c r="K32" t="str">
        <f>IF(RoadTra_BY!S$1="","\I:",RoadTra_BY!S$1)</f>
        <v>\I:</v>
      </c>
      <c r="L32" t="str">
        <f>IF(RoadTra_BY!T$1="","\I:",RoadTra_BY!T$1)</f>
        <v>\I:</v>
      </c>
      <c r="M32" t="str">
        <f>IF(RoadTra_BY!U$1="","\I:",RoadTra_BY!U$1)</f>
        <v>\I:</v>
      </c>
      <c r="N32" t="str">
        <f>IF(RoadTra_BY!V$1="","\I:",RoadTra_BY!V$1)</f>
        <v>\I:</v>
      </c>
      <c r="O32" t="str">
        <f>IF(RoadTra_BY!W$1="","\I:",RoadTra_BY!W$1)</f>
        <v>\I:</v>
      </c>
      <c r="P32" t="str">
        <f>IF(RoadTra_BY!X$1="","\I:",RoadTra_BY!X$1)</f>
        <v>\I:</v>
      </c>
      <c r="Q32" t="str">
        <f>IF(RoadTra_BY!Y$1="","\I:",RoadTra_BY!Y$1)</f>
        <v>\I:</v>
      </c>
      <c r="R32" t="str">
        <f>IF(RoadTra_BY!Z$1="","\I:",RoadTra_BY!Z$1)</f>
        <v>\I:</v>
      </c>
      <c r="S32" t="str">
        <f>IF(RoadTra_BY!AA$1="","\I:",RoadTra_BY!AA$1)</f>
        <v>\I:</v>
      </c>
      <c r="T32" t="str">
        <f>IF(RoadTra_BY!AB$1="","\I:",RoadTra_BY!AB$1)</f>
        <v>\I:</v>
      </c>
      <c r="U32" t="str">
        <f>IF(RoadTra_BY!AC$1="","\I:",RoadTra_BY!AC$1)</f>
        <v>\I:</v>
      </c>
      <c r="V32" t="str">
        <f>IF(RoadTra_BY!AD$1="","\I:",RoadTra_BY!AD$1)</f>
        <v>\I:</v>
      </c>
      <c r="W32" t="str">
        <f>IF(RoadTra_BY!AE$1="","\I:",RoadTra_BY!AE$1)</f>
        <v>\I:</v>
      </c>
      <c r="X32" t="str">
        <f>IF(RoadTra_BY!AF$1="","\I:",RoadTra_BY!AF$1)</f>
        <v>\I:</v>
      </c>
      <c r="Y32" t="str">
        <f>IF(RoadTra_BY!AG$1="","\I:",RoadTra_BY!AG$1)</f>
        <v>\I:</v>
      </c>
      <c r="Z32" t="str">
        <f>IF(RoadTra_BY!AH$1="","\I:",RoadTra_BY!AH$1)</f>
        <v>\I:</v>
      </c>
      <c r="AA32" t="str">
        <f>IF(RoadTra_BY!AI$1="","\I:",RoadTra_BY!AI$1)</f>
        <v>\I:</v>
      </c>
      <c r="AB32" t="str">
        <f>IF(RoadTra_BY!AJ$1="","\I:",RoadTra_BY!AJ$1)</f>
        <v>\I:</v>
      </c>
      <c r="AC32" t="str">
        <f>IF(RoadTra_BY!AK$1="","\I:",RoadTra_BY!AK$1)</f>
        <v>\I:</v>
      </c>
      <c r="AD32" t="str">
        <f>IF(RoadTra_BY!AL$1="","\I:",RoadTra_BY!AL$1)</f>
        <v>\I:</v>
      </c>
      <c r="AE32" t="str">
        <f>IF(RoadTra_BY!AM$1="","\I:",RoadTra_BY!AM$1)</f>
        <v>\I:</v>
      </c>
      <c r="AF32" t="str">
        <f>IF(RoadTra_BY!AN$1="","\I:",RoadTra_BY!AN$1)</f>
        <v>\I:</v>
      </c>
      <c r="AG32" t="str">
        <f>IF(RoadTra_BY!AO$1="","\I:",RoadTra_BY!AO$1)</f>
        <v>\I:</v>
      </c>
      <c r="AH32" t="str">
        <f>IF(RoadTra_BY!AP$1="","\I:",RoadTra_BY!AP$1)</f>
        <v>\I:</v>
      </c>
      <c r="AI32" t="str">
        <f>IF(RoadTra_BY!AQ$1="","\I:",RoadTra_BY!AQ$1)</f>
        <v>\I:</v>
      </c>
      <c r="AJ32" t="str">
        <f>IF(RoadTra_BY!AR$1="","\I:",RoadTra_BY!AR$1)</f>
        <v>\I:</v>
      </c>
      <c r="AK32" t="str">
        <f>IF(RoadTra_BY!AS$1="","\I:",RoadTra_BY!AS$1)</f>
        <v>\I:</v>
      </c>
      <c r="AL32" t="str">
        <f>IF(RoadTra_BY!AT$1="","\I:",RoadTra_BY!AT$1)</f>
        <v>\I:</v>
      </c>
      <c r="AM32" t="str">
        <f>IF(RoadTra_BY!AU$1="","\I:",RoadTra_BY!AU$1)</f>
        <v>\I:</v>
      </c>
      <c r="AN32" t="str">
        <f>IF(RoadTra_BY!AV$1="","\I:",RoadTra_BY!AV$1)</f>
        <v>\I:</v>
      </c>
      <c r="AO32" t="str">
        <f>IF(RoadTra_BY!AW$1="","\I:",RoadTra_BY!AW$1)</f>
        <v>\I:</v>
      </c>
      <c r="AP32" t="str">
        <f>IF(RoadTra_BY!AX$1="","\I:",RoadTra_BY!AX$1)</f>
        <v>\I:</v>
      </c>
      <c r="AQ32" t="str">
        <f>IF(RoadTra_BY!AY$1="","\I:",RoadTra_BY!AY$1)</f>
        <v>\I:</v>
      </c>
      <c r="AR32" t="str">
        <f>IF(RoadTra_BY!AZ$1="","\I:",RoadTra_BY!AZ$1)</f>
        <v>\I:</v>
      </c>
      <c r="AS32" t="str">
        <f>IF(RoadTra_BY!BA$1="","\I:",RoadTra_BY!BA$1)</f>
        <v>\I:</v>
      </c>
      <c r="AT32" t="str">
        <f>IF(RoadTra_BY!BB$1="","\I:",RoadTra_BY!BB$1)</f>
        <v>\I:</v>
      </c>
      <c r="AU32" t="str">
        <f>IF(RoadTra_BY!BC$1="","\I:",RoadTra_BY!BC$1)</f>
        <v>\I:</v>
      </c>
      <c r="AV32" t="str">
        <f>IF(RoadTra_BY!BD$1="","\I:",RoadTra_BY!BD$1)</f>
        <v>\I:</v>
      </c>
      <c r="AW32" t="str">
        <f>IF(RoadTra_BY!BE$1="","\I:",RoadTra_BY!BE$1)</f>
        <v>\I:</v>
      </c>
      <c r="AX32" t="s">
        <v>45</v>
      </c>
    </row>
    <row r="33" spans="2:53">
      <c r="C33" t="s">
        <v>62</v>
      </c>
      <c r="D33" t="str">
        <f ca="1">"*"&amp;ROUND(SUMIFS(RoadTra_BY!L$2:L$79,RoadTra_BY!$B$2:$B$79,'Road transport'!$C33,RoadTra_BY!$C$2:$C$79,'Road transport'!$BA33),3)</f>
        <v>*0</v>
      </c>
      <c r="E33" t="str">
        <f ca="1">"*"&amp;ROUND(SUMIFS(RoadTra_BY!M$2:M$79,RoadTra_BY!$B$2:$B$79,'Road transport'!$C33,RoadTra_BY!$C$2:$C$79,'Road transport'!$BA33),3)</f>
        <v>*0</v>
      </c>
      <c r="F33" t="str">
        <f ca="1">"*"&amp;ROUND(SUMIFS(RoadTra_BY!N$2:N$79,RoadTra_BY!$B$2:$B$79,'Road transport'!$C33,RoadTra_BY!$C$2:$C$79,'Road transport'!$BA33),3)</f>
        <v>*0</v>
      </c>
      <c r="G33" t="str">
        <f ca="1">"*"&amp;ROUND(SUMIFS(RoadTra_BY!O$2:O$79,RoadTra_BY!$B$2:$B$79,'Road transport'!$C33,RoadTra_BY!$C$2:$C$79,'Road transport'!$BA33),3)</f>
        <v>*0</v>
      </c>
      <c r="H33" t="str">
        <f ca="1">"*"&amp;ROUND(SUMIFS(RoadTra_BY!P$2:P$79,RoadTra_BY!$B$2:$B$79,'Road transport'!$C33,RoadTra_BY!$C$2:$C$79,'Road transport'!$BA33),3)</f>
        <v>*0</v>
      </c>
      <c r="I33" t="str">
        <f ca="1">"*"&amp;ROUND(SUMIFS(RoadTra_BY!Q$2:Q$79,RoadTra_BY!$B$2:$B$79,'Road transport'!$C33,RoadTra_BY!$C$2:$C$79,'Road transport'!$BA33),3)</f>
        <v>*0</v>
      </c>
      <c r="J33" t="str">
        <f ca="1">"*"&amp;ROUND(SUMIFS(RoadTra_BY!R$2:R$79,RoadTra_BY!$B$2:$B$79,'Road transport'!$C33,RoadTra_BY!$C$2:$C$79,'Road transport'!$BA33),3)</f>
        <v>*0</v>
      </c>
      <c r="K33" t="str">
        <f ca="1">"*"&amp;ROUND(SUMIFS(RoadTra_BY!S$2:S$79,RoadTra_BY!$B$2:$B$79,'Road transport'!$C33,RoadTra_BY!$C$2:$C$79,'Road transport'!$BA33),3)</f>
        <v>*0</v>
      </c>
      <c r="L33" t="str">
        <f ca="1">"*"&amp;ROUND(SUMIFS(RoadTra_BY!T$2:T$79,RoadTra_BY!$B$2:$B$79,'Road transport'!$C33,RoadTra_BY!$C$2:$C$79,'Road transport'!$BA33),3)</f>
        <v>*0</v>
      </c>
      <c r="M33" t="str">
        <f ca="1">"*"&amp;ROUND(SUMIFS(RoadTra_BY!U$2:U$79,RoadTra_BY!$B$2:$B$79,'Road transport'!$C33,RoadTra_BY!$C$2:$C$79,'Road transport'!$BA33),3)</f>
        <v>*0</v>
      </c>
      <c r="N33" t="str">
        <f ca="1">"*"&amp;ROUND(SUMIFS(RoadTra_BY!V$2:V$79,RoadTra_BY!$B$2:$B$79,'Road transport'!$C33,RoadTra_BY!$C$2:$C$79,'Road transport'!$BA33),3)</f>
        <v>*0</v>
      </c>
      <c r="O33" t="str">
        <f ca="1">"*"&amp;ROUND(SUMIFS(RoadTra_BY!W$2:W$79,RoadTra_BY!$B$2:$B$79,'Road transport'!$C33,RoadTra_BY!$C$2:$C$79,'Road transport'!$BA33),3)</f>
        <v>*0</v>
      </c>
      <c r="P33" t="str">
        <f ca="1">"*"&amp;ROUND(SUMIFS(RoadTra_BY!X$2:X$79,RoadTra_BY!$B$2:$B$79,'Road transport'!$C33,RoadTra_BY!$C$2:$C$79,'Road transport'!$BA33),3)</f>
        <v>*0</v>
      </c>
      <c r="Q33" t="str">
        <f ca="1">"*"&amp;ROUND(SUMIFS(RoadTra_BY!Y$2:Y$79,RoadTra_BY!$B$2:$B$79,'Road transport'!$C33,RoadTra_BY!$C$2:$C$79,'Road transport'!$BA33),3)</f>
        <v>*0</v>
      </c>
      <c r="R33" t="str">
        <f ca="1">"*"&amp;ROUND(SUMIFS(RoadTra_BY!Z$2:Z$79,RoadTra_BY!$B$2:$B$79,'Road transport'!$C33,RoadTra_BY!$C$2:$C$79,'Road transport'!$BA33),3)</f>
        <v>*0</v>
      </c>
      <c r="S33" t="str">
        <f ca="1">"*"&amp;ROUND(SUMIFS(RoadTra_BY!AA$2:AA$79,RoadTra_BY!$B$2:$B$79,'Road transport'!$C33,RoadTra_BY!$C$2:$C$79,'Road transport'!$BA33),3)</f>
        <v>*0</v>
      </c>
      <c r="T33" t="str">
        <f ca="1">"*"&amp;ROUND(SUMIFS(RoadTra_BY!AB$2:AB$79,RoadTra_BY!$B$2:$B$79,'Road transport'!$C33,RoadTra_BY!$C$2:$C$79,'Road transport'!$BA33),3)</f>
        <v>*0</v>
      </c>
      <c r="U33" t="str">
        <f ca="1">"*"&amp;ROUND(SUMIFS(RoadTra_BY!AC$2:AC$79,RoadTra_BY!$B$2:$B$79,'Road transport'!$C33,RoadTra_BY!$C$2:$C$79,'Road transport'!$BA33),3)</f>
        <v>*0</v>
      </c>
      <c r="V33" t="str">
        <f ca="1">"*"&amp;ROUND(SUMIFS(RoadTra_BY!AD$2:AD$79,RoadTra_BY!$B$2:$B$79,'Road transport'!$C33,RoadTra_BY!$C$2:$C$79,'Road transport'!$BA33),3)</f>
        <v>*0</v>
      </c>
      <c r="W33" t="str">
        <f ca="1">"*"&amp;ROUND(SUMIFS(RoadTra_BY!AE$2:AE$79,RoadTra_BY!$B$2:$B$79,'Road transport'!$C33,RoadTra_BY!$C$2:$C$79,'Road transport'!$BA33),3)</f>
        <v>*0</v>
      </c>
      <c r="X33" t="str">
        <f ca="1">"*"&amp;ROUND(SUMIFS(RoadTra_BY!AF$2:AF$79,RoadTra_BY!$B$2:$B$79,'Road transport'!$C33,RoadTra_BY!$C$2:$C$79,'Road transport'!$BA33),3)</f>
        <v>*0</v>
      </c>
      <c r="Y33" t="str">
        <f ca="1">"*"&amp;ROUND(SUMIFS(RoadTra_BY!AG$2:AG$79,RoadTra_BY!$B$2:$B$79,'Road transport'!$C33,RoadTra_BY!$C$2:$C$79,'Road transport'!$BA33),3)</f>
        <v>*0</v>
      </c>
      <c r="Z33" t="str">
        <f ca="1">"*"&amp;ROUND(SUMIFS(RoadTra_BY!AH$2:AH$79,RoadTra_BY!$B$2:$B$79,'Road transport'!$C33,RoadTra_BY!$C$2:$C$79,'Road transport'!$BA33),3)</f>
        <v>*0</v>
      </c>
      <c r="AA33" t="str">
        <f ca="1">"*"&amp;ROUND(SUMIFS(RoadTra_BY!AI$2:AI$79,RoadTra_BY!$B$2:$B$79,'Road transport'!$C33,RoadTra_BY!$C$2:$C$79,'Road transport'!$BA33),3)</f>
        <v>*0</v>
      </c>
      <c r="AB33" t="str">
        <f ca="1">"*"&amp;ROUND(SUMIFS(RoadTra_BY!AJ$2:AJ$79,RoadTra_BY!$B$2:$B$79,'Road transport'!$C33,RoadTra_BY!$C$2:$C$79,'Road transport'!$BA33),3)</f>
        <v>*0</v>
      </c>
      <c r="AC33" t="str">
        <f ca="1">"*"&amp;ROUND(SUMIFS(RoadTra_BY!AK$2:AK$79,RoadTra_BY!$B$2:$B$79,'Road transport'!$C33,RoadTra_BY!$C$2:$C$79,'Road transport'!$BA33),3)</f>
        <v>*0</v>
      </c>
      <c r="AD33" t="str">
        <f ca="1">"*"&amp;ROUND(SUMIFS(RoadTra_BY!AL$2:AL$79,RoadTra_BY!$B$2:$B$79,'Road transport'!$C33,RoadTra_BY!$C$2:$C$79,'Road transport'!$BA33),3)</f>
        <v>*0</v>
      </c>
      <c r="AE33" t="str">
        <f ca="1">"*"&amp;ROUND(SUMIFS(RoadTra_BY!AM$2:AM$79,RoadTra_BY!$B$2:$B$79,'Road transport'!$C33,RoadTra_BY!$C$2:$C$79,'Road transport'!$BA33),3)</f>
        <v>*0</v>
      </c>
      <c r="AF33" t="str">
        <f ca="1">"*"&amp;ROUND(SUMIFS(RoadTra_BY!AN$2:AN$79,RoadTra_BY!$B$2:$B$79,'Road transport'!$C33,RoadTra_BY!$C$2:$C$79,'Road transport'!$BA33),3)</f>
        <v>*0</v>
      </c>
      <c r="AG33" t="str">
        <f ca="1">"*"&amp;ROUND(SUMIFS(RoadTra_BY!AO$2:AO$79,RoadTra_BY!$B$2:$B$79,'Road transport'!$C33,RoadTra_BY!$C$2:$C$79,'Road transport'!$BA33),3)</f>
        <v>*0</v>
      </c>
      <c r="AH33" t="str">
        <f ca="1">"*"&amp;ROUND(SUMIFS(RoadTra_BY!AP$2:AP$79,RoadTra_BY!$B$2:$B$79,'Road transport'!$C33,RoadTra_BY!$C$2:$C$79,'Road transport'!$BA33),3)</f>
        <v>*0</v>
      </c>
      <c r="AI33" t="str">
        <f ca="1">"*"&amp;ROUND(SUMIFS(RoadTra_BY!AQ$2:AQ$79,RoadTra_BY!$B$2:$B$79,'Road transport'!$C33,RoadTra_BY!$C$2:$C$79,'Road transport'!$BA33),3)</f>
        <v>*0</v>
      </c>
      <c r="AJ33" t="str">
        <f ca="1">"*"&amp;ROUND(SUMIFS(RoadTra_BY!AR$2:AR$79,RoadTra_BY!$B$2:$B$79,'Road transport'!$C33,RoadTra_BY!$C$2:$C$79,'Road transport'!$BA33),3)</f>
        <v>*0</v>
      </c>
      <c r="AK33" t="str">
        <f ca="1">"*"&amp;ROUND(SUMIFS(RoadTra_BY!AS$2:AS$79,RoadTra_BY!$B$2:$B$79,'Road transport'!$C33,RoadTra_BY!$C$2:$C$79,'Road transport'!$BA33),3)</f>
        <v>*0</v>
      </c>
      <c r="AL33" t="str">
        <f ca="1">"*"&amp;ROUND(SUMIFS(RoadTra_BY!AT$2:AT$79,RoadTra_BY!$B$2:$B$79,'Road transport'!$C33,RoadTra_BY!$C$2:$C$79,'Road transport'!$BA33),3)</f>
        <v>*0</v>
      </c>
      <c r="AM33" t="str">
        <f ca="1">"*"&amp;ROUND(SUMIFS(RoadTra_BY!AU$2:AU$79,RoadTra_BY!$B$2:$B$79,'Road transport'!$C33,RoadTra_BY!$C$2:$C$79,'Road transport'!$BA33),3)</f>
        <v>*0</v>
      </c>
      <c r="AN33" t="str">
        <f ca="1">"*"&amp;ROUND(SUMIFS(RoadTra_BY!AV$2:AV$79,RoadTra_BY!$B$2:$B$79,'Road transport'!$C33,RoadTra_BY!$C$2:$C$79,'Road transport'!$BA33),3)</f>
        <v>*0</v>
      </c>
      <c r="AO33" t="str">
        <f ca="1">"*"&amp;ROUND(SUMIFS(RoadTra_BY!AW$2:AW$79,RoadTra_BY!$B$2:$B$79,'Road transport'!$C33,RoadTra_BY!$C$2:$C$79,'Road transport'!$BA33),3)</f>
        <v>*0</v>
      </c>
      <c r="AP33" t="str">
        <f ca="1">"*"&amp;ROUND(SUMIFS(RoadTra_BY!AX$2:AX$79,RoadTra_BY!$B$2:$B$79,'Road transport'!$C33,RoadTra_BY!$C$2:$C$79,'Road transport'!$BA33),3)</f>
        <v>*0</v>
      </c>
      <c r="AQ33" t="str">
        <f ca="1">"*"&amp;ROUND(SUMIFS(RoadTra_BY!AY$2:AY$79,RoadTra_BY!$B$2:$B$79,'Road transport'!$C33,RoadTra_BY!$C$2:$C$79,'Road transport'!$BA33),3)</f>
        <v>*0</v>
      </c>
      <c r="AR33" t="str">
        <f ca="1">"*"&amp;ROUND(SUMIFS(RoadTra_BY!AZ$2:AZ$79,RoadTra_BY!$B$2:$B$79,'Road transport'!$C33,RoadTra_BY!$C$2:$C$79,'Road transport'!$BA33),3)</f>
        <v>*0</v>
      </c>
      <c r="AS33" t="str">
        <f ca="1">"*"&amp;ROUND(SUMIFS(RoadTra_BY!BA$2:BA$79,RoadTra_BY!$B$2:$B$79,'Road transport'!$C33,RoadTra_BY!$C$2:$C$79,'Road transport'!$BA33),3)</f>
        <v>*0</v>
      </c>
      <c r="AT33" t="str">
        <f ca="1">"*"&amp;ROUND(SUMIFS(RoadTra_BY!BB$2:BB$79,RoadTra_BY!$B$2:$B$79,'Road transport'!$C33,RoadTra_BY!$C$2:$C$79,'Road transport'!$BA33),3)</f>
        <v>*0</v>
      </c>
      <c r="AU33" t="str">
        <f ca="1">"*"&amp;ROUND(SUMIFS(RoadTra_BY!BC$2:BC$79,RoadTra_BY!$B$2:$B$79,'Road transport'!$C33,RoadTra_BY!$C$2:$C$79,'Road transport'!$BA33),3)</f>
        <v>*0</v>
      </c>
      <c r="AV33" t="str">
        <f ca="1">"*"&amp;ROUND(SUMIFS(RoadTra_BY!BD$2:BD$79,RoadTra_BY!$B$2:$B$79,'Road transport'!$C33,RoadTra_BY!$C$2:$C$79,'Road transport'!$BA33),3)</f>
        <v>*0</v>
      </c>
      <c r="AW33" t="str">
        <f ca="1">"*"&amp;ROUND(SUMIFS(RoadTra_BY!BE$2:BE$79,RoadTra_BY!$B$2:$B$79,'Road transport'!$C33,RoadTra_BY!$C$2:$C$79,'Road transport'!$BA33),3)</f>
        <v>*0</v>
      </c>
      <c r="AX33" t="str">
        <f>SUBSTITUTE(SUBSTITUTE(BA33,"gsl",""),"dsl","")&amp;"*"</f>
        <v>Trd_2w_*</v>
      </c>
      <c r="AZ33">
        <f t="shared" ref="AZ33:AZ38" si="0">IFERROR(IF(FIND("gsl",BA33)&gt;0,1,0),2)</f>
        <v>1</v>
      </c>
      <c r="BA33" t="s">
        <v>107</v>
      </c>
    </row>
    <row r="34" spans="2:53">
      <c r="C34" t="s">
        <v>62</v>
      </c>
      <c r="D34" t="str">
        <f ca="1">"*"&amp;ROUND(SUMIFS(RoadTra_BY!L$2:L$79,RoadTra_BY!$B$2:$B$79,'Road transport'!$C34,RoadTra_BY!$C$2:$C$79,'Road transport'!$BA34),3)</f>
        <v>*0</v>
      </c>
      <c r="E34" t="str">
        <f ca="1">"*"&amp;ROUND(SUMIFS(RoadTra_BY!M$2:M$79,RoadTra_BY!$B$2:$B$79,'Road transport'!$C34,RoadTra_BY!$C$2:$C$79,'Road transport'!$BA34),3)</f>
        <v>*0</v>
      </c>
      <c r="F34" t="str">
        <f ca="1">"*"&amp;ROUND(SUMIFS(RoadTra_BY!N$2:N$79,RoadTra_BY!$B$2:$B$79,'Road transport'!$C34,RoadTra_BY!$C$2:$C$79,'Road transport'!$BA34),3)</f>
        <v>*0</v>
      </c>
      <c r="G34" t="str">
        <f ca="1">"*"&amp;ROUND(SUMIFS(RoadTra_BY!O$2:O$79,RoadTra_BY!$B$2:$B$79,'Road transport'!$C34,RoadTra_BY!$C$2:$C$79,'Road transport'!$BA34),3)</f>
        <v>*0</v>
      </c>
      <c r="H34" t="str">
        <f ca="1">"*"&amp;ROUND(SUMIFS(RoadTra_BY!P$2:P$79,RoadTra_BY!$B$2:$B$79,'Road transport'!$C34,RoadTra_BY!$C$2:$C$79,'Road transport'!$BA34),3)</f>
        <v>*0</v>
      </c>
      <c r="I34" t="str">
        <f ca="1">"*"&amp;ROUND(SUMIFS(RoadTra_BY!Q$2:Q$79,RoadTra_BY!$B$2:$B$79,'Road transport'!$C34,RoadTra_BY!$C$2:$C$79,'Road transport'!$BA34),3)</f>
        <v>*0</v>
      </c>
      <c r="J34" t="str">
        <f ca="1">"*"&amp;ROUND(SUMIFS(RoadTra_BY!R$2:R$79,RoadTra_BY!$B$2:$B$79,'Road transport'!$C34,RoadTra_BY!$C$2:$C$79,'Road transport'!$BA34),3)</f>
        <v>*0</v>
      </c>
      <c r="K34" t="str">
        <f ca="1">"*"&amp;ROUND(SUMIFS(RoadTra_BY!S$2:S$79,RoadTra_BY!$B$2:$B$79,'Road transport'!$C34,RoadTra_BY!$C$2:$C$79,'Road transport'!$BA34),3)</f>
        <v>*0</v>
      </c>
      <c r="L34" t="str">
        <f ca="1">"*"&amp;ROUND(SUMIFS(RoadTra_BY!T$2:T$79,RoadTra_BY!$B$2:$B$79,'Road transport'!$C34,RoadTra_BY!$C$2:$C$79,'Road transport'!$BA34),3)</f>
        <v>*0</v>
      </c>
      <c r="M34" t="str">
        <f ca="1">"*"&amp;ROUND(SUMIFS(RoadTra_BY!U$2:U$79,RoadTra_BY!$B$2:$B$79,'Road transport'!$C34,RoadTra_BY!$C$2:$C$79,'Road transport'!$BA34),3)</f>
        <v>*0</v>
      </c>
      <c r="N34" t="str">
        <f ca="1">"*"&amp;ROUND(SUMIFS(RoadTra_BY!V$2:V$79,RoadTra_BY!$B$2:$B$79,'Road transport'!$C34,RoadTra_BY!$C$2:$C$79,'Road transport'!$BA34),3)</f>
        <v>*0</v>
      </c>
      <c r="O34" t="str">
        <f ca="1">"*"&amp;ROUND(SUMIFS(RoadTra_BY!W$2:W$79,RoadTra_BY!$B$2:$B$79,'Road transport'!$C34,RoadTra_BY!$C$2:$C$79,'Road transport'!$BA34),3)</f>
        <v>*0</v>
      </c>
      <c r="P34" t="str">
        <f ca="1">"*"&amp;ROUND(SUMIFS(RoadTra_BY!X$2:X$79,RoadTra_BY!$B$2:$B$79,'Road transport'!$C34,RoadTra_BY!$C$2:$C$79,'Road transport'!$BA34),3)</f>
        <v>*0</v>
      </c>
      <c r="Q34" t="str">
        <f ca="1">"*"&amp;ROUND(SUMIFS(RoadTra_BY!Y$2:Y$79,RoadTra_BY!$B$2:$B$79,'Road transport'!$C34,RoadTra_BY!$C$2:$C$79,'Road transport'!$BA34),3)</f>
        <v>*0</v>
      </c>
      <c r="R34" t="str">
        <f ca="1">"*"&amp;ROUND(SUMIFS(RoadTra_BY!Z$2:Z$79,RoadTra_BY!$B$2:$B$79,'Road transport'!$C34,RoadTra_BY!$C$2:$C$79,'Road transport'!$BA34),3)</f>
        <v>*0</v>
      </c>
      <c r="S34" t="str">
        <f ca="1">"*"&amp;ROUND(SUMIFS(RoadTra_BY!AA$2:AA$79,RoadTra_BY!$B$2:$B$79,'Road transport'!$C34,RoadTra_BY!$C$2:$C$79,'Road transport'!$BA34),3)</f>
        <v>*0</v>
      </c>
      <c r="T34" t="str">
        <f ca="1">"*"&amp;ROUND(SUMIFS(RoadTra_BY!AB$2:AB$79,RoadTra_BY!$B$2:$B$79,'Road transport'!$C34,RoadTra_BY!$C$2:$C$79,'Road transport'!$BA34),3)</f>
        <v>*0</v>
      </c>
      <c r="U34" t="str">
        <f ca="1">"*"&amp;ROUND(SUMIFS(RoadTra_BY!AC$2:AC$79,RoadTra_BY!$B$2:$B$79,'Road transport'!$C34,RoadTra_BY!$C$2:$C$79,'Road transport'!$BA34),3)</f>
        <v>*0</v>
      </c>
      <c r="V34" t="str">
        <f ca="1">"*"&amp;ROUND(SUMIFS(RoadTra_BY!AD$2:AD$79,RoadTra_BY!$B$2:$B$79,'Road transport'!$C34,RoadTra_BY!$C$2:$C$79,'Road transport'!$BA34),3)</f>
        <v>*0</v>
      </c>
      <c r="W34" t="str">
        <f ca="1">"*"&amp;ROUND(SUMIFS(RoadTra_BY!AE$2:AE$79,RoadTra_BY!$B$2:$B$79,'Road transport'!$C34,RoadTra_BY!$C$2:$C$79,'Road transport'!$BA34),3)</f>
        <v>*0</v>
      </c>
      <c r="X34" t="str">
        <f ca="1">"*"&amp;ROUND(SUMIFS(RoadTra_BY!AF$2:AF$79,RoadTra_BY!$B$2:$B$79,'Road transport'!$C34,RoadTra_BY!$C$2:$C$79,'Road transport'!$BA34),3)</f>
        <v>*0</v>
      </c>
      <c r="Y34" t="str">
        <f ca="1">"*"&amp;ROUND(SUMIFS(RoadTra_BY!AG$2:AG$79,RoadTra_BY!$B$2:$B$79,'Road transport'!$C34,RoadTra_BY!$C$2:$C$79,'Road transport'!$BA34),3)</f>
        <v>*0</v>
      </c>
      <c r="Z34" t="str">
        <f ca="1">"*"&amp;ROUND(SUMIFS(RoadTra_BY!AH$2:AH$79,RoadTra_BY!$B$2:$B$79,'Road transport'!$C34,RoadTra_BY!$C$2:$C$79,'Road transport'!$BA34),3)</f>
        <v>*0</v>
      </c>
      <c r="AA34" t="str">
        <f ca="1">"*"&amp;ROUND(SUMIFS(RoadTra_BY!AI$2:AI$79,RoadTra_BY!$B$2:$B$79,'Road transport'!$C34,RoadTra_BY!$C$2:$C$79,'Road transport'!$BA34),3)</f>
        <v>*0</v>
      </c>
      <c r="AB34" t="str">
        <f ca="1">"*"&amp;ROUND(SUMIFS(RoadTra_BY!AJ$2:AJ$79,RoadTra_BY!$B$2:$B$79,'Road transport'!$C34,RoadTra_BY!$C$2:$C$79,'Road transport'!$BA34),3)</f>
        <v>*0</v>
      </c>
      <c r="AC34" t="str">
        <f ca="1">"*"&amp;ROUND(SUMIFS(RoadTra_BY!AK$2:AK$79,RoadTra_BY!$B$2:$B$79,'Road transport'!$C34,RoadTra_BY!$C$2:$C$79,'Road transport'!$BA34),3)</f>
        <v>*0</v>
      </c>
      <c r="AD34" t="str">
        <f ca="1">"*"&amp;ROUND(SUMIFS(RoadTra_BY!AL$2:AL$79,RoadTra_BY!$B$2:$B$79,'Road transport'!$C34,RoadTra_BY!$C$2:$C$79,'Road transport'!$BA34),3)</f>
        <v>*0</v>
      </c>
      <c r="AE34" t="str">
        <f ca="1">"*"&amp;ROUND(SUMIFS(RoadTra_BY!AM$2:AM$79,RoadTra_BY!$B$2:$B$79,'Road transport'!$C34,RoadTra_BY!$C$2:$C$79,'Road transport'!$BA34),3)</f>
        <v>*0</v>
      </c>
      <c r="AF34" t="str">
        <f ca="1">"*"&amp;ROUND(SUMIFS(RoadTra_BY!AN$2:AN$79,RoadTra_BY!$B$2:$B$79,'Road transport'!$C34,RoadTra_BY!$C$2:$C$79,'Road transport'!$BA34),3)</f>
        <v>*0</v>
      </c>
      <c r="AG34" t="str">
        <f ca="1">"*"&amp;ROUND(SUMIFS(RoadTra_BY!AO$2:AO$79,RoadTra_BY!$B$2:$B$79,'Road transport'!$C34,RoadTra_BY!$C$2:$C$79,'Road transport'!$BA34),3)</f>
        <v>*0</v>
      </c>
      <c r="AH34" t="str">
        <f ca="1">"*"&amp;ROUND(SUMIFS(RoadTra_BY!AP$2:AP$79,RoadTra_BY!$B$2:$B$79,'Road transport'!$C34,RoadTra_BY!$C$2:$C$79,'Road transport'!$BA34),3)</f>
        <v>*0</v>
      </c>
      <c r="AI34" t="str">
        <f ca="1">"*"&amp;ROUND(SUMIFS(RoadTra_BY!AQ$2:AQ$79,RoadTra_BY!$B$2:$B$79,'Road transport'!$C34,RoadTra_BY!$C$2:$C$79,'Road transport'!$BA34),3)</f>
        <v>*0</v>
      </c>
      <c r="AJ34" t="str">
        <f ca="1">"*"&amp;ROUND(SUMIFS(RoadTra_BY!AR$2:AR$79,RoadTra_BY!$B$2:$B$79,'Road transport'!$C34,RoadTra_BY!$C$2:$C$79,'Road transport'!$BA34),3)</f>
        <v>*0</v>
      </c>
      <c r="AK34" t="str">
        <f ca="1">"*"&amp;ROUND(SUMIFS(RoadTra_BY!AS$2:AS$79,RoadTra_BY!$B$2:$B$79,'Road transport'!$C34,RoadTra_BY!$C$2:$C$79,'Road transport'!$BA34),3)</f>
        <v>*0</v>
      </c>
      <c r="AL34" t="str">
        <f ca="1">"*"&amp;ROUND(SUMIFS(RoadTra_BY!AT$2:AT$79,RoadTra_BY!$B$2:$B$79,'Road transport'!$C34,RoadTra_BY!$C$2:$C$79,'Road transport'!$BA34),3)</f>
        <v>*0</v>
      </c>
      <c r="AM34" t="str">
        <f ca="1">"*"&amp;ROUND(SUMIFS(RoadTra_BY!AU$2:AU$79,RoadTra_BY!$B$2:$B$79,'Road transport'!$C34,RoadTra_BY!$C$2:$C$79,'Road transport'!$BA34),3)</f>
        <v>*0</v>
      </c>
      <c r="AN34" t="str">
        <f ca="1">"*"&amp;ROUND(SUMIFS(RoadTra_BY!AV$2:AV$79,RoadTra_BY!$B$2:$B$79,'Road transport'!$C34,RoadTra_BY!$C$2:$C$79,'Road transport'!$BA34),3)</f>
        <v>*0</v>
      </c>
      <c r="AO34" t="str">
        <f ca="1">"*"&amp;ROUND(SUMIFS(RoadTra_BY!AW$2:AW$79,RoadTra_BY!$B$2:$B$79,'Road transport'!$C34,RoadTra_BY!$C$2:$C$79,'Road transport'!$BA34),3)</f>
        <v>*0</v>
      </c>
      <c r="AP34" t="str">
        <f ca="1">"*"&amp;ROUND(SUMIFS(RoadTra_BY!AX$2:AX$79,RoadTra_BY!$B$2:$B$79,'Road transport'!$C34,RoadTra_BY!$C$2:$C$79,'Road transport'!$BA34),3)</f>
        <v>*0</v>
      </c>
      <c r="AQ34" t="str">
        <f ca="1">"*"&amp;ROUND(SUMIFS(RoadTra_BY!AY$2:AY$79,RoadTra_BY!$B$2:$B$79,'Road transport'!$C34,RoadTra_BY!$C$2:$C$79,'Road transport'!$BA34),3)</f>
        <v>*0</v>
      </c>
      <c r="AR34" t="str">
        <f ca="1">"*"&amp;ROUND(SUMIFS(RoadTra_BY!AZ$2:AZ$79,RoadTra_BY!$B$2:$B$79,'Road transport'!$C34,RoadTra_BY!$C$2:$C$79,'Road transport'!$BA34),3)</f>
        <v>*0</v>
      </c>
      <c r="AS34" t="str">
        <f ca="1">"*"&amp;ROUND(SUMIFS(RoadTra_BY!BA$2:BA$79,RoadTra_BY!$B$2:$B$79,'Road transport'!$C34,RoadTra_BY!$C$2:$C$79,'Road transport'!$BA34),3)</f>
        <v>*0</v>
      </c>
      <c r="AT34" t="str">
        <f ca="1">"*"&amp;ROUND(SUMIFS(RoadTra_BY!BB$2:BB$79,RoadTra_BY!$B$2:$B$79,'Road transport'!$C34,RoadTra_BY!$C$2:$C$79,'Road transport'!$BA34),3)</f>
        <v>*0</v>
      </c>
      <c r="AU34" t="str">
        <f ca="1">"*"&amp;ROUND(SUMIFS(RoadTra_BY!BC$2:BC$79,RoadTra_BY!$B$2:$B$79,'Road transport'!$C34,RoadTra_BY!$C$2:$C$79,'Road transport'!$BA34),3)</f>
        <v>*0</v>
      </c>
      <c r="AV34" t="str">
        <f ca="1">"*"&amp;ROUND(SUMIFS(RoadTra_BY!BD$2:BD$79,RoadTra_BY!$B$2:$B$79,'Road transport'!$C34,RoadTra_BY!$C$2:$C$79,'Road transport'!$BA34),3)</f>
        <v>*0</v>
      </c>
      <c r="AW34" t="str">
        <f ca="1">"*"&amp;ROUND(SUMIFS(RoadTra_BY!BE$2:BE$79,RoadTra_BY!$B$2:$B$79,'Road transport'!$C34,RoadTra_BY!$C$2:$C$79,'Road transport'!$BA34),3)</f>
        <v>*0</v>
      </c>
      <c r="AX34" t="str">
        <f t="shared" ref="AX34:AX38" si="1">SUBSTITUTE(SUBSTITUTE(BA34,"gsl",""),"dsl","")&amp;"*"</f>
        <v>Trd_3w_*</v>
      </c>
      <c r="AZ34">
        <f t="shared" si="0"/>
        <v>1</v>
      </c>
      <c r="BA34" t="s">
        <v>108</v>
      </c>
    </row>
    <row r="35" spans="2:53">
      <c r="C35" t="s">
        <v>62</v>
      </c>
      <c r="D35" t="str">
        <f ca="1">"*"&amp;ROUND(SUMIFS(RoadTra_BY!L$2:L$79,RoadTra_BY!$B$2:$B$79,'Road transport'!$C35,RoadTra_BY!$C$2:$C$79,'Road transport'!$BA35),3)</f>
        <v>*0</v>
      </c>
      <c r="E35" t="str">
        <f ca="1">"*"&amp;ROUND(SUMIFS(RoadTra_BY!M$2:M$79,RoadTra_BY!$B$2:$B$79,'Road transport'!$C35,RoadTra_BY!$C$2:$C$79,'Road transport'!$BA35),3)</f>
        <v>*0</v>
      </c>
      <c r="F35" t="str">
        <f ca="1">"*"&amp;ROUND(SUMIFS(RoadTra_BY!N$2:N$79,RoadTra_BY!$B$2:$B$79,'Road transport'!$C35,RoadTra_BY!$C$2:$C$79,'Road transport'!$BA35),3)</f>
        <v>*0</v>
      </c>
      <c r="G35" t="str">
        <f ca="1">"*"&amp;ROUND(SUMIFS(RoadTra_BY!O$2:O$79,RoadTra_BY!$B$2:$B$79,'Road transport'!$C35,RoadTra_BY!$C$2:$C$79,'Road transport'!$BA35),3)</f>
        <v>*0</v>
      </c>
      <c r="H35" t="str">
        <f ca="1">"*"&amp;ROUND(SUMIFS(RoadTra_BY!P$2:P$79,RoadTra_BY!$B$2:$B$79,'Road transport'!$C35,RoadTra_BY!$C$2:$C$79,'Road transport'!$BA35),3)</f>
        <v>*0</v>
      </c>
      <c r="I35" t="str">
        <f ca="1">"*"&amp;ROUND(SUMIFS(RoadTra_BY!Q$2:Q$79,RoadTra_BY!$B$2:$B$79,'Road transport'!$C35,RoadTra_BY!$C$2:$C$79,'Road transport'!$BA35),3)</f>
        <v>*0</v>
      </c>
      <c r="J35" t="str">
        <f ca="1">"*"&amp;ROUND(SUMIFS(RoadTra_BY!R$2:R$79,RoadTra_BY!$B$2:$B$79,'Road transport'!$C35,RoadTra_BY!$C$2:$C$79,'Road transport'!$BA35),3)</f>
        <v>*0</v>
      </c>
      <c r="K35" t="str">
        <f ca="1">"*"&amp;ROUND(SUMIFS(RoadTra_BY!S$2:S$79,RoadTra_BY!$B$2:$B$79,'Road transport'!$C35,RoadTra_BY!$C$2:$C$79,'Road transport'!$BA35),3)</f>
        <v>*0</v>
      </c>
      <c r="L35" t="str">
        <f ca="1">"*"&amp;ROUND(SUMIFS(RoadTra_BY!T$2:T$79,RoadTra_BY!$B$2:$B$79,'Road transport'!$C35,RoadTra_BY!$C$2:$C$79,'Road transport'!$BA35),3)</f>
        <v>*0</v>
      </c>
      <c r="M35" t="str">
        <f ca="1">"*"&amp;ROUND(SUMIFS(RoadTra_BY!U$2:U$79,RoadTra_BY!$B$2:$B$79,'Road transport'!$C35,RoadTra_BY!$C$2:$C$79,'Road transport'!$BA35),3)</f>
        <v>*0</v>
      </c>
      <c r="N35" t="str">
        <f ca="1">"*"&amp;ROUND(SUMIFS(RoadTra_BY!V$2:V$79,RoadTra_BY!$B$2:$B$79,'Road transport'!$C35,RoadTra_BY!$C$2:$C$79,'Road transport'!$BA35),3)</f>
        <v>*0</v>
      </c>
      <c r="O35" t="str">
        <f ca="1">"*"&amp;ROUND(SUMIFS(RoadTra_BY!W$2:W$79,RoadTra_BY!$B$2:$B$79,'Road transport'!$C35,RoadTra_BY!$C$2:$C$79,'Road transport'!$BA35),3)</f>
        <v>*0</v>
      </c>
      <c r="P35" t="str">
        <f ca="1">"*"&amp;ROUND(SUMIFS(RoadTra_BY!X$2:X$79,RoadTra_BY!$B$2:$B$79,'Road transport'!$C35,RoadTra_BY!$C$2:$C$79,'Road transport'!$BA35),3)</f>
        <v>*0</v>
      </c>
      <c r="Q35" t="str">
        <f ca="1">"*"&amp;ROUND(SUMIFS(RoadTra_BY!Y$2:Y$79,RoadTra_BY!$B$2:$B$79,'Road transport'!$C35,RoadTra_BY!$C$2:$C$79,'Road transport'!$BA35),3)</f>
        <v>*0</v>
      </c>
      <c r="R35" t="str">
        <f ca="1">"*"&amp;ROUND(SUMIFS(RoadTra_BY!Z$2:Z$79,RoadTra_BY!$B$2:$B$79,'Road transport'!$C35,RoadTra_BY!$C$2:$C$79,'Road transport'!$BA35),3)</f>
        <v>*0</v>
      </c>
      <c r="S35" t="str">
        <f ca="1">"*"&amp;ROUND(SUMIFS(RoadTra_BY!AA$2:AA$79,RoadTra_BY!$B$2:$B$79,'Road transport'!$C35,RoadTra_BY!$C$2:$C$79,'Road transport'!$BA35),3)</f>
        <v>*0</v>
      </c>
      <c r="T35" t="str">
        <f ca="1">"*"&amp;ROUND(SUMIFS(RoadTra_BY!AB$2:AB$79,RoadTra_BY!$B$2:$B$79,'Road transport'!$C35,RoadTra_BY!$C$2:$C$79,'Road transport'!$BA35),3)</f>
        <v>*0</v>
      </c>
      <c r="U35" t="str">
        <f ca="1">"*"&amp;ROUND(SUMIFS(RoadTra_BY!AC$2:AC$79,RoadTra_BY!$B$2:$B$79,'Road transport'!$C35,RoadTra_BY!$C$2:$C$79,'Road transport'!$BA35),3)</f>
        <v>*0</v>
      </c>
      <c r="V35" t="str">
        <f ca="1">"*"&amp;ROUND(SUMIFS(RoadTra_BY!AD$2:AD$79,RoadTra_BY!$B$2:$B$79,'Road transport'!$C35,RoadTra_BY!$C$2:$C$79,'Road transport'!$BA35),3)</f>
        <v>*0</v>
      </c>
      <c r="W35" t="str">
        <f ca="1">"*"&amp;ROUND(SUMIFS(RoadTra_BY!AE$2:AE$79,RoadTra_BY!$B$2:$B$79,'Road transport'!$C35,RoadTra_BY!$C$2:$C$79,'Road transport'!$BA35),3)</f>
        <v>*0</v>
      </c>
      <c r="X35" t="str">
        <f ca="1">"*"&amp;ROUND(SUMIFS(RoadTra_BY!AF$2:AF$79,RoadTra_BY!$B$2:$B$79,'Road transport'!$C35,RoadTra_BY!$C$2:$C$79,'Road transport'!$BA35),3)</f>
        <v>*0</v>
      </c>
      <c r="Y35" t="str">
        <f ca="1">"*"&amp;ROUND(SUMIFS(RoadTra_BY!AG$2:AG$79,RoadTra_BY!$B$2:$B$79,'Road transport'!$C35,RoadTra_BY!$C$2:$C$79,'Road transport'!$BA35),3)</f>
        <v>*0</v>
      </c>
      <c r="Z35" t="str">
        <f ca="1">"*"&amp;ROUND(SUMIFS(RoadTra_BY!AH$2:AH$79,RoadTra_BY!$B$2:$B$79,'Road transport'!$C35,RoadTra_BY!$C$2:$C$79,'Road transport'!$BA35),3)</f>
        <v>*0</v>
      </c>
      <c r="AA35" t="str">
        <f ca="1">"*"&amp;ROUND(SUMIFS(RoadTra_BY!AI$2:AI$79,RoadTra_BY!$B$2:$B$79,'Road transport'!$C35,RoadTra_BY!$C$2:$C$79,'Road transport'!$BA35),3)</f>
        <v>*0</v>
      </c>
      <c r="AB35" t="str">
        <f ca="1">"*"&amp;ROUND(SUMIFS(RoadTra_BY!AJ$2:AJ$79,RoadTra_BY!$B$2:$B$79,'Road transport'!$C35,RoadTra_BY!$C$2:$C$79,'Road transport'!$BA35),3)</f>
        <v>*0</v>
      </c>
      <c r="AC35" t="str">
        <f ca="1">"*"&amp;ROUND(SUMIFS(RoadTra_BY!AK$2:AK$79,RoadTra_BY!$B$2:$B$79,'Road transport'!$C35,RoadTra_BY!$C$2:$C$79,'Road transport'!$BA35),3)</f>
        <v>*0</v>
      </c>
      <c r="AD35" t="str">
        <f ca="1">"*"&amp;ROUND(SUMIFS(RoadTra_BY!AL$2:AL$79,RoadTra_BY!$B$2:$B$79,'Road transport'!$C35,RoadTra_BY!$C$2:$C$79,'Road transport'!$BA35),3)</f>
        <v>*0</v>
      </c>
      <c r="AE35" t="str">
        <f ca="1">"*"&amp;ROUND(SUMIFS(RoadTra_BY!AM$2:AM$79,RoadTra_BY!$B$2:$B$79,'Road transport'!$C35,RoadTra_BY!$C$2:$C$79,'Road transport'!$BA35),3)</f>
        <v>*0</v>
      </c>
      <c r="AF35" t="str">
        <f ca="1">"*"&amp;ROUND(SUMIFS(RoadTra_BY!AN$2:AN$79,RoadTra_BY!$B$2:$B$79,'Road transport'!$C35,RoadTra_BY!$C$2:$C$79,'Road transport'!$BA35),3)</f>
        <v>*0</v>
      </c>
      <c r="AG35" t="str">
        <f ca="1">"*"&amp;ROUND(SUMIFS(RoadTra_BY!AO$2:AO$79,RoadTra_BY!$B$2:$B$79,'Road transport'!$C35,RoadTra_BY!$C$2:$C$79,'Road transport'!$BA35),3)</f>
        <v>*0</v>
      </c>
      <c r="AH35" t="str">
        <f ca="1">"*"&amp;ROUND(SUMIFS(RoadTra_BY!AP$2:AP$79,RoadTra_BY!$B$2:$B$79,'Road transport'!$C35,RoadTra_BY!$C$2:$C$79,'Road transport'!$BA35),3)</f>
        <v>*0</v>
      </c>
      <c r="AI35" t="str">
        <f ca="1">"*"&amp;ROUND(SUMIFS(RoadTra_BY!AQ$2:AQ$79,RoadTra_BY!$B$2:$B$79,'Road transport'!$C35,RoadTra_BY!$C$2:$C$79,'Road transport'!$BA35),3)</f>
        <v>*0</v>
      </c>
      <c r="AJ35" t="str">
        <f ca="1">"*"&amp;ROUND(SUMIFS(RoadTra_BY!AR$2:AR$79,RoadTra_BY!$B$2:$B$79,'Road transport'!$C35,RoadTra_BY!$C$2:$C$79,'Road transport'!$BA35),3)</f>
        <v>*0</v>
      </c>
      <c r="AK35" t="str">
        <f ca="1">"*"&amp;ROUND(SUMIFS(RoadTra_BY!AS$2:AS$79,RoadTra_BY!$B$2:$B$79,'Road transport'!$C35,RoadTra_BY!$C$2:$C$79,'Road transport'!$BA35),3)</f>
        <v>*0</v>
      </c>
      <c r="AL35" t="str">
        <f ca="1">"*"&amp;ROUND(SUMIFS(RoadTra_BY!AT$2:AT$79,RoadTra_BY!$B$2:$B$79,'Road transport'!$C35,RoadTra_BY!$C$2:$C$79,'Road transport'!$BA35),3)</f>
        <v>*0</v>
      </c>
      <c r="AM35" t="str">
        <f ca="1">"*"&amp;ROUND(SUMIFS(RoadTra_BY!AU$2:AU$79,RoadTra_BY!$B$2:$B$79,'Road transport'!$C35,RoadTra_BY!$C$2:$C$79,'Road transport'!$BA35),3)</f>
        <v>*0</v>
      </c>
      <c r="AN35" t="str">
        <f ca="1">"*"&amp;ROUND(SUMIFS(RoadTra_BY!AV$2:AV$79,RoadTra_BY!$B$2:$B$79,'Road transport'!$C35,RoadTra_BY!$C$2:$C$79,'Road transport'!$BA35),3)</f>
        <v>*0</v>
      </c>
      <c r="AO35" t="str">
        <f ca="1">"*"&amp;ROUND(SUMIFS(RoadTra_BY!AW$2:AW$79,RoadTra_BY!$B$2:$B$79,'Road transport'!$C35,RoadTra_BY!$C$2:$C$79,'Road transport'!$BA35),3)</f>
        <v>*0</v>
      </c>
      <c r="AP35" t="str">
        <f ca="1">"*"&amp;ROUND(SUMIFS(RoadTra_BY!AX$2:AX$79,RoadTra_BY!$B$2:$B$79,'Road transport'!$C35,RoadTra_BY!$C$2:$C$79,'Road transport'!$BA35),3)</f>
        <v>*0</v>
      </c>
      <c r="AQ35" t="str">
        <f ca="1">"*"&amp;ROUND(SUMIFS(RoadTra_BY!AY$2:AY$79,RoadTra_BY!$B$2:$B$79,'Road transport'!$C35,RoadTra_BY!$C$2:$C$79,'Road transport'!$BA35),3)</f>
        <v>*0</v>
      </c>
      <c r="AR35" t="str">
        <f ca="1">"*"&amp;ROUND(SUMIFS(RoadTra_BY!AZ$2:AZ$79,RoadTra_BY!$B$2:$B$79,'Road transport'!$C35,RoadTra_BY!$C$2:$C$79,'Road transport'!$BA35),3)</f>
        <v>*0</v>
      </c>
      <c r="AS35" t="str">
        <f ca="1">"*"&amp;ROUND(SUMIFS(RoadTra_BY!BA$2:BA$79,RoadTra_BY!$B$2:$B$79,'Road transport'!$C35,RoadTra_BY!$C$2:$C$79,'Road transport'!$BA35),3)</f>
        <v>*0</v>
      </c>
      <c r="AT35" t="str">
        <f ca="1">"*"&amp;ROUND(SUMIFS(RoadTra_BY!BB$2:BB$79,RoadTra_BY!$B$2:$B$79,'Road transport'!$C35,RoadTra_BY!$C$2:$C$79,'Road transport'!$BA35),3)</f>
        <v>*0</v>
      </c>
      <c r="AU35" t="str">
        <f ca="1">"*"&amp;ROUND(SUMIFS(RoadTra_BY!BC$2:BC$79,RoadTra_BY!$B$2:$B$79,'Road transport'!$C35,RoadTra_BY!$C$2:$C$79,'Road transport'!$BA35),3)</f>
        <v>*0</v>
      </c>
      <c r="AV35" t="str">
        <f ca="1">"*"&amp;ROUND(SUMIFS(RoadTra_BY!BD$2:BD$79,RoadTra_BY!$B$2:$B$79,'Road transport'!$C35,RoadTra_BY!$C$2:$C$79,'Road transport'!$BA35),3)</f>
        <v>*0</v>
      </c>
      <c r="AW35" t="str">
        <f ca="1">"*"&amp;ROUND(SUMIFS(RoadTra_BY!BE$2:BE$79,RoadTra_BY!$B$2:$B$79,'Road transport'!$C35,RoadTra_BY!$C$2:$C$79,'Road transport'!$BA35),3)</f>
        <v>*0</v>
      </c>
      <c r="AX35" t="str">
        <f t="shared" si="1"/>
        <v>Trd_bus_*</v>
      </c>
      <c r="AZ35">
        <f t="shared" si="0"/>
        <v>2</v>
      </c>
      <c r="BA35" t="s">
        <v>109</v>
      </c>
    </row>
    <row r="36" spans="2:53">
      <c r="C36" t="s">
        <v>62</v>
      </c>
      <c r="D36" t="str">
        <f ca="1">"*"&amp;ROUND(SUMIFS(RoadTra_BY!L$2:L$79,RoadTra_BY!$B$2:$B$79,'Road transport'!$C36,RoadTra_BY!$C$2:$C$79,'Road transport'!$BA36),3)</f>
        <v>*0</v>
      </c>
      <c r="E36" t="str">
        <f ca="1">"*"&amp;ROUND(SUMIFS(RoadTra_BY!M$2:M$79,RoadTra_BY!$B$2:$B$79,'Road transport'!$C36,RoadTra_BY!$C$2:$C$79,'Road transport'!$BA36),3)</f>
        <v>*0</v>
      </c>
      <c r="F36" t="str">
        <f ca="1">"*"&amp;ROUND(SUMIFS(RoadTra_BY!N$2:N$79,RoadTra_BY!$B$2:$B$79,'Road transport'!$C36,RoadTra_BY!$C$2:$C$79,'Road transport'!$BA36),3)</f>
        <v>*0</v>
      </c>
      <c r="G36" t="str">
        <f ca="1">"*"&amp;ROUND(SUMIFS(RoadTra_BY!O$2:O$79,RoadTra_BY!$B$2:$B$79,'Road transport'!$C36,RoadTra_BY!$C$2:$C$79,'Road transport'!$BA36),3)</f>
        <v>*0</v>
      </c>
      <c r="H36" t="str">
        <f ca="1">"*"&amp;ROUND(SUMIFS(RoadTra_BY!P$2:P$79,RoadTra_BY!$B$2:$B$79,'Road transport'!$C36,RoadTra_BY!$C$2:$C$79,'Road transport'!$BA36),3)</f>
        <v>*0</v>
      </c>
      <c r="I36" t="str">
        <f ca="1">"*"&amp;ROUND(SUMIFS(RoadTra_BY!Q$2:Q$79,RoadTra_BY!$B$2:$B$79,'Road transport'!$C36,RoadTra_BY!$C$2:$C$79,'Road transport'!$BA36),3)</f>
        <v>*0</v>
      </c>
      <c r="J36" t="str">
        <f ca="1">"*"&amp;ROUND(SUMIFS(RoadTra_BY!R$2:R$79,RoadTra_BY!$B$2:$B$79,'Road transport'!$C36,RoadTra_BY!$C$2:$C$79,'Road transport'!$BA36),3)</f>
        <v>*0</v>
      </c>
      <c r="K36" t="str">
        <f ca="1">"*"&amp;ROUND(SUMIFS(RoadTra_BY!S$2:S$79,RoadTra_BY!$B$2:$B$79,'Road transport'!$C36,RoadTra_BY!$C$2:$C$79,'Road transport'!$BA36),3)</f>
        <v>*0</v>
      </c>
      <c r="L36" t="str">
        <f ca="1">"*"&amp;ROUND(SUMIFS(RoadTra_BY!T$2:T$79,RoadTra_BY!$B$2:$B$79,'Road transport'!$C36,RoadTra_BY!$C$2:$C$79,'Road transport'!$BA36),3)</f>
        <v>*0</v>
      </c>
      <c r="M36" t="str">
        <f ca="1">"*"&amp;ROUND(SUMIFS(RoadTra_BY!U$2:U$79,RoadTra_BY!$B$2:$B$79,'Road transport'!$C36,RoadTra_BY!$C$2:$C$79,'Road transport'!$BA36),3)</f>
        <v>*0</v>
      </c>
      <c r="N36" t="str">
        <f ca="1">"*"&amp;ROUND(SUMIFS(RoadTra_BY!V$2:V$79,RoadTra_BY!$B$2:$B$79,'Road transport'!$C36,RoadTra_BY!$C$2:$C$79,'Road transport'!$BA36),3)</f>
        <v>*0</v>
      </c>
      <c r="O36" t="str">
        <f ca="1">"*"&amp;ROUND(SUMIFS(RoadTra_BY!W$2:W$79,RoadTra_BY!$B$2:$B$79,'Road transport'!$C36,RoadTra_BY!$C$2:$C$79,'Road transport'!$BA36),3)</f>
        <v>*0</v>
      </c>
      <c r="P36" t="str">
        <f ca="1">"*"&amp;ROUND(SUMIFS(RoadTra_BY!X$2:X$79,RoadTra_BY!$B$2:$B$79,'Road transport'!$C36,RoadTra_BY!$C$2:$C$79,'Road transport'!$BA36),3)</f>
        <v>*0</v>
      </c>
      <c r="Q36" t="str">
        <f ca="1">"*"&amp;ROUND(SUMIFS(RoadTra_BY!Y$2:Y$79,RoadTra_BY!$B$2:$B$79,'Road transport'!$C36,RoadTra_BY!$C$2:$C$79,'Road transport'!$BA36),3)</f>
        <v>*0</v>
      </c>
      <c r="R36" t="str">
        <f ca="1">"*"&amp;ROUND(SUMIFS(RoadTra_BY!Z$2:Z$79,RoadTra_BY!$B$2:$B$79,'Road transport'!$C36,RoadTra_BY!$C$2:$C$79,'Road transport'!$BA36),3)</f>
        <v>*0</v>
      </c>
      <c r="S36" t="str">
        <f ca="1">"*"&amp;ROUND(SUMIFS(RoadTra_BY!AA$2:AA$79,RoadTra_BY!$B$2:$B$79,'Road transport'!$C36,RoadTra_BY!$C$2:$C$79,'Road transport'!$BA36),3)</f>
        <v>*0</v>
      </c>
      <c r="T36" t="str">
        <f ca="1">"*"&amp;ROUND(SUMIFS(RoadTra_BY!AB$2:AB$79,RoadTra_BY!$B$2:$B$79,'Road transport'!$C36,RoadTra_BY!$C$2:$C$79,'Road transport'!$BA36),3)</f>
        <v>*0</v>
      </c>
      <c r="U36" t="str">
        <f ca="1">"*"&amp;ROUND(SUMIFS(RoadTra_BY!AC$2:AC$79,RoadTra_BY!$B$2:$B$79,'Road transport'!$C36,RoadTra_BY!$C$2:$C$79,'Road transport'!$BA36),3)</f>
        <v>*0</v>
      </c>
      <c r="V36" t="str">
        <f ca="1">"*"&amp;ROUND(SUMIFS(RoadTra_BY!AD$2:AD$79,RoadTra_BY!$B$2:$B$79,'Road transport'!$C36,RoadTra_BY!$C$2:$C$79,'Road transport'!$BA36),3)</f>
        <v>*0</v>
      </c>
      <c r="W36" t="str">
        <f ca="1">"*"&amp;ROUND(SUMIFS(RoadTra_BY!AE$2:AE$79,RoadTra_BY!$B$2:$B$79,'Road transport'!$C36,RoadTra_BY!$C$2:$C$79,'Road transport'!$BA36),3)</f>
        <v>*0</v>
      </c>
      <c r="X36" t="str">
        <f ca="1">"*"&amp;ROUND(SUMIFS(RoadTra_BY!AF$2:AF$79,RoadTra_BY!$B$2:$B$79,'Road transport'!$C36,RoadTra_BY!$C$2:$C$79,'Road transport'!$BA36),3)</f>
        <v>*0</v>
      </c>
      <c r="Y36" t="str">
        <f ca="1">"*"&amp;ROUND(SUMIFS(RoadTra_BY!AG$2:AG$79,RoadTra_BY!$B$2:$B$79,'Road transport'!$C36,RoadTra_BY!$C$2:$C$79,'Road transport'!$BA36),3)</f>
        <v>*0</v>
      </c>
      <c r="Z36" t="str">
        <f ca="1">"*"&amp;ROUND(SUMIFS(RoadTra_BY!AH$2:AH$79,RoadTra_BY!$B$2:$B$79,'Road transport'!$C36,RoadTra_BY!$C$2:$C$79,'Road transport'!$BA36),3)</f>
        <v>*0</v>
      </c>
      <c r="AA36" t="str">
        <f ca="1">"*"&amp;ROUND(SUMIFS(RoadTra_BY!AI$2:AI$79,RoadTra_BY!$B$2:$B$79,'Road transport'!$C36,RoadTra_BY!$C$2:$C$79,'Road transport'!$BA36),3)</f>
        <v>*0</v>
      </c>
      <c r="AB36" t="str">
        <f ca="1">"*"&amp;ROUND(SUMIFS(RoadTra_BY!AJ$2:AJ$79,RoadTra_BY!$B$2:$B$79,'Road transport'!$C36,RoadTra_BY!$C$2:$C$79,'Road transport'!$BA36),3)</f>
        <v>*0</v>
      </c>
      <c r="AC36" t="str">
        <f ca="1">"*"&amp;ROUND(SUMIFS(RoadTra_BY!AK$2:AK$79,RoadTra_BY!$B$2:$B$79,'Road transport'!$C36,RoadTra_BY!$C$2:$C$79,'Road transport'!$BA36),3)</f>
        <v>*0</v>
      </c>
      <c r="AD36" t="str">
        <f ca="1">"*"&amp;ROUND(SUMIFS(RoadTra_BY!AL$2:AL$79,RoadTra_BY!$B$2:$B$79,'Road transport'!$C36,RoadTra_BY!$C$2:$C$79,'Road transport'!$BA36),3)</f>
        <v>*0</v>
      </c>
      <c r="AE36" t="str">
        <f ca="1">"*"&amp;ROUND(SUMIFS(RoadTra_BY!AM$2:AM$79,RoadTra_BY!$B$2:$B$79,'Road transport'!$C36,RoadTra_BY!$C$2:$C$79,'Road transport'!$BA36),3)</f>
        <v>*0</v>
      </c>
      <c r="AF36" t="str">
        <f ca="1">"*"&amp;ROUND(SUMIFS(RoadTra_BY!AN$2:AN$79,RoadTra_BY!$B$2:$B$79,'Road transport'!$C36,RoadTra_BY!$C$2:$C$79,'Road transport'!$BA36),3)</f>
        <v>*0</v>
      </c>
      <c r="AG36" t="str">
        <f ca="1">"*"&amp;ROUND(SUMIFS(RoadTra_BY!AO$2:AO$79,RoadTra_BY!$B$2:$B$79,'Road transport'!$C36,RoadTra_BY!$C$2:$C$79,'Road transport'!$BA36),3)</f>
        <v>*0</v>
      </c>
      <c r="AH36" t="str">
        <f ca="1">"*"&amp;ROUND(SUMIFS(RoadTra_BY!AP$2:AP$79,RoadTra_BY!$B$2:$B$79,'Road transport'!$C36,RoadTra_BY!$C$2:$C$79,'Road transport'!$BA36),3)</f>
        <v>*0</v>
      </c>
      <c r="AI36" t="str">
        <f ca="1">"*"&amp;ROUND(SUMIFS(RoadTra_BY!AQ$2:AQ$79,RoadTra_BY!$B$2:$B$79,'Road transport'!$C36,RoadTra_BY!$C$2:$C$79,'Road transport'!$BA36),3)</f>
        <v>*0</v>
      </c>
      <c r="AJ36" t="str">
        <f ca="1">"*"&amp;ROUND(SUMIFS(RoadTra_BY!AR$2:AR$79,RoadTra_BY!$B$2:$B$79,'Road transport'!$C36,RoadTra_BY!$C$2:$C$79,'Road transport'!$BA36),3)</f>
        <v>*0</v>
      </c>
      <c r="AK36" t="str">
        <f ca="1">"*"&amp;ROUND(SUMIFS(RoadTra_BY!AS$2:AS$79,RoadTra_BY!$B$2:$B$79,'Road transport'!$C36,RoadTra_BY!$C$2:$C$79,'Road transport'!$BA36),3)</f>
        <v>*0</v>
      </c>
      <c r="AL36" t="str">
        <f ca="1">"*"&amp;ROUND(SUMIFS(RoadTra_BY!AT$2:AT$79,RoadTra_BY!$B$2:$B$79,'Road transport'!$C36,RoadTra_BY!$C$2:$C$79,'Road transport'!$BA36),3)</f>
        <v>*0</v>
      </c>
      <c r="AM36" t="str">
        <f ca="1">"*"&amp;ROUND(SUMIFS(RoadTra_BY!AU$2:AU$79,RoadTra_BY!$B$2:$B$79,'Road transport'!$C36,RoadTra_BY!$C$2:$C$79,'Road transport'!$BA36),3)</f>
        <v>*0</v>
      </c>
      <c r="AN36" t="str">
        <f ca="1">"*"&amp;ROUND(SUMIFS(RoadTra_BY!AV$2:AV$79,RoadTra_BY!$B$2:$B$79,'Road transport'!$C36,RoadTra_BY!$C$2:$C$79,'Road transport'!$BA36),3)</f>
        <v>*0</v>
      </c>
      <c r="AO36" t="str">
        <f ca="1">"*"&amp;ROUND(SUMIFS(RoadTra_BY!AW$2:AW$79,RoadTra_BY!$B$2:$B$79,'Road transport'!$C36,RoadTra_BY!$C$2:$C$79,'Road transport'!$BA36),3)</f>
        <v>*0</v>
      </c>
      <c r="AP36" t="str">
        <f ca="1">"*"&amp;ROUND(SUMIFS(RoadTra_BY!AX$2:AX$79,RoadTra_BY!$B$2:$B$79,'Road transport'!$C36,RoadTra_BY!$C$2:$C$79,'Road transport'!$BA36),3)</f>
        <v>*0</v>
      </c>
      <c r="AQ36" t="str">
        <f ca="1">"*"&amp;ROUND(SUMIFS(RoadTra_BY!AY$2:AY$79,RoadTra_BY!$B$2:$B$79,'Road transport'!$C36,RoadTra_BY!$C$2:$C$79,'Road transport'!$BA36),3)</f>
        <v>*0</v>
      </c>
      <c r="AR36" t="str">
        <f ca="1">"*"&amp;ROUND(SUMIFS(RoadTra_BY!AZ$2:AZ$79,RoadTra_BY!$B$2:$B$79,'Road transport'!$C36,RoadTra_BY!$C$2:$C$79,'Road transport'!$BA36),3)</f>
        <v>*0</v>
      </c>
      <c r="AS36" t="str">
        <f ca="1">"*"&amp;ROUND(SUMIFS(RoadTra_BY!BA$2:BA$79,RoadTra_BY!$B$2:$B$79,'Road transport'!$C36,RoadTra_BY!$C$2:$C$79,'Road transport'!$BA36),3)</f>
        <v>*0</v>
      </c>
      <c r="AT36" t="str">
        <f ca="1">"*"&amp;ROUND(SUMIFS(RoadTra_BY!BB$2:BB$79,RoadTra_BY!$B$2:$B$79,'Road transport'!$C36,RoadTra_BY!$C$2:$C$79,'Road transport'!$BA36),3)</f>
        <v>*0</v>
      </c>
      <c r="AU36" t="str">
        <f ca="1">"*"&amp;ROUND(SUMIFS(RoadTra_BY!BC$2:BC$79,RoadTra_BY!$B$2:$B$79,'Road transport'!$C36,RoadTra_BY!$C$2:$C$79,'Road transport'!$BA36),3)</f>
        <v>*0</v>
      </c>
      <c r="AV36" t="str">
        <f ca="1">"*"&amp;ROUND(SUMIFS(RoadTra_BY!BD$2:BD$79,RoadTra_BY!$B$2:$B$79,'Road transport'!$C36,RoadTra_BY!$C$2:$C$79,'Road transport'!$BA36),3)</f>
        <v>*0</v>
      </c>
      <c r="AW36" t="str">
        <f ca="1">"*"&amp;ROUND(SUMIFS(RoadTra_BY!BE$2:BE$79,RoadTra_BY!$B$2:$B$79,'Road transport'!$C36,RoadTra_BY!$C$2:$C$79,'Road transport'!$BA36),3)</f>
        <v>*0</v>
      </c>
      <c r="AX36" t="str">
        <f t="shared" si="1"/>
        <v>Trd_car_*</v>
      </c>
      <c r="AZ36">
        <f t="shared" si="0"/>
        <v>1</v>
      </c>
      <c r="BA36" t="s">
        <v>110</v>
      </c>
    </row>
    <row r="37" spans="2:53">
      <c r="C37" t="s">
        <v>62</v>
      </c>
      <c r="D37" t="str">
        <f ca="1">"*"&amp;ROUND(SUMIFS(RoadTra_BY!L$2:L$79,RoadTra_BY!$B$2:$B$79,'Road transport'!$C37,RoadTra_BY!$C$2:$C$79,'Road transport'!$BA37),3)</f>
        <v>*0</v>
      </c>
      <c r="E37" t="str">
        <f ca="1">"*"&amp;ROUND(SUMIFS(RoadTra_BY!M$2:M$79,RoadTra_BY!$B$2:$B$79,'Road transport'!$C37,RoadTra_BY!$C$2:$C$79,'Road transport'!$BA37),3)</f>
        <v>*0</v>
      </c>
      <c r="F37" t="str">
        <f ca="1">"*"&amp;ROUND(SUMIFS(RoadTra_BY!N$2:N$79,RoadTra_BY!$B$2:$B$79,'Road transport'!$C37,RoadTra_BY!$C$2:$C$79,'Road transport'!$BA37),3)</f>
        <v>*0</v>
      </c>
      <c r="G37" t="str">
        <f ca="1">"*"&amp;ROUND(SUMIFS(RoadTra_BY!O$2:O$79,RoadTra_BY!$B$2:$B$79,'Road transport'!$C37,RoadTra_BY!$C$2:$C$79,'Road transport'!$BA37),3)</f>
        <v>*0</v>
      </c>
      <c r="H37" t="str">
        <f ca="1">"*"&amp;ROUND(SUMIFS(RoadTra_BY!P$2:P$79,RoadTra_BY!$B$2:$B$79,'Road transport'!$C37,RoadTra_BY!$C$2:$C$79,'Road transport'!$BA37),3)</f>
        <v>*0</v>
      </c>
      <c r="I37" t="str">
        <f ca="1">"*"&amp;ROUND(SUMIFS(RoadTra_BY!Q$2:Q$79,RoadTra_BY!$B$2:$B$79,'Road transport'!$C37,RoadTra_BY!$C$2:$C$79,'Road transport'!$BA37),3)</f>
        <v>*0</v>
      </c>
      <c r="J37" t="str">
        <f ca="1">"*"&amp;ROUND(SUMIFS(RoadTra_BY!R$2:R$79,RoadTra_BY!$B$2:$B$79,'Road transport'!$C37,RoadTra_BY!$C$2:$C$79,'Road transport'!$BA37),3)</f>
        <v>*0</v>
      </c>
      <c r="K37" t="str">
        <f ca="1">"*"&amp;ROUND(SUMIFS(RoadTra_BY!S$2:S$79,RoadTra_BY!$B$2:$B$79,'Road transport'!$C37,RoadTra_BY!$C$2:$C$79,'Road transport'!$BA37),3)</f>
        <v>*0</v>
      </c>
      <c r="L37" t="str">
        <f ca="1">"*"&amp;ROUND(SUMIFS(RoadTra_BY!T$2:T$79,RoadTra_BY!$B$2:$B$79,'Road transport'!$C37,RoadTra_BY!$C$2:$C$79,'Road transport'!$BA37),3)</f>
        <v>*0</v>
      </c>
      <c r="M37" t="str">
        <f ca="1">"*"&amp;ROUND(SUMIFS(RoadTra_BY!U$2:U$79,RoadTra_BY!$B$2:$B$79,'Road transport'!$C37,RoadTra_BY!$C$2:$C$79,'Road transport'!$BA37),3)</f>
        <v>*0</v>
      </c>
      <c r="N37" t="str">
        <f ca="1">"*"&amp;ROUND(SUMIFS(RoadTra_BY!V$2:V$79,RoadTra_BY!$B$2:$B$79,'Road transport'!$C37,RoadTra_BY!$C$2:$C$79,'Road transport'!$BA37),3)</f>
        <v>*0</v>
      </c>
      <c r="O37" t="str">
        <f ca="1">"*"&amp;ROUND(SUMIFS(RoadTra_BY!W$2:W$79,RoadTra_BY!$B$2:$B$79,'Road transport'!$C37,RoadTra_BY!$C$2:$C$79,'Road transport'!$BA37),3)</f>
        <v>*0</v>
      </c>
      <c r="P37" t="str">
        <f ca="1">"*"&amp;ROUND(SUMIFS(RoadTra_BY!X$2:X$79,RoadTra_BY!$B$2:$B$79,'Road transport'!$C37,RoadTra_BY!$C$2:$C$79,'Road transport'!$BA37),3)</f>
        <v>*0</v>
      </c>
      <c r="Q37" t="str">
        <f ca="1">"*"&amp;ROUND(SUMIFS(RoadTra_BY!Y$2:Y$79,RoadTra_BY!$B$2:$B$79,'Road transport'!$C37,RoadTra_BY!$C$2:$C$79,'Road transport'!$BA37),3)</f>
        <v>*0</v>
      </c>
      <c r="R37" t="str">
        <f ca="1">"*"&amp;ROUND(SUMIFS(RoadTra_BY!Z$2:Z$79,RoadTra_BY!$B$2:$B$79,'Road transport'!$C37,RoadTra_BY!$C$2:$C$79,'Road transport'!$BA37),3)</f>
        <v>*0</v>
      </c>
      <c r="S37" t="str">
        <f ca="1">"*"&amp;ROUND(SUMIFS(RoadTra_BY!AA$2:AA$79,RoadTra_BY!$B$2:$B$79,'Road transport'!$C37,RoadTra_BY!$C$2:$C$79,'Road transport'!$BA37),3)</f>
        <v>*0</v>
      </c>
      <c r="T37" t="str">
        <f ca="1">"*"&amp;ROUND(SUMIFS(RoadTra_BY!AB$2:AB$79,RoadTra_BY!$B$2:$B$79,'Road transport'!$C37,RoadTra_BY!$C$2:$C$79,'Road transport'!$BA37),3)</f>
        <v>*0</v>
      </c>
      <c r="U37" t="str">
        <f ca="1">"*"&amp;ROUND(SUMIFS(RoadTra_BY!AC$2:AC$79,RoadTra_BY!$B$2:$B$79,'Road transport'!$C37,RoadTra_BY!$C$2:$C$79,'Road transport'!$BA37),3)</f>
        <v>*0</v>
      </c>
      <c r="V37" t="str">
        <f ca="1">"*"&amp;ROUND(SUMIFS(RoadTra_BY!AD$2:AD$79,RoadTra_BY!$B$2:$B$79,'Road transport'!$C37,RoadTra_BY!$C$2:$C$79,'Road transport'!$BA37),3)</f>
        <v>*0</v>
      </c>
      <c r="W37" t="str">
        <f ca="1">"*"&amp;ROUND(SUMIFS(RoadTra_BY!AE$2:AE$79,RoadTra_BY!$B$2:$B$79,'Road transport'!$C37,RoadTra_BY!$C$2:$C$79,'Road transport'!$BA37),3)</f>
        <v>*0</v>
      </c>
      <c r="X37" t="str">
        <f ca="1">"*"&amp;ROUND(SUMIFS(RoadTra_BY!AF$2:AF$79,RoadTra_BY!$B$2:$B$79,'Road transport'!$C37,RoadTra_BY!$C$2:$C$79,'Road transport'!$BA37),3)</f>
        <v>*0</v>
      </c>
      <c r="Y37" t="str">
        <f ca="1">"*"&amp;ROUND(SUMIFS(RoadTra_BY!AG$2:AG$79,RoadTra_BY!$B$2:$B$79,'Road transport'!$C37,RoadTra_BY!$C$2:$C$79,'Road transport'!$BA37),3)</f>
        <v>*0</v>
      </c>
      <c r="Z37" t="str">
        <f ca="1">"*"&amp;ROUND(SUMIFS(RoadTra_BY!AH$2:AH$79,RoadTra_BY!$B$2:$B$79,'Road transport'!$C37,RoadTra_BY!$C$2:$C$79,'Road transport'!$BA37),3)</f>
        <v>*0</v>
      </c>
      <c r="AA37" t="str">
        <f ca="1">"*"&amp;ROUND(SUMIFS(RoadTra_BY!AI$2:AI$79,RoadTra_BY!$B$2:$B$79,'Road transport'!$C37,RoadTra_BY!$C$2:$C$79,'Road transport'!$BA37),3)</f>
        <v>*0</v>
      </c>
      <c r="AB37" t="str">
        <f ca="1">"*"&amp;ROUND(SUMIFS(RoadTra_BY!AJ$2:AJ$79,RoadTra_BY!$B$2:$B$79,'Road transport'!$C37,RoadTra_BY!$C$2:$C$79,'Road transport'!$BA37),3)</f>
        <v>*0</v>
      </c>
      <c r="AC37" t="str">
        <f ca="1">"*"&amp;ROUND(SUMIFS(RoadTra_BY!AK$2:AK$79,RoadTra_BY!$B$2:$B$79,'Road transport'!$C37,RoadTra_BY!$C$2:$C$79,'Road transport'!$BA37),3)</f>
        <v>*0</v>
      </c>
      <c r="AD37" t="str">
        <f ca="1">"*"&amp;ROUND(SUMIFS(RoadTra_BY!AL$2:AL$79,RoadTra_BY!$B$2:$B$79,'Road transport'!$C37,RoadTra_BY!$C$2:$C$79,'Road transport'!$BA37),3)</f>
        <v>*0</v>
      </c>
      <c r="AE37" t="str">
        <f ca="1">"*"&amp;ROUND(SUMIFS(RoadTra_BY!AM$2:AM$79,RoadTra_BY!$B$2:$B$79,'Road transport'!$C37,RoadTra_BY!$C$2:$C$79,'Road transport'!$BA37),3)</f>
        <v>*0</v>
      </c>
      <c r="AF37" t="str">
        <f ca="1">"*"&amp;ROUND(SUMIFS(RoadTra_BY!AN$2:AN$79,RoadTra_BY!$B$2:$B$79,'Road transport'!$C37,RoadTra_BY!$C$2:$C$79,'Road transport'!$BA37),3)</f>
        <v>*0</v>
      </c>
      <c r="AG37" t="str">
        <f ca="1">"*"&amp;ROUND(SUMIFS(RoadTra_BY!AO$2:AO$79,RoadTra_BY!$B$2:$B$79,'Road transport'!$C37,RoadTra_BY!$C$2:$C$79,'Road transport'!$BA37),3)</f>
        <v>*0</v>
      </c>
      <c r="AH37" t="str">
        <f ca="1">"*"&amp;ROUND(SUMIFS(RoadTra_BY!AP$2:AP$79,RoadTra_BY!$B$2:$B$79,'Road transport'!$C37,RoadTra_BY!$C$2:$C$79,'Road transport'!$BA37),3)</f>
        <v>*0</v>
      </c>
      <c r="AI37" t="str">
        <f ca="1">"*"&amp;ROUND(SUMIFS(RoadTra_BY!AQ$2:AQ$79,RoadTra_BY!$B$2:$B$79,'Road transport'!$C37,RoadTra_BY!$C$2:$C$79,'Road transport'!$BA37),3)</f>
        <v>*0</v>
      </c>
      <c r="AJ37" t="str">
        <f ca="1">"*"&amp;ROUND(SUMIFS(RoadTra_BY!AR$2:AR$79,RoadTra_BY!$B$2:$B$79,'Road transport'!$C37,RoadTra_BY!$C$2:$C$79,'Road transport'!$BA37),3)</f>
        <v>*0</v>
      </c>
      <c r="AK37" t="str">
        <f ca="1">"*"&amp;ROUND(SUMIFS(RoadTra_BY!AS$2:AS$79,RoadTra_BY!$B$2:$B$79,'Road transport'!$C37,RoadTra_BY!$C$2:$C$79,'Road transport'!$BA37),3)</f>
        <v>*0</v>
      </c>
      <c r="AL37" t="str">
        <f ca="1">"*"&amp;ROUND(SUMIFS(RoadTra_BY!AT$2:AT$79,RoadTra_BY!$B$2:$B$79,'Road transport'!$C37,RoadTra_BY!$C$2:$C$79,'Road transport'!$BA37),3)</f>
        <v>*0</v>
      </c>
      <c r="AM37" t="str">
        <f ca="1">"*"&amp;ROUND(SUMIFS(RoadTra_BY!AU$2:AU$79,RoadTra_BY!$B$2:$B$79,'Road transport'!$C37,RoadTra_BY!$C$2:$C$79,'Road transport'!$BA37),3)</f>
        <v>*0</v>
      </c>
      <c r="AN37" t="str">
        <f ca="1">"*"&amp;ROUND(SUMIFS(RoadTra_BY!AV$2:AV$79,RoadTra_BY!$B$2:$B$79,'Road transport'!$C37,RoadTra_BY!$C$2:$C$79,'Road transport'!$BA37),3)</f>
        <v>*0</v>
      </c>
      <c r="AO37" t="str">
        <f ca="1">"*"&amp;ROUND(SUMIFS(RoadTra_BY!AW$2:AW$79,RoadTra_BY!$B$2:$B$79,'Road transport'!$C37,RoadTra_BY!$C$2:$C$79,'Road transport'!$BA37),3)</f>
        <v>*0</v>
      </c>
      <c r="AP37" t="str">
        <f ca="1">"*"&amp;ROUND(SUMIFS(RoadTra_BY!AX$2:AX$79,RoadTra_BY!$B$2:$B$79,'Road transport'!$C37,RoadTra_BY!$C$2:$C$79,'Road transport'!$BA37),3)</f>
        <v>*0</v>
      </c>
      <c r="AQ37" t="str">
        <f ca="1">"*"&amp;ROUND(SUMIFS(RoadTra_BY!AY$2:AY$79,RoadTra_BY!$B$2:$B$79,'Road transport'!$C37,RoadTra_BY!$C$2:$C$79,'Road transport'!$BA37),3)</f>
        <v>*0</v>
      </c>
      <c r="AR37" t="str">
        <f ca="1">"*"&amp;ROUND(SUMIFS(RoadTra_BY!AZ$2:AZ$79,RoadTra_BY!$B$2:$B$79,'Road transport'!$C37,RoadTra_BY!$C$2:$C$79,'Road transport'!$BA37),3)</f>
        <v>*0</v>
      </c>
      <c r="AS37" t="str">
        <f ca="1">"*"&amp;ROUND(SUMIFS(RoadTra_BY!BA$2:BA$79,RoadTra_BY!$B$2:$B$79,'Road transport'!$C37,RoadTra_BY!$C$2:$C$79,'Road transport'!$BA37),3)</f>
        <v>*0</v>
      </c>
      <c r="AT37" t="str">
        <f ca="1">"*"&amp;ROUND(SUMIFS(RoadTra_BY!BB$2:BB$79,RoadTra_BY!$B$2:$B$79,'Road transport'!$C37,RoadTra_BY!$C$2:$C$79,'Road transport'!$BA37),3)</f>
        <v>*0</v>
      </c>
      <c r="AU37" t="str">
        <f ca="1">"*"&amp;ROUND(SUMIFS(RoadTra_BY!BC$2:BC$79,RoadTra_BY!$B$2:$B$79,'Road transport'!$C37,RoadTra_BY!$C$2:$C$79,'Road transport'!$BA37),3)</f>
        <v>*0</v>
      </c>
      <c r="AV37" t="str">
        <f ca="1">"*"&amp;ROUND(SUMIFS(RoadTra_BY!BD$2:BD$79,RoadTra_BY!$B$2:$B$79,'Road transport'!$C37,RoadTra_BY!$C$2:$C$79,'Road transport'!$BA37),3)</f>
        <v>*0</v>
      </c>
      <c r="AW37" t="str">
        <f ca="1">"*"&amp;ROUND(SUMIFS(RoadTra_BY!BE$2:BE$79,RoadTra_BY!$B$2:$B$79,'Road transport'!$C37,RoadTra_BY!$C$2:$C$79,'Road transport'!$BA37),3)</f>
        <v>*0</v>
      </c>
      <c r="AX37" t="str">
        <f t="shared" si="1"/>
        <v>Trd_hdt_*</v>
      </c>
      <c r="AZ37">
        <f t="shared" si="0"/>
        <v>2</v>
      </c>
      <c r="BA37" t="s">
        <v>111</v>
      </c>
    </row>
    <row r="38" spans="2:53">
      <c r="C38" t="s">
        <v>62</v>
      </c>
      <c r="D38" t="str">
        <f ca="1">"*"&amp;ROUND(SUMIFS(RoadTra_BY!L$2:L$79,RoadTra_BY!$B$2:$B$79,'Road transport'!$C38,RoadTra_BY!$C$2:$C$79,'Road transport'!$BA38),3)</f>
        <v>*0</v>
      </c>
      <c r="E38" t="str">
        <f ca="1">"*"&amp;ROUND(SUMIFS(RoadTra_BY!M$2:M$79,RoadTra_BY!$B$2:$B$79,'Road transport'!$C38,RoadTra_BY!$C$2:$C$79,'Road transport'!$BA38),3)</f>
        <v>*0</v>
      </c>
      <c r="F38" t="str">
        <f ca="1">"*"&amp;ROUND(SUMIFS(RoadTra_BY!N$2:N$79,RoadTra_BY!$B$2:$B$79,'Road transport'!$C38,RoadTra_BY!$C$2:$C$79,'Road transport'!$BA38),3)</f>
        <v>*0</v>
      </c>
      <c r="G38" t="str">
        <f ca="1">"*"&amp;ROUND(SUMIFS(RoadTra_BY!O$2:O$79,RoadTra_BY!$B$2:$B$79,'Road transport'!$C38,RoadTra_BY!$C$2:$C$79,'Road transport'!$BA38),3)</f>
        <v>*0</v>
      </c>
      <c r="H38" t="str">
        <f ca="1">"*"&amp;ROUND(SUMIFS(RoadTra_BY!P$2:P$79,RoadTra_BY!$B$2:$B$79,'Road transport'!$C38,RoadTra_BY!$C$2:$C$79,'Road transport'!$BA38),3)</f>
        <v>*0</v>
      </c>
      <c r="I38" t="str">
        <f ca="1">"*"&amp;ROUND(SUMIFS(RoadTra_BY!Q$2:Q$79,RoadTra_BY!$B$2:$B$79,'Road transport'!$C38,RoadTra_BY!$C$2:$C$79,'Road transport'!$BA38),3)</f>
        <v>*0</v>
      </c>
      <c r="J38" t="str">
        <f ca="1">"*"&amp;ROUND(SUMIFS(RoadTra_BY!R$2:R$79,RoadTra_BY!$B$2:$B$79,'Road transport'!$C38,RoadTra_BY!$C$2:$C$79,'Road transport'!$BA38),3)</f>
        <v>*0</v>
      </c>
      <c r="K38" t="str">
        <f ca="1">"*"&amp;ROUND(SUMIFS(RoadTra_BY!S$2:S$79,RoadTra_BY!$B$2:$B$79,'Road transport'!$C38,RoadTra_BY!$C$2:$C$79,'Road transport'!$BA38),3)</f>
        <v>*0</v>
      </c>
      <c r="L38" t="str">
        <f ca="1">"*"&amp;ROUND(SUMIFS(RoadTra_BY!T$2:T$79,RoadTra_BY!$B$2:$B$79,'Road transport'!$C38,RoadTra_BY!$C$2:$C$79,'Road transport'!$BA38),3)</f>
        <v>*0</v>
      </c>
      <c r="M38" t="str">
        <f ca="1">"*"&amp;ROUND(SUMIFS(RoadTra_BY!U$2:U$79,RoadTra_BY!$B$2:$B$79,'Road transport'!$C38,RoadTra_BY!$C$2:$C$79,'Road transport'!$BA38),3)</f>
        <v>*0</v>
      </c>
      <c r="N38" t="str">
        <f ca="1">"*"&amp;ROUND(SUMIFS(RoadTra_BY!V$2:V$79,RoadTra_BY!$B$2:$B$79,'Road transport'!$C38,RoadTra_BY!$C$2:$C$79,'Road transport'!$BA38),3)</f>
        <v>*0</v>
      </c>
      <c r="O38" t="str">
        <f ca="1">"*"&amp;ROUND(SUMIFS(RoadTra_BY!W$2:W$79,RoadTra_BY!$B$2:$B$79,'Road transport'!$C38,RoadTra_BY!$C$2:$C$79,'Road transport'!$BA38),3)</f>
        <v>*0</v>
      </c>
      <c r="P38" t="str">
        <f ca="1">"*"&amp;ROUND(SUMIFS(RoadTra_BY!X$2:X$79,RoadTra_BY!$B$2:$B$79,'Road transport'!$C38,RoadTra_BY!$C$2:$C$79,'Road transport'!$BA38),3)</f>
        <v>*0</v>
      </c>
      <c r="Q38" t="str">
        <f ca="1">"*"&amp;ROUND(SUMIFS(RoadTra_BY!Y$2:Y$79,RoadTra_BY!$B$2:$B$79,'Road transport'!$C38,RoadTra_BY!$C$2:$C$79,'Road transport'!$BA38),3)</f>
        <v>*0</v>
      </c>
      <c r="R38" t="str">
        <f ca="1">"*"&amp;ROUND(SUMIFS(RoadTra_BY!Z$2:Z$79,RoadTra_BY!$B$2:$B$79,'Road transport'!$C38,RoadTra_BY!$C$2:$C$79,'Road transport'!$BA38),3)</f>
        <v>*0</v>
      </c>
      <c r="S38" t="str">
        <f ca="1">"*"&amp;ROUND(SUMIFS(RoadTra_BY!AA$2:AA$79,RoadTra_BY!$B$2:$B$79,'Road transport'!$C38,RoadTra_BY!$C$2:$C$79,'Road transport'!$BA38),3)</f>
        <v>*0</v>
      </c>
      <c r="T38" t="str">
        <f ca="1">"*"&amp;ROUND(SUMIFS(RoadTra_BY!AB$2:AB$79,RoadTra_BY!$B$2:$B$79,'Road transport'!$C38,RoadTra_BY!$C$2:$C$79,'Road transport'!$BA38),3)</f>
        <v>*0</v>
      </c>
      <c r="U38" t="str">
        <f ca="1">"*"&amp;ROUND(SUMIFS(RoadTra_BY!AC$2:AC$79,RoadTra_BY!$B$2:$B$79,'Road transport'!$C38,RoadTra_BY!$C$2:$C$79,'Road transport'!$BA38),3)</f>
        <v>*0</v>
      </c>
      <c r="V38" t="str">
        <f ca="1">"*"&amp;ROUND(SUMIFS(RoadTra_BY!AD$2:AD$79,RoadTra_BY!$B$2:$B$79,'Road transport'!$C38,RoadTra_BY!$C$2:$C$79,'Road transport'!$BA38),3)</f>
        <v>*0</v>
      </c>
      <c r="W38" t="str">
        <f ca="1">"*"&amp;ROUND(SUMIFS(RoadTra_BY!AE$2:AE$79,RoadTra_BY!$B$2:$B$79,'Road transport'!$C38,RoadTra_BY!$C$2:$C$79,'Road transport'!$BA38),3)</f>
        <v>*0</v>
      </c>
      <c r="X38" t="str">
        <f ca="1">"*"&amp;ROUND(SUMIFS(RoadTra_BY!AF$2:AF$79,RoadTra_BY!$B$2:$B$79,'Road transport'!$C38,RoadTra_BY!$C$2:$C$79,'Road transport'!$BA38),3)</f>
        <v>*0</v>
      </c>
      <c r="Y38" t="str">
        <f ca="1">"*"&amp;ROUND(SUMIFS(RoadTra_BY!AG$2:AG$79,RoadTra_BY!$B$2:$B$79,'Road transport'!$C38,RoadTra_BY!$C$2:$C$79,'Road transport'!$BA38),3)</f>
        <v>*0</v>
      </c>
      <c r="Z38" t="str">
        <f ca="1">"*"&amp;ROUND(SUMIFS(RoadTra_BY!AH$2:AH$79,RoadTra_BY!$B$2:$B$79,'Road transport'!$C38,RoadTra_BY!$C$2:$C$79,'Road transport'!$BA38),3)</f>
        <v>*0</v>
      </c>
      <c r="AA38" t="str">
        <f ca="1">"*"&amp;ROUND(SUMIFS(RoadTra_BY!AI$2:AI$79,RoadTra_BY!$B$2:$B$79,'Road transport'!$C38,RoadTra_BY!$C$2:$C$79,'Road transport'!$BA38),3)</f>
        <v>*0</v>
      </c>
      <c r="AB38" t="str">
        <f ca="1">"*"&amp;ROUND(SUMIFS(RoadTra_BY!AJ$2:AJ$79,RoadTra_BY!$B$2:$B$79,'Road transport'!$C38,RoadTra_BY!$C$2:$C$79,'Road transport'!$BA38),3)</f>
        <v>*0</v>
      </c>
      <c r="AC38" t="str">
        <f ca="1">"*"&amp;ROUND(SUMIFS(RoadTra_BY!AK$2:AK$79,RoadTra_BY!$B$2:$B$79,'Road transport'!$C38,RoadTra_BY!$C$2:$C$79,'Road transport'!$BA38),3)</f>
        <v>*0</v>
      </c>
      <c r="AD38" t="str">
        <f ca="1">"*"&amp;ROUND(SUMIFS(RoadTra_BY!AL$2:AL$79,RoadTra_BY!$B$2:$B$79,'Road transport'!$C38,RoadTra_BY!$C$2:$C$79,'Road transport'!$BA38),3)</f>
        <v>*0</v>
      </c>
      <c r="AE38" t="str">
        <f ca="1">"*"&amp;ROUND(SUMIFS(RoadTra_BY!AM$2:AM$79,RoadTra_BY!$B$2:$B$79,'Road transport'!$C38,RoadTra_BY!$C$2:$C$79,'Road transport'!$BA38),3)</f>
        <v>*0</v>
      </c>
      <c r="AF38" t="str">
        <f ca="1">"*"&amp;ROUND(SUMIFS(RoadTra_BY!AN$2:AN$79,RoadTra_BY!$B$2:$B$79,'Road transport'!$C38,RoadTra_BY!$C$2:$C$79,'Road transport'!$BA38),3)</f>
        <v>*0</v>
      </c>
      <c r="AG38" t="str">
        <f ca="1">"*"&amp;ROUND(SUMIFS(RoadTra_BY!AO$2:AO$79,RoadTra_BY!$B$2:$B$79,'Road transport'!$C38,RoadTra_BY!$C$2:$C$79,'Road transport'!$BA38),3)</f>
        <v>*0</v>
      </c>
      <c r="AH38" t="str">
        <f ca="1">"*"&amp;ROUND(SUMIFS(RoadTra_BY!AP$2:AP$79,RoadTra_BY!$B$2:$B$79,'Road transport'!$C38,RoadTra_BY!$C$2:$C$79,'Road transport'!$BA38),3)</f>
        <v>*0</v>
      </c>
      <c r="AI38" t="str">
        <f ca="1">"*"&amp;ROUND(SUMIFS(RoadTra_BY!AQ$2:AQ$79,RoadTra_BY!$B$2:$B$79,'Road transport'!$C38,RoadTra_BY!$C$2:$C$79,'Road transport'!$BA38),3)</f>
        <v>*0</v>
      </c>
      <c r="AJ38" t="str">
        <f ca="1">"*"&amp;ROUND(SUMIFS(RoadTra_BY!AR$2:AR$79,RoadTra_BY!$B$2:$B$79,'Road transport'!$C38,RoadTra_BY!$C$2:$C$79,'Road transport'!$BA38),3)</f>
        <v>*0</v>
      </c>
      <c r="AK38" t="str">
        <f ca="1">"*"&amp;ROUND(SUMIFS(RoadTra_BY!AS$2:AS$79,RoadTra_BY!$B$2:$B$79,'Road transport'!$C38,RoadTra_BY!$C$2:$C$79,'Road transport'!$BA38),3)</f>
        <v>*0</v>
      </c>
      <c r="AL38" t="str">
        <f ca="1">"*"&amp;ROUND(SUMIFS(RoadTra_BY!AT$2:AT$79,RoadTra_BY!$B$2:$B$79,'Road transport'!$C38,RoadTra_BY!$C$2:$C$79,'Road transport'!$BA38),3)</f>
        <v>*0</v>
      </c>
      <c r="AM38" t="str">
        <f ca="1">"*"&amp;ROUND(SUMIFS(RoadTra_BY!AU$2:AU$79,RoadTra_BY!$B$2:$B$79,'Road transport'!$C38,RoadTra_BY!$C$2:$C$79,'Road transport'!$BA38),3)</f>
        <v>*0</v>
      </c>
      <c r="AN38" t="str">
        <f ca="1">"*"&amp;ROUND(SUMIFS(RoadTra_BY!AV$2:AV$79,RoadTra_BY!$B$2:$B$79,'Road transport'!$C38,RoadTra_BY!$C$2:$C$79,'Road transport'!$BA38),3)</f>
        <v>*0</v>
      </c>
      <c r="AO38" t="str">
        <f ca="1">"*"&amp;ROUND(SUMIFS(RoadTra_BY!AW$2:AW$79,RoadTra_BY!$B$2:$B$79,'Road transport'!$C38,RoadTra_BY!$C$2:$C$79,'Road transport'!$BA38),3)</f>
        <v>*0</v>
      </c>
      <c r="AP38" t="str">
        <f ca="1">"*"&amp;ROUND(SUMIFS(RoadTra_BY!AX$2:AX$79,RoadTra_BY!$B$2:$B$79,'Road transport'!$C38,RoadTra_BY!$C$2:$C$79,'Road transport'!$BA38),3)</f>
        <v>*0</v>
      </c>
      <c r="AQ38" t="str">
        <f ca="1">"*"&amp;ROUND(SUMIFS(RoadTra_BY!AY$2:AY$79,RoadTra_BY!$B$2:$B$79,'Road transport'!$C38,RoadTra_BY!$C$2:$C$79,'Road transport'!$BA38),3)</f>
        <v>*0</v>
      </c>
      <c r="AR38" t="str">
        <f ca="1">"*"&amp;ROUND(SUMIFS(RoadTra_BY!AZ$2:AZ$79,RoadTra_BY!$B$2:$B$79,'Road transport'!$C38,RoadTra_BY!$C$2:$C$79,'Road transport'!$BA38),3)</f>
        <v>*0</v>
      </c>
      <c r="AS38" t="str">
        <f ca="1">"*"&amp;ROUND(SUMIFS(RoadTra_BY!BA$2:BA$79,RoadTra_BY!$B$2:$B$79,'Road transport'!$C38,RoadTra_BY!$C$2:$C$79,'Road transport'!$BA38),3)</f>
        <v>*0</v>
      </c>
      <c r="AT38" t="str">
        <f ca="1">"*"&amp;ROUND(SUMIFS(RoadTra_BY!BB$2:BB$79,RoadTra_BY!$B$2:$B$79,'Road transport'!$C38,RoadTra_BY!$C$2:$C$79,'Road transport'!$BA38),3)</f>
        <v>*0</v>
      </c>
      <c r="AU38" t="str">
        <f ca="1">"*"&amp;ROUND(SUMIFS(RoadTra_BY!BC$2:BC$79,RoadTra_BY!$B$2:$B$79,'Road transport'!$C38,RoadTra_BY!$C$2:$C$79,'Road transport'!$BA38),3)</f>
        <v>*0</v>
      </c>
      <c r="AV38" t="str">
        <f ca="1">"*"&amp;ROUND(SUMIFS(RoadTra_BY!BD$2:BD$79,RoadTra_BY!$B$2:$B$79,'Road transport'!$C38,RoadTra_BY!$C$2:$C$79,'Road transport'!$BA38),3)</f>
        <v>*0</v>
      </c>
      <c r="AW38" t="str">
        <f ca="1">"*"&amp;ROUND(SUMIFS(RoadTra_BY!BE$2:BE$79,RoadTra_BY!$B$2:$B$79,'Road transport'!$C38,RoadTra_BY!$C$2:$C$79,'Road transport'!$BA38),3)</f>
        <v>*0</v>
      </c>
      <c r="AX38" t="str">
        <f t="shared" si="1"/>
        <v>Trd_lcv_*</v>
      </c>
      <c r="AZ38">
        <f t="shared" si="0"/>
        <v>2</v>
      </c>
      <c r="BA38" t="s">
        <v>112</v>
      </c>
    </row>
    <row r="45" spans="2:53">
      <c r="E45" s="8"/>
    </row>
    <row r="48" spans="2:53">
      <c r="B48" t="s">
        <v>106</v>
      </c>
    </row>
    <row r="49" spans="2:53">
      <c r="B49" t="s">
        <v>71</v>
      </c>
      <c r="C49" t="s">
        <v>75</v>
      </c>
      <c r="D49" t="s">
        <v>48</v>
      </c>
      <c r="E49" t="s">
        <v>49</v>
      </c>
      <c r="I49" t="s">
        <v>113</v>
      </c>
    </row>
    <row r="50" spans="2:53">
      <c r="B50" t="s">
        <v>62</v>
      </c>
      <c r="C50" t="s">
        <v>114</v>
      </c>
      <c r="D50" t="s">
        <v>59</v>
      </c>
      <c r="E50" t="s">
        <v>115</v>
      </c>
    </row>
    <row r="53" spans="2:53">
      <c r="B53" t="s">
        <v>69</v>
      </c>
    </row>
    <row r="54" spans="2:53">
      <c r="B54" t="s">
        <v>71</v>
      </c>
      <c r="C54" t="s">
        <v>75</v>
      </c>
      <c r="D54" t="s">
        <v>116</v>
      </c>
      <c r="E54" t="s">
        <v>96</v>
      </c>
      <c r="F54" t="s">
        <v>50</v>
      </c>
      <c r="G54" t="s">
        <v>117</v>
      </c>
      <c r="H54" t="s">
        <v>49</v>
      </c>
    </row>
    <row r="55" spans="2:53">
      <c r="B55" t="s">
        <v>91</v>
      </c>
      <c r="C55">
        <v>10</v>
      </c>
      <c r="D55" t="s">
        <v>118</v>
      </c>
      <c r="E55" s="31" t="s">
        <v>119</v>
      </c>
    </row>
    <row r="56" spans="2:53">
      <c r="B56" t="s">
        <v>120</v>
      </c>
      <c r="C56">
        <v>1</v>
      </c>
      <c r="F56" t="s">
        <v>121</v>
      </c>
      <c r="G56" t="s">
        <v>58</v>
      </c>
      <c r="H56" t="str">
        <f>F56</f>
        <v>AuxStoIN</v>
      </c>
    </row>
    <row r="62" spans="2:53">
      <c r="H62" s="4"/>
    </row>
    <row r="63" spans="2:53">
      <c r="H63" s="4"/>
      <c r="BA63" s="2"/>
    </row>
    <row r="65" spans="1:106" s="1" customFormat="1">
      <c r="A65" s="2"/>
      <c r="B65" s="9" t="s">
        <v>69</v>
      </c>
      <c r="C65" s="10"/>
      <c r="D65" s="9"/>
      <c r="E65" s="9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Y65" s="2"/>
      <c r="AZ65" s="2"/>
      <c r="BB65" s="2"/>
      <c r="BC65" s="2"/>
      <c r="BD65" s="2"/>
      <c r="BE65" s="2"/>
      <c r="BF65" s="2"/>
      <c r="BG65" s="2"/>
      <c r="BH65" s="2"/>
      <c r="BI65" s="2"/>
      <c r="CO65" s="23"/>
      <c r="CP65" s="23"/>
      <c r="CR65" s="23"/>
      <c r="CS65" s="23"/>
      <c r="CT65" s="23"/>
      <c r="CU65" s="23"/>
      <c r="CW65" s="4"/>
      <c r="CX65" s="26" t="s">
        <v>69</v>
      </c>
      <c r="CY65" s="4"/>
      <c r="CZ65" s="4"/>
      <c r="DA65" s="4"/>
      <c r="DB65" s="4"/>
    </row>
    <row r="66" spans="1:106" s="2" customFormat="1">
      <c r="B66" s="9" t="s">
        <v>71</v>
      </c>
      <c r="C66" s="9" t="s">
        <v>76</v>
      </c>
      <c r="D66" s="9" t="s">
        <v>45</v>
      </c>
      <c r="E66" s="9" t="s">
        <v>50</v>
      </c>
      <c r="F66" s="2" t="s">
        <v>3</v>
      </c>
      <c r="G66" s="2" t="s">
        <v>5</v>
      </c>
      <c r="H66" s="2" t="s">
        <v>6</v>
      </c>
      <c r="I66" s="2" t="s">
        <v>7</v>
      </c>
      <c r="J66" s="2" t="s">
        <v>8</v>
      </c>
      <c r="K66" s="2" t="s">
        <v>9</v>
      </c>
      <c r="L66" s="2" t="s">
        <v>10</v>
      </c>
      <c r="M66" s="2" t="s">
        <v>11</v>
      </c>
      <c r="N66" s="2" t="s">
        <v>12</v>
      </c>
      <c r="O66" s="2" t="s">
        <v>13</v>
      </c>
      <c r="P66" s="2" t="s">
        <v>14</v>
      </c>
      <c r="Q66" s="2" t="s">
        <v>15</v>
      </c>
      <c r="R66" s="2" t="s">
        <v>16</v>
      </c>
      <c r="S66" s="2" t="s">
        <v>17</v>
      </c>
      <c r="T66" s="2" t="s">
        <v>18</v>
      </c>
      <c r="U66" s="2" t="s">
        <v>19</v>
      </c>
      <c r="V66" s="2" t="s">
        <v>20</v>
      </c>
      <c r="W66" s="2" t="s">
        <v>21</v>
      </c>
      <c r="X66" s="2" t="s">
        <v>22</v>
      </c>
      <c r="Y66" s="2" t="s">
        <v>23</v>
      </c>
      <c r="Z66" s="2" t="s">
        <v>24</v>
      </c>
      <c r="AA66" s="2" t="s">
        <v>25</v>
      </c>
      <c r="AB66" s="2" t="s">
        <v>26</v>
      </c>
      <c r="AC66" s="2" t="s">
        <v>27</v>
      </c>
      <c r="AD66" s="2" t="s">
        <v>28</v>
      </c>
      <c r="AE66" s="2" t="s">
        <v>29</v>
      </c>
      <c r="AF66" s="2" t="s">
        <v>30</v>
      </c>
      <c r="AG66" s="2" t="s">
        <v>31</v>
      </c>
      <c r="AH66" s="2" t="s">
        <v>32</v>
      </c>
      <c r="AI66" s="2" t="s">
        <v>33</v>
      </c>
      <c r="AJ66" s="2" t="s">
        <v>34</v>
      </c>
      <c r="AK66" s="2" t="s">
        <v>35</v>
      </c>
      <c r="AL66" s="2" t="s">
        <v>36</v>
      </c>
      <c r="AM66" s="2" t="s">
        <v>37</v>
      </c>
      <c r="AN66" s="2" t="s">
        <v>122</v>
      </c>
      <c r="CQ66" s="24"/>
      <c r="CR66" s="24"/>
      <c r="CT66" s="24"/>
      <c r="CU66" s="24"/>
      <c r="CW66" t="s">
        <v>71</v>
      </c>
      <c r="CX66" t="s">
        <v>76</v>
      </c>
      <c r="CY66" t="s">
        <v>45</v>
      </c>
      <c r="CZ66" t="s">
        <v>50</v>
      </c>
      <c r="DA66" s="29" t="s">
        <v>77</v>
      </c>
      <c r="DB66" s="29" t="s">
        <v>44</v>
      </c>
    </row>
    <row r="67" spans="1:106" s="2" customFormat="1" ht="14.5">
      <c r="B67" s="11" t="s">
        <v>123</v>
      </c>
      <c r="C67" s="9" t="s">
        <v>124</v>
      </c>
      <c r="D67" s="10" t="s">
        <v>125</v>
      </c>
      <c r="E67" s="10" t="s">
        <v>126</v>
      </c>
      <c r="F67" s="2">
        <f t="shared" ref="F67:L68" si="2">D77/1000</f>
        <v>0</v>
      </c>
      <c r="G67" s="2">
        <f t="shared" si="2"/>
        <v>310</v>
      </c>
      <c r="H67" s="2">
        <f t="shared" si="2"/>
        <v>6200</v>
      </c>
      <c r="I67" s="2">
        <f t="shared" si="2"/>
        <v>0</v>
      </c>
      <c r="J67" s="2">
        <f t="shared" si="2"/>
        <v>0</v>
      </c>
      <c r="K67" s="2">
        <f t="shared" si="2"/>
        <v>0</v>
      </c>
      <c r="L67" s="2">
        <f t="shared" si="2"/>
        <v>250</v>
      </c>
      <c r="M67" s="2">
        <v>2000</v>
      </c>
      <c r="N67" s="2">
        <f t="shared" ref="N67:W68" si="3">L77/1000</f>
        <v>0</v>
      </c>
      <c r="O67" s="2">
        <f t="shared" si="3"/>
        <v>0</v>
      </c>
      <c r="P67" s="2">
        <f t="shared" si="3"/>
        <v>0</v>
      </c>
      <c r="Q67" s="2">
        <f t="shared" si="3"/>
        <v>0</v>
      </c>
      <c r="R67" s="2">
        <f t="shared" si="3"/>
        <v>0</v>
      </c>
      <c r="S67" s="2">
        <f t="shared" si="3"/>
        <v>0</v>
      </c>
      <c r="T67" s="2">
        <f t="shared" si="3"/>
        <v>0</v>
      </c>
      <c r="U67" s="2">
        <f t="shared" si="3"/>
        <v>0</v>
      </c>
      <c r="V67" s="2">
        <f t="shared" si="3"/>
        <v>0</v>
      </c>
      <c r="W67" s="2">
        <f t="shared" si="3"/>
        <v>0</v>
      </c>
      <c r="X67" s="2">
        <f t="shared" ref="X67:AG68" si="4">V77/1000</f>
        <v>0</v>
      </c>
      <c r="Y67" s="2">
        <f t="shared" si="4"/>
        <v>12250</v>
      </c>
      <c r="Z67" s="2">
        <f t="shared" si="4"/>
        <v>0</v>
      </c>
      <c r="AA67" s="2">
        <f t="shared" si="4"/>
        <v>1930</v>
      </c>
      <c r="AB67" s="2">
        <f t="shared" si="4"/>
        <v>0</v>
      </c>
      <c r="AC67" s="2">
        <f t="shared" si="4"/>
        <v>0</v>
      </c>
      <c r="AD67" s="2">
        <f t="shared" si="4"/>
        <v>3300</v>
      </c>
      <c r="AE67" s="2">
        <f t="shared" si="4"/>
        <v>0</v>
      </c>
      <c r="AF67" s="2">
        <f t="shared" si="4"/>
        <v>0</v>
      </c>
      <c r="AG67" s="2">
        <f t="shared" si="4"/>
        <v>0</v>
      </c>
      <c r="AH67" s="2">
        <f t="shared" ref="AH67:AM68" si="5">AF77/1000</f>
        <v>60</v>
      </c>
      <c r="AI67" s="2">
        <f t="shared" si="5"/>
        <v>0</v>
      </c>
      <c r="AJ67" s="2">
        <f t="shared" si="5"/>
        <v>0</v>
      </c>
      <c r="AK67" s="2">
        <f t="shared" si="5"/>
        <v>0</v>
      </c>
      <c r="AL67" s="2">
        <f t="shared" si="5"/>
        <v>0</v>
      </c>
      <c r="AM67" s="2">
        <f t="shared" si="5"/>
        <v>0</v>
      </c>
      <c r="AN67" s="2" t="str">
        <f>E67</f>
        <v>m_lithium</v>
      </c>
      <c r="CQ67" s="24"/>
      <c r="CR67" s="24"/>
      <c r="CT67" s="24"/>
      <c r="CU67" s="24"/>
      <c r="CW67" s="27" t="s">
        <v>123</v>
      </c>
      <c r="CX67" t="s">
        <v>124</v>
      </c>
      <c r="CY67" s="4" t="s">
        <v>127</v>
      </c>
      <c r="CZ67" s="4" t="s">
        <v>126</v>
      </c>
      <c r="DA67" s="29">
        <v>0</v>
      </c>
      <c r="DB67" s="29">
        <v>5</v>
      </c>
    </row>
    <row r="68" spans="1:106" s="2" customFormat="1" ht="14.5">
      <c r="B68" s="11" t="s">
        <v>123</v>
      </c>
      <c r="C68" s="9" t="s">
        <v>124</v>
      </c>
      <c r="D68" s="10" t="s">
        <v>128</v>
      </c>
      <c r="E68" s="10" t="s">
        <v>129</v>
      </c>
      <c r="F68" s="2">
        <f t="shared" si="2"/>
        <v>0</v>
      </c>
      <c r="G68" s="2">
        <f t="shared" si="2"/>
        <v>0</v>
      </c>
      <c r="H68" s="2">
        <f t="shared" si="2"/>
        <v>21000</v>
      </c>
      <c r="I68" s="2">
        <f t="shared" si="2"/>
        <v>0</v>
      </c>
      <c r="J68" s="2">
        <f t="shared" si="2"/>
        <v>0</v>
      </c>
      <c r="K68" s="2">
        <f t="shared" si="2"/>
        <v>0</v>
      </c>
      <c r="L68" s="2">
        <f t="shared" si="2"/>
        <v>16000</v>
      </c>
      <c r="M68" s="2">
        <f>K78/1000</f>
        <v>2100</v>
      </c>
      <c r="N68" s="2">
        <f t="shared" si="3"/>
        <v>0</v>
      </c>
      <c r="O68" s="2">
        <f t="shared" si="3"/>
        <v>0</v>
      </c>
      <c r="P68" s="2">
        <f t="shared" si="3"/>
        <v>0</v>
      </c>
      <c r="Q68" s="2">
        <f t="shared" si="3"/>
        <v>0</v>
      </c>
      <c r="R68" s="2">
        <f t="shared" si="3"/>
        <v>0</v>
      </c>
      <c r="S68" s="2">
        <f t="shared" si="3"/>
        <v>0</v>
      </c>
      <c r="T68" s="2">
        <f t="shared" si="3"/>
        <v>0</v>
      </c>
      <c r="U68" s="2">
        <f t="shared" si="3"/>
        <v>0</v>
      </c>
      <c r="V68" s="2">
        <f t="shared" si="3"/>
        <v>0</v>
      </c>
      <c r="W68" s="2">
        <f t="shared" si="3"/>
        <v>0</v>
      </c>
      <c r="X68" s="2">
        <f t="shared" si="4"/>
        <v>0</v>
      </c>
      <c r="Y68" s="2">
        <f t="shared" si="4"/>
        <v>16000</v>
      </c>
      <c r="Z68" s="2">
        <f t="shared" si="4"/>
        <v>0</v>
      </c>
      <c r="AA68" s="2">
        <f t="shared" si="4"/>
        <v>2570</v>
      </c>
      <c r="AB68" s="2">
        <f t="shared" si="4"/>
        <v>0</v>
      </c>
      <c r="AC68" s="2">
        <f t="shared" si="4"/>
        <v>0</v>
      </c>
      <c r="AD68" s="2">
        <f t="shared" si="4"/>
        <v>52900</v>
      </c>
      <c r="AE68" s="2">
        <f t="shared" si="4"/>
        <v>7500</v>
      </c>
      <c r="AF68" s="2">
        <f t="shared" si="4"/>
        <v>0</v>
      </c>
      <c r="AG68" s="2">
        <f t="shared" si="4"/>
        <v>0</v>
      </c>
      <c r="AH68" s="2">
        <f t="shared" si="5"/>
        <v>0</v>
      </c>
      <c r="AI68" s="2">
        <f t="shared" si="5"/>
        <v>0</v>
      </c>
      <c r="AJ68" s="2">
        <f t="shared" si="5"/>
        <v>0</v>
      </c>
      <c r="AK68" s="2">
        <f t="shared" si="5"/>
        <v>0</v>
      </c>
      <c r="AL68" s="2">
        <f t="shared" si="5"/>
        <v>0</v>
      </c>
      <c r="AM68" s="2">
        <f t="shared" si="5"/>
        <v>0</v>
      </c>
      <c r="AN68" s="2" t="str">
        <f t="shared" ref="AN68:AN73" si="6">E68</f>
        <v>m_nickel</v>
      </c>
      <c r="CQ68" s="24"/>
      <c r="CR68" s="24"/>
      <c r="CT68" s="24"/>
      <c r="CU68" s="24"/>
      <c r="CW68" s="27" t="s">
        <v>123</v>
      </c>
      <c r="CX68" t="s">
        <v>124</v>
      </c>
      <c r="CY68" s="4" t="s">
        <v>127</v>
      </c>
      <c r="CZ68" s="4" t="s">
        <v>129</v>
      </c>
      <c r="DA68" s="29">
        <v>0</v>
      </c>
      <c r="DB68" s="29">
        <v>5</v>
      </c>
    </row>
    <row r="69" spans="1:106" s="3" customFormat="1" ht="14.5">
      <c r="B69" s="12" t="s">
        <v>123</v>
      </c>
      <c r="C69" s="3" t="s">
        <v>124</v>
      </c>
      <c r="D69" s="13" t="s">
        <v>130</v>
      </c>
      <c r="E69" s="13" t="s">
        <v>131</v>
      </c>
      <c r="F69" s="14">
        <v>0</v>
      </c>
      <c r="G69" s="14">
        <f>E79/10000</f>
        <v>410</v>
      </c>
      <c r="H69" s="14">
        <f>F79/10000</f>
        <v>150</v>
      </c>
      <c r="I69" s="14">
        <f>G79/10000</f>
        <v>0</v>
      </c>
      <c r="J69" s="14">
        <f>H79/10000</f>
        <v>0</v>
      </c>
      <c r="K69" s="14">
        <f>I79/10000</f>
        <v>0</v>
      </c>
      <c r="L69" s="14">
        <f t="shared" ref="L69:AM69" si="7">J79/10000</f>
        <v>0</v>
      </c>
      <c r="M69" s="14">
        <f t="shared" si="7"/>
        <v>14</v>
      </c>
      <c r="N69" s="14">
        <f t="shared" si="7"/>
        <v>0</v>
      </c>
      <c r="O69" s="14">
        <f t="shared" si="7"/>
        <v>0</v>
      </c>
      <c r="P69" s="14">
        <f t="shared" si="7"/>
        <v>0</v>
      </c>
      <c r="Q69" s="14">
        <f t="shared" si="7"/>
        <v>0</v>
      </c>
      <c r="R69" s="14">
        <f t="shared" si="7"/>
        <v>0</v>
      </c>
      <c r="S69" s="14">
        <f t="shared" si="7"/>
        <v>0</v>
      </c>
      <c r="T69" s="14">
        <f t="shared" si="7"/>
        <v>0</v>
      </c>
      <c r="U69" s="14">
        <f t="shared" si="7"/>
        <v>0</v>
      </c>
      <c r="V69" s="14">
        <f t="shared" si="7"/>
        <v>0</v>
      </c>
      <c r="W69" s="14">
        <f t="shared" si="7"/>
        <v>0</v>
      </c>
      <c r="X69" s="14">
        <f t="shared" si="7"/>
        <v>0</v>
      </c>
      <c r="Y69" s="14">
        <f t="shared" si="7"/>
        <v>50</v>
      </c>
      <c r="Z69" s="14">
        <f t="shared" si="7"/>
        <v>3.6</v>
      </c>
      <c r="AA69" s="14">
        <f t="shared" si="7"/>
        <v>28.9</v>
      </c>
      <c r="AB69" s="14">
        <f t="shared" si="7"/>
        <v>0</v>
      </c>
      <c r="AC69" s="14">
        <f t="shared" si="7"/>
        <v>0</v>
      </c>
      <c r="AD69" s="14">
        <f t="shared" si="7"/>
        <v>151.69999999999999</v>
      </c>
      <c r="AE69" s="14">
        <f t="shared" si="7"/>
        <v>25</v>
      </c>
      <c r="AF69" s="14">
        <f t="shared" si="7"/>
        <v>0</v>
      </c>
      <c r="AG69" s="14">
        <f t="shared" si="7"/>
        <v>0</v>
      </c>
      <c r="AH69" s="14">
        <f t="shared" si="7"/>
        <v>0</v>
      </c>
      <c r="AI69" s="14">
        <f t="shared" si="7"/>
        <v>0</v>
      </c>
      <c r="AJ69" s="14">
        <f t="shared" si="7"/>
        <v>0</v>
      </c>
      <c r="AK69" s="14">
        <f t="shared" si="7"/>
        <v>3.6</v>
      </c>
      <c r="AL69" s="14">
        <f t="shared" si="7"/>
        <v>0</v>
      </c>
      <c r="AM69" s="14">
        <f t="shared" si="7"/>
        <v>0</v>
      </c>
      <c r="AN69" s="2" t="str">
        <f t="shared" si="6"/>
        <v>m_cobalt</v>
      </c>
      <c r="CQ69" s="25"/>
      <c r="CR69" s="25"/>
      <c r="CT69" s="25"/>
      <c r="CU69" s="25"/>
      <c r="CW69" s="12" t="s">
        <v>123</v>
      </c>
      <c r="CX69" s="3" t="s">
        <v>124</v>
      </c>
      <c r="CY69" s="13" t="s">
        <v>127</v>
      </c>
      <c r="CZ69" s="13" t="s">
        <v>131</v>
      </c>
      <c r="DA69" s="25">
        <v>0</v>
      </c>
      <c r="DB69" s="25">
        <v>5</v>
      </c>
    </row>
    <row r="70" spans="1:106" s="2" customFormat="1" ht="14.5">
      <c r="B70" s="11" t="s">
        <v>123</v>
      </c>
      <c r="C70" s="9" t="s">
        <v>124</v>
      </c>
      <c r="D70" s="10" t="s">
        <v>132</v>
      </c>
      <c r="E70" s="15" t="s">
        <v>133</v>
      </c>
      <c r="F70" s="16">
        <f t="shared" ref="F70:Z70" si="8">D80/1000</f>
        <v>0</v>
      </c>
      <c r="G70" s="16">
        <f t="shared" si="8"/>
        <v>74000</v>
      </c>
      <c r="H70" s="16">
        <f t="shared" si="8"/>
        <v>270000</v>
      </c>
      <c r="I70" s="16">
        <f t="shared" si="8"/>
        <v>0</v>
      </c>
      <c r="J70" s="16">
        <f t="shared" si="8"/>
        <v>0</v>
      </c>
      <c r="K70" s="16">
        <f t="shared" si="8"/>
        <v>0</v>
      </c>
      <c r="L70" s="16">
        <f t="shared" si="8"/>
        <v>270000</v>
      </c>
      <c r="M70" s="16">
        <f t="shared" si="8"/>
        <v>280000</v>
      </c>
      <c r="N70" s="16">
        <f t="shared" si="8"/>
        <v>0</v>
      </c>
      <c r="O70" s="16">
        <f t="shared" si="8"/>
        <v>0</v>
      </c>
      <c r="P70" s="16">
        <f t="shared" si="8"/>
        <v>0</v>
      </c>
      <c r="Q70" s="16">
        <f t="shared" si="8"/>
        <v>0</v>
      </c>
      <c r="R70" s="16">
        <f t="shared" si="8"/>
        <v>0</v>
      </c>
      <c r="S70" s="16">
        <f t="shared" si="8"/>
        <v>0</v>
      </c>
      <c r="T70" s="16">
        <f t="shared" si="8"/>
        <v>0</v>
      </c>
      <c r="U70" s="16">
        <f t="shared" si="8"/>
        <v>34000</v>
      </c>
      <c r="V70" s="16">
        <f t="shared" si="8"/>
        <v>0</v>
      </c>
      <c r="W70" s="16">
        <f t="shared" si="8"/>
        <v>0</v>
      </c>
      <c r="X70" s="16">
        <f t="shared" si="8"/>
        <v>0</v>
      </c>
      <c r="Y70" s="16">
        <f t="shared" si="8"/>
        <v>275000</v>
      </c>
      <c r="Z70" s="16">
        <f t="shared" si="8"/>
        <v>0</v>
      </c>
      <c r="AA70" s="22">
        <v>100</v>
      </c>
      <c r="AB70" s="2">
        <f t="shared" ref="AB70:AM73" si="9">Z80/1000</f>
        <v>0</v>
      </c>
      <c r="AC70" s="2">
        <f t="shared" si="9"/>
        <v>0</v>
      </c>
      <c r="AD70" s="2">
        <f t="shared" si="9"/>
        <v>5000</v>
      </c>
      <c r="AE70" s="2">
        <f t="shared" si="9"/>
        <v>0</v>
      </c>
      <c r="AF70" s="2">
        <f t="shared" si="9"/>
        <v>0</v>
      </c>
      <c r="AG70" s="9">
        <f t="shared" si="9"/>
        <v>640000</v>
      </c>
      <c r="AH70" s="2">
        <f t="shared" si="9"/>
        <v>0</v>
      </c>
      <c r="AI70" s="2">
        <f t="shared" si="9"/>
        <v>0</v>
      </c>
      <c r="AJ70" s="2">
        <f t="shared" si="9"/>
        <v>0</v>
      </c>
      <c r="AK70" s="2">
        <f t="shared" si="9"/>
        <v>0</v>
      </c>
      <c r="AL70" s="2">
        <f t="shared" si="9"/>
        <v>0</v>
      </c>
      <c r="AM70" s="2">
        <f t="shared" si="9"/>
        <v>140000</v>
      </c>
      <c r="AN70" s="2" t="str">
        <f t="shared" si="6"/>
        <v>m_manganese</v>
      </c>
      <c r="CQ70" s="24"/>
      <c r="CR70" s="24"/>
      <c r="CT70" s="24"/>
      <c r="CU70" s="24"/>
      <c r="CW70" s="27" t="s">
        <v>123</v>
      </c>
      <c r="CX70" t="s">
        <v>124</v>
      </c>
      <c r="CY70" s="4" t="s">
        <v>127</v>
      </c>
      <c r="CZ70" s="28" t="s">
        <v>133</v>
      </c>
      <c r="DA70" s="29">
        <v>0</v>
      </c>
      <c r="DB70" s="29">
        <v>5</v>
      </c>
    </row>
    <row r="71" spans="1:106" s="2" customFormat="1" ht="14.5">
      <c r="B71" s="11" t="s">
        <v>123</v>
      </c>
      <c r="C71" s="9" t="s">
        <v>124</v>
      </c>
      <c r="D71" s="10" t="s">
        <v>134</v>
      </c>
      <c r="E71" s="10" t="s">
        <v>135</v>
      </c>
      <c r="F71" s="2">
        <f t="shared" ref="F71:L73" si="10">D81/1000</f>
        <v>0</v>
      </c>
      <c r="G71" s="2">
        <f t="shared" si="10"/>
        <v>0</v>
      </c>
      <c r="H71" s="2">
        <f t="shared" si="10"/>
        <v>0</v>
      </c>
      <c r="I71" s="2">
        <f t="shared" si="10"/>
        <v>0</v>
      </c>
      <c r="J71" s="2">
        <f t="shared" si="10"/>
        <v>0</v>
      </c>
      <c r="K71" s="2">
        <f t="shared" si="10"/>
        <v>0</v>
      </c>
      <c r="L71" s="2">
        <f t="shared" si="10"/>
        <v>0</v>
      </c>
      <c r="M71" s="21">
        <v>41500</v>
      </c>
      <c r="N71" s="2">
        <f t="shared" ref="N71:Z73" si="11">L81/1000</f>
        <v>0</v>
      </c>
      <c r="O71" s="2">
        <f t="shared" si="11"/>
        <v>0</v>
      </c>
      <c r="P71" s="2">
        <f t="shared" si="11"/>
        <v>0</v>
      </c>
      <c r="Q71" s="2">
        <f t="shared" si="11"/>
        <v>0</v>
      </c>
      <c r="R71" s="2">
        <f t="shared" si="11"/>
        <v>0</v>
      </c>
      <c r="S71" s="2">
        <f t="shared" si="11"/>
        <v>0</v>
      </c>
      <c r="T71" s="2">
        <f t="shared" si="11"/>
        <v>0</v>
      </c>
      <c r="U71" s="2">
        <f t="shared" si="11"/>
        <v>0</v>
      </c>
      <c r="V71" s="2">
        <f t="shared" si="11"/>
        <v>0</v>
      </c>
      <c r="W71" s="2">
        <f t="shared" si="11"/>
        <v>0</v>
      </c>
      <c r="X71" s="2">
        <f t="shared" si="11"/>
        <v>0</v>
      </c>
      <c r="Y71" s="2">
        <f t="shared" si="11"/>
        <v>0</v>
      </c>
      <c r="Z71" s="2">
        <f t="shared" si="11"/>
        <v>0</v>
      </c>
      <c r="AA71" s="21">
        <v>3650</v>
      </c>
      <c r="AB71" s="2">
        <f t="shared" si="9"/>
        <v>0</v>
      </c>
      <c r="AC71" s="2">
        <f t="shared" si="9"/>
        <v>0</v>
      </c>
      <c r="AD71" s="2">
        <f t="shared" si="9"/>
        <v>0</v>
      </c>
      <c r="AE71" s="2">
        <f t="shared" si="9"/>
        <v>0</v>
      </c>
      <c r="AF71" s="2">
        <f t="shared" si="9"/>
        <v>0</v>
      </c>
      <c r="AG71" s="2">
        <f t="shared" si="9"/>
        <v>0</v>
      </c>
      <c r="AH71" s="2">
        <f t="shared" si="9"/>
        <v>0</v>
      </c>
      <c r="AI71" s="2">
        <f t="shared" si="9"/>
        <v>0</v>
      </c>
      <c r="AJ71" s="2">
        <f t="shared" si="9"/>
        <v>0</v>
      </c>
      <c r="AK71" s="2">
        <f t="shared" si="9"/>
        <v>0</v>
      </c>
      <c r="AL71" s="2">
        <f t="shared" si="9"/>
        <v>0</v>
      </c>
      <c r="AM71" s="2">
        <f t="shared" si="9"/>
        <v>0</v>
      </c>
      <c r="AN71" s="2" t="str">
        <f t="shared" si="6"/>
        <v>m_aluminum</v>
      </c>
      <c r="CQ71" s="24"/>
      <c r="CR71" s="24"/>
      <c r="CT71" s="24"/>
      <c r="CU71" s="24"/>
      <c r="CW71" s="27" t="s">
        <v>123</v>
      </c>
      <c r="CX71" t="s">
        <v>124</v>
      </c>
      <c r="CY71" s="4" t="s">
        <v>127</v>
      </c>
      <c r="CZ71" s="4" t="s">
        <v>135</v>
      </c>
      <c r="DA71" s="29">
        <v>0</v>
      </c>
      <c r="DB71" s="29">
        <v>5</v>
      </c>
    </row>
    <row r="72" spans="1:106" s="2" customFormat="1" ht="14.5">
      <c r="B72" s="11" t="s">
        <v>123</v>
      </c>
      <c r="C72" s="9" t="s">
        <v>124</v>
      </c>
      <c r="D72" s="10" t="s">
        <v>136</v>
      </c>
      <c r="E72" s="10" t="s">
        <v>137</v>
      </c>
      <c r="F72" s="2">
        <f t="shared" si="10"/>
        <v>0</v>
      </c>
      <c r="G72" s="2">
        <f t="shared" si="10"/>
        <v>50000</v>
      </c>
      <c r="H72" s="2">
        <f t="shared" si="10"/>
        <v>97000</v>
      </c>
      <c r="I72" s="2">
        <f t="shared" si="10"/>
        <v>0</v>
      </c>
      <c r="J72" s="2">
        <f t="shared" si="10"/>
        <v>0</v>
      </c>
      <c r="K72" s="2">
        <f t="shared" si="10"/>
        <v>0</v>
      </c>
      <c r="L72" s="2">
        <f t="shared" si="10"/>
        <v>0</v>
      </c>
      <c r="M72" s="2">
        <f>K82/1000</f>
        <v>27000</v>
      </c>
      <c r="N72" s="2">
        <f t="shared" si="11"/>
        <v>0</v>
      </c>
      <c r="O72" s="2">
        <f t="shared" si="11"/>
        <v>0</v>
      </c>
      <c r="P72" s="2">
        <f t="shared" si="11"/>
        <v>0</v>
      </c>
      <c r="Q72" s="2">
        <f t="shared" si="11"/>
        <v>0</v>
      </c>
      <c r="R72" s="2">
        <f t="shared" si="11"/>
        <v>0</v>
      </c>
      <c r="S72" s="2">
        <f t="shared" si="11"/>
        <v>0</v>
      </c>
      <c r="T72" s="2">
        <f t="shared" si="11"/>
        <v>0</v>
      </c>
      <c r="U72" s="2">
        <f t="shared" si="11"/>
        <v>0</v>
      </c>
      <c r="V72" s="2">
        <f t="shared" si="11"/>
        <v>0</v>
      </c>
      <c r="W72" s="2">
        <f t="shared" si="11"/>
        <v>0</v>
      </c>
      <c r="X72" s="2">
        <f t="shared" si="11"/>
        <v>0</v>
      </c>
      <c r="Y72" s="2">
        <f t="shared" si="11"/>
        <v>324000</v>
      </c>
      <c r="Z72" s="2">
        <f t="shared" si="11"/>
        <v>0</v>
      </c>
      <c r="AA72" s="2">
        <f>Y82/1000</f>
        <v>51600</v>
      </c>
      <c r="AB72" s="2">
        <f t="shared" si="9"/>
        <v>0</v>
      </c>
      <c r="AC72" s="2">
        <f t="shared" si="9"/>
        <v>30000</v>
      </c>
      <c r="AD72" s="2">
        <f t="shared" si="9"/>
        <v>244000</v>
      </c>
      <c r="AE72" s="2">
        <f t="shared" si="9"/>
        <v>62000</v>
      </c>
      <c r="AF72" s="2">
        <f t="shared" si="9"/>
        <v>0</v>
      </c>
      <c r="AG72" s="2">
        <f t="shared" si="9"/>
        <v>0</v>
      </c>
      <c r="AH72" s="2">
        <f t="shared" si="9"/>
        <v>0</v>
      </c>
      <c r="AI72" s="2">
        <f t="shared" si="9"/>
        <v>0</v>
      </c>
      <c r="AJ72" s="2">
        <f t="shared" si="9"/>
        <v>0</v>
      </c>
      <c r="AK72" s="2">
        <f t="shared" si="9"/>
        <v>0</v>
      </c>
      <c r="AL72" s="2">
        <f t="shared" si="9"/>
        <v>0</v>
      </c>
      <c r="AM72" s="2">
        <f t="shared" si="9"/>
        <v>0</v>
      </c>
      <c r="AN72" s="2" t="str">
        <f t="shared" si="6"/>
        <v>m_copper</v>
      </c>
      <c r="CQ72" s="24"/>
      <c r="CR72" s="24"/>
      <c r="CT72" s="24"/>
      <c r="CU72" s="24"/>
      <c r="CW72" s="27" t="s">
        <v>123</v>
      </c>
      <c r="CX72" t="s">
        <v>124</v>
      </c>
      <c r="CY72" s="4" t="s">
        <v>127</v>
      </c>
      <c r="CZ72" s="4" t="s">
        <v>137</v>
      </c>
      <c r="DA72" s="29">
        <v>0</v>
      </c>
      <c r="DB72" s="29">
        <v>5</v>
      </c>
    </row>
    <row r="73" spans="1:106" s="1" customFormat="1" ht="14.5">
      <c r="A73" s="2"/>
      <c r="B73" s="11" t="s">
        <v>123</v>
      </c>
      <c r="C73" s="9" t="s">
        <v>124</v>
      </c>
      <c r="D73" s="10" t="s">
        <v>138</v>
      </c>
      <c r="E73" s="10" t="s">
        <v>139</v>
      </c>
      <c r="F73" s="2">
        <f t="shared" si="10"/>
        <v>0</v>
      </c>
      <c r="G73" s="2">
        <f t="shared" si="10"/>
        <v>69000</v>
      </c>
      <c r="H73" s="2">
        <f t="shared" si="10"/>
        <v>0</v>
      </c>
      <c r="I73" s="2">
        <f t="shared" si="10"/>
        <v>0</v>
      </c>
      <c r="J73" s="2">
        <f t="shared" si="10"/>
        <v>0</v>
      </c>
      <c r="K73" s="2">
        <f t="shared" si="10"/>
        <v>0</v>
      </c>
      <c r="L73" s="2">
        <f t="shared" si="10"/>
        <v>74000</v>
      </c>
      <c r="M73" s="2">
        <f>K83/1000</f>
        <v>52000</v>
      </c>
      <c r="N73" s="2">
        <f t="shared" si="11"/>
        <v>0</v>
      </c>
      <c r="O73" s="2">
        <f t="shared" si="11"/>
        <v>0</v>
      </c>
      <c r="P73" s="2">
        <f t="shared" si="11"/>
        <v>0</v>
      </c>
      <c r="Q73" s="2">
        <f t="shared" si="11"/>
        <v>0</v>
      </c>
      <c r="R73" s="2">
        <f t="shared" si="11"/>
        <v>0</v>
      </c>
      <c r="S73" s="2">
        <f t="shared" si="11"/>
        <v>0</v>
      </c>
      <c r="T73" s="2">
        <f t="shared" si="11"/>
        <v>0</v>
      </c>
      <c r="U73" s="2">
        <f t="shared" si="11"/>
        <v>8000</v>
      </c>
      <c r="V73" s="2">
        <f t="shared" si="11"/>
        <v>0</v>
      </c>
      <c r="W73" s="2">
        <f t="shared" si="11"/>
        <v>0</v>
      </c>
      <c r="X73" s="2">
        <f t="shared" si="11"/>
        <v>0</v>
      </c>
      <c r="Y73" s="2">
        <f t="shared" si="11"/>
        <v>77100</v>
      </c>
      <c r="Z73" s="2">
        <f t="shared" si="11"/>
        <v>90000</v>
      </c>
      <c r="AA73" s="2">
        <f>Y83/1000</f>
        <v>5700</v>
      </c>
      <c r="AB73" s="2">
        <f t="shared" si="9"/>
        <v>600</v>
      </c>
      <c r="AC73" s="2">
        <f t="shared" si="9"/>
        <v>0</v>
      </c>
      <c r="AD73" s="2">
        <f t="shared" si="9"/>
        <v>12900</v>
      </c>
      <c r="AE73" s="2">
        <f t="shared" si="9"/>
        <v>14000</v>
      </c>
      <c r="AF73" s="2">
        <f t="shared" si="9"/>
        <v>0</v>
      </c>
      <c r="AG73" s="2">
        <f t="shared" si="9"/>
        <v>0</v>
      </c>
      <c r="AH73" s="2">
        <f t="shared" si="9"/>
        <v>0</v>
      </c>
      <c r="AI73" s="2">
        <f t="shared" si="9"/>
        <v>0</v>
      </c>
      <c r="AJ73" s="2">
        <f t="shared" si="9"/>
        <v>0</v>
      </c>
      <c r="AK73" s="2">
        <f t="shared" si="9"/>
        <v>90000</v>
      </c>
      <c r="AL73" s="2">
        <f t="shared" si="9"/>
        <v>0</v>
      </c>
      <c r="AM73" s="2">
        <f t="shared" si="9"/>
        <v>0</v>
      </c>
      <c r="AN73" s="2" t="str">
        <f t="shared" si="6"/>
        <v>m_graphite</v>
      </c>
      <c r="AY73" s="2"/>
      <c r="BB73" s="2"/>
      <c r="CQ73" s="23"/>
      <c r="CR73" s="24"/>
      <c r="CT73" s="23"/>
      <c r="CU73" s="23"/>
      <c r="CW73" s="27" t="s">
        <v>123</v>
      </c>
      <c r="CX73" t="s">
        <v>124</v>
      </c>
      <c r="CY73" s="4" t="s">
        <v>127</v>
      </c>
      <c r="CZ73" s="4" t="s">
        <v>139</v>
      </c>
      <c r="DA73" s="29">
        <v>0</v>
      </c>
      <c r="DB73" s="29">
        <v>5</v>
      </c>
    </row>
    <row r="74" spans="1:106" s="4" customFormat="1"/>
    <row r="75" spans="1:106" s="4" customFormat="1">
      <c r="E75" s="4" t="s">
        <v>140</v>
      </c>
    </row>
    <row r="76" spans="1:106" s="4" customFormat="1"/>
    <row r="77" spans="1:106" s="4" customFormat="1">
      <c r="D77" s="17">
        <v>0</v>
      </c>
      <c r="E77" s="17">
        <v>310000</v>
      </c>
      <c r="F77" s="17">
        <v>6200000</v>
      </c>
      <c r="G77" s="17">
        <v>0</v>
      </c>
      <c r="H77" s="17"/>
      <c r="I77" s="17"/>
      <c r="J77" s="17">
        <v>250000</v>
      </c>
      <c r="K77" s="17">
        <v>2000000</v>
      </c>
      <c r="L77" s="17"/>
      <c r="M77" s="17">
        <v>0</v>
      </c>
      <c r="N77" s="17">
        <v>0</v>
      </c>
      <c r="O77" s="17">
        <v>0</v>
      </c>
      <c r="P77" s="17">
        <v>0</v>
      </c>
      <c r="Q77" s="17"/>
      <c r="R77" s="17"/>
      <c r="S77" s="17">
        <v>0</v>
      </c>
      <c r="T77" s="17"/>
      <c r="U77" s="17"/>
      <c r="V77" s="17">
        <v>0</v>
      </c>
      <c r="W77" s="17">
        <v>12250000</v>
      </c>
      <c r="X77" s="17">
        <v>0</v>
      </c>
      <c r="Y77" s="17">
        <v>1930000</v>
      </c>
      <c r="Z77" s="17">
        <v>0</v>
      </c>
      <c r="AA77" s="17">
        <v>0</v>
      </c>
      <c r="AB77" s="17">
        <v>3300000</v>
      </c>
      <c r="AC77" s="17">
        <v>0</v>
      </c>
      <c r="AD77" s="17">
        <v>0</v>
      </c>
      <c r="AE77" s="17">
        <v>0</v>
      </c>
      <c r="AF77" s="17">
        <v>60000</v>
      </c>
      <c r="AG77" s="17">
        <v>0</v>
      </c>
      <c r="AH77" s="17"/>
      <c r="AI77" s="17">
        <v>0</v>
      </c>
      <c r="AJ77" s="17">
        <v>0</v>
      </c>
      <c r="AK77" s="17">
        <v>0</v>
      </c>
    </row>
    <row r="78" spans="1:106" s="4" customFormat="1">
      <c r="D78" s="17">
        <v>0</v>
      </c>
      <c r="E78" s="17">
        <v>0</v>
      </c>
      <c r="F78" s="17">
        <v>21000000</v>
      </c>
      <c r="G78" s="17">
        <v>0</v>
      </c>
      <c r="H78" s="17"/>
      <c r="I78" s="17"/>
      <c r="J78" s="17">
        <v>16000000</v>
      </c>
      <c r="K78" s="17">
        <v>2100000</v>
      </c>
      <c r="L78" s="17"/>
      <c r="M78" s="17">
        <v>0</v>
      </c>
      <c r="N78" s="17">
        <v>0</v>
      </c>
      <c r="O78" s="17">
        <v>0</v>
      </c>
      <c r="P78" s="17">
        <v>0</v>
      </c>
      <c r="Q78" s="17"/>
      <c r="R78" s="17"/>
      <c r="S78" s="17">
        <v>0</v>
      </c>
      <c r="T78" s="17"/>
      <c r="U78" s="17"/>
      <c r="V78" s="17">
        <v>0</v>
      </c>
      <c r="W78" s="17">
        <v>16000000</v>
      </c>
      <c r="X78" s="17">
        <v>0</v>
      </c>
      <c r="Y78" s="17">
        <v>2570000</v>
      </c>
      <c r="Z78" s="17">
        <v>0</v>
      </c>
      <c r="AA78" s="17">
        <v>0</v>
      </c>
      <c r="AB78" s="17">
        <v>52900000</v>
      </c>
      <c r="AC78" s="17">
        <v>7500000</v>
      </c>
      <c r="AD78" s="17">
        <v>0</v>
      </c>
      <c r="AE78" s="17">
        <v>0</v>
      </c>
      <c r="AF78" s="17">
        <v>0</v>
      </c>
      <c r="AG78" s="17">
        <v>0</v>
      </c>
      <c r="AH78" s="17"/>
      <c r="AI78" s="17">
        <v>0</v>
      </c>
      <c r="AJ78" s="17">
        <v>0</v>
      </c>
      <c r="AK78" s="17">
        <v>0</v>
      </c>
    </row>
    <row r="79" spans="1:106" s="4" customFormat="1">
      <c r="D79" s="17">
        <v>13000</v>
      </c>
      <c r="E79" s="17">
        <v>4100000</v>
      </c>
      <c r="F79" s="17">
        <v>1500000</v>
      </c>
      <c r="G79" s="17">
        <v>0</v>
      </c>
      <c r="H79" s="17"/>
      <c r="I79" s="17"/>
      <c r="J79" s="17">
        <v>0</v>
      </c>
      <c r="K79" s="17">
        <v>140000</v>
      </c>
      <c r="L79" s="17"/>
      <c r="M79" s="17">
        <v>0</v>
      </c>
      <c r="N79" s="17">
        <v>0</v>
      </c>
      <c r="O79" s="17">
        <v>0</v>
      </c>
      <c r="P79" s="17">
        <v>0</v>
      </c>
      <c r="Q79" s="17"/>
      <c r="R79" s="17"/>
      <c r="S79" s="17">
        <v>0</v>
      </c>
      <c r="T79" s="17"/>
      <c r="U79" s="17"/>
      <c r="V79" s="17">
        <v>0</v>
      </c>
      <c r="W79" s="17">
        <v>500000</v>
      </c>
      <c r="X79" s="17">
        <v>36000</v>
      </c>
      <c r="Y79" s="17">
        <v>289000</v>
      </c>
      <c r="Z79" s="17">
        <v>0</v>
      </c>
      <c r="AA79" s="17">
        <v>0</v>
      </c>
      <c r="AB79" s="17">
        <v>1517000</v>
      </c>
      <c r="AC79" s="17">
        <v>250000</v>
      </c>
      <c r="AD79" s="17">
        <v>0</v>
      </c>
      <c r="AE79" s="17">
        <v>0</v>
      </c>
      <c r="AF79" s="17">
        <v>0</v>
      </c>
      <c r="AG79" s="17">
        <v>0</v>
      </c>
      <c r="AH79" s="17"/>
      <c r="AI79" s="17">
        <v>36000</v>
      </c>
      <c r="AJ79" s="17">
        <v>0</v>
      </c>
      <c r="AK79" s="17">
        <v>0</v>
      </c>
    </row>
    <row r="80" spans="1:106" s="4" customFormat="1">
      <c r="D80" s="17">
        <v>0</v>
      </c>
      <c r="E80" s="17">
        <v>74000000</v>
      </c>
      <c r="F80" s="17">
        <v>270000000</v>
      </c>
      <c r="G80" s="17">
        <v>0</v>
      </c>
      <c r="H80" s="17"/>
      <c r="I80" s="17"/>
      <c r="J80" s="17">
        <v>270000000</v>
      </c>
      <c r="K80" s="17">
        <v>280000000</v>
      </c>
      <c r="L80" s="17"/>
      <c r="M80" s="17">
        <v>0</v>
      </c>
      <c r="N80" s="17">
        <v>0</v>
      </c>
      <c r="O80" s="17">
        <v>0</v>
      </c>
      <c r="P80" s="17">
        <v>0</v>
      </c>
      <c r="Q80" s="17"/>
      <c r="R80" s="17"/>
      <c r="S80" s="17">
        <v>34000000</v>
      </c>
      <c r="T80" s="17"/>
      <c r="U80" s="17"/>
      <c r="V80" s="17">
        <v>0</v>
      </c>
      <c r="W80" s="17">
        <v>275000000</v>
      </c>
      <c r="X80" s="17">
        <v>0</v>
      </c>
      <c r="Y80" s="17">
        <v>0</v>
      </c>
      <c r="Z80" s="17">
        <v>0</v>
      </c>
      <c r="AA80" s="17">
        <v>0</v>
      </c>
      <c r="AB80" s="17">
        <v>5000000</v>
      </c>
      <c r="AC80" s="17">
        <v>0</v>
      </c>
      <c r="AD80" s="17">
        <v>0</v>
      </c>
      <c r="AE80" s="17">
        <v>640000000</v>
      </c>
      <c r="AF80" s="17">
        <v>0</v>
      </c>
      <c r="AG80" s="17">
        <v>0</v>
      </c>
      <c r="AH80" s="17"/>
      <c r="AI80" s="17">
        <v>0</v>
      </c>
      <c r="AJ80" s="17">
        <v>0</v>
      </c>
      <c r="AK80" s="17">
        <v>140000000</v>
      </c>
    </row>
    <row r="81" spans="2:37" s="4" customFormat="1"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>
        <v>0</v>
      </c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</row>
    <row r="82" spans="2:37" s="4" customFormat="1">
      <c r="D82" s="17">
        <v>0</v>
      </c>
      <c r="E82" s="17">
        <v>50000000</v>
      </c>
      <c r="F82" s="17">
        <v>97000000</v>
      </c>
      <c r="G82" s="17">
        <v>0</v>
      </c>
      <c r="H82" s="17"/>
      <c r="I82" s="17"/>
      <c r="J82" s="17">
        <v>0</v>
      </c>
      <c r="K82" s="17">
        <v>27000000</v>
      </c>
      <c r="L82" s="17"/>
      <c r="M82" s="17">
        <v>0</v>
      </c>
      <c r="N82" s="17">
        <v>0</v>
      </c>
      <c r="O82" s="17">
        <v>0</v>
      </c>
      <c r="P82" s="17">
        <v>0</v>
      </c>
      <c r="Q82" s="17"/>
      <c r="R82" s="17"/>
      <c r="S82" s="17">
        <v>0</v>
      </c>
      <c r="T82" s="17"/>
      <c r="U82" s="17"/>
      <c r="V82" s="17">
        <v>0</v>
      </c>
      <c r="W82" s="17">
        <v>324000000</v>
      </c>
      <c r="X82" s="17">
        <v>0</v>
      </c>
      <c r="Y82" s="17">
        <v>51600000</v>
      </c>
      <c r="Z82" s="17">
        <v>0</v>
      </c>
      <c r="AA82" s="17">
        <v>30000000</v>
      </c>
      <c r="AB82" s="17">
        <v>244000000</v>
      </c>
      <c r="AC82" s="17">
        <v>62000000</v>
      </c>
      <c r="AD82" s="17">
        <v>0</v>
      </c>
      <c r="AE82" s="17">
        <v>0</v>
      </c>
      <c r="AF82" s="17">
        <v>0</v>
      </c>
      <c r="AG82" s="17">
        <v>0</v>
      </c>
      <c r="AH82" s="17"/>
      <c r="AI82" s="17">
        <v>0</v>
      </c>
      <c r="AJ82" s="17">
        <v>0</v>
      </c>
      <c r="AK82" s="17">
        <v>0</v>
      </c>
    </row>
    <row r="83" spans="2:37" s="4" customFormat="1">
      <c r="D83" s="17">
        <v>0</v>
      </c>
      <c r="E83" s="17">
        <v>69000000</v>
      </c>
      <c r="F83" s="17">
        <v>0</v>
      </c>
      <c r="G83" s="17">
        <v>0</v>
      </c>
      <c r="H83" s="17"/>
      <c r="I83" s="17"/>
      <c r="J83" s="17">
        <v>74000000</v>
      </c>
      <c r="K83" s="17">
        <v>52000000</v>
      </c>
      <c r="L83" s="17"/>
      <c r="M83" s="17">
        <v>0</v>
      </c>
      <c r="N83" s="17">
        <v>0</v>
      </c>
      <c r="O83" s="17">
        <v>0</v>
      </c>
      <c r="P83" s="17">
        <v>0</v>
      </c>
      <c r="Q83" s="17"/>
      <c r="R83" s="17"/>
      <c r="S83" s="17">
        <v>8000000</v>
      </c>
      <c r="T83" s="17"/>
      <c r="U83" s="17"/>
      <c r="V83" s="17">
        <v>0</v>
      </c>
      <c r="W83" s="17">
        <v>77100000</v>
      </c>
      <c r="X83" s="17">
        <v>90000000</v>
      </c>
      <c r="Y83" s="17">
        <v>5700000</v>
      </c>
      <c r="Z83" s="17">
        <v>600000</v>
      </c>
      <c r="AA83" s="17">
        <v>0</v>
      </c>
      <c r="AB83" s="17">
        <v>12900000</v>
      </c>
      <c r="AC83" s="17">
        <v>14000000</v>
      </c>
      <c r="AD83" s="17">
        <v>0</v>
      </c>
      <c r="AE83" s="17">
        <v>0</v>
      </c>
      <c r="AF83" s="17">
        <v>0</v>
      </c>
      <c r="AG83" s="17">
        <v>0</v>
      </c>
      <c r="AH83" s="17"/>
      <c r="AI83" s="17">
        <v>90000000</v>
      </c>
      <c r="AJ83" s="17">
        <v>0</v>
      </c>
      <c r="AK83" s="17">
        <v>0</v>
      </c>
    </row>
    <row r="84" spans="2:37" s="4" customFormat="1"/>
    <row r="88" spans="2:37">
      <c r="B88" t="s">
        <v>141</v>
      </c>
    </row>
    <row r="91" spans="2:37">
      <c r="H91" s="4"/>
      <c r="I91" s="4"/>
      <c r="J91" s="4"/>
      <c r="K91" s="4"/>
      <c r="L91" s="4"/>
    </row>
    <row r="92" spans="2:37">
      <c r="D92" s="4"/>
      <c r="H92" s="4"/>
      <c r="I92" s="4"/>
      <c r="J92" s="4"/>
      <c r="K92" s="4"/>
      <c r="L92" s="4"/>
    </row>
    <row r="93" spans="2:37">
      <c r="C93" s="4"/>
      <c r="D93" s="4"/>
      <c r="F93" s="4"/>
      <c r="H93" s="4"/>
      <c r="I93" s="4"/>
      <c r="J93" s="4"/>
      <c r="K93" s="4"/>
      <c r="L93" s="4"/>
    </row>
    <row r="94" spans="2:37">
      <c r="C94" s="4"/>
      <c r="D94" s="4"/>
      <c r="H94" s="4"/>
      <c r="I94" s="4"/>
      <c r="J94" s="4"/>
      <c r="K94" s="4"/>
      <c r="L94" s="4"/>
    </row>
    <row r="95" spans="2:37">
      <c r="C95" s="4"/>
      <c r="D95" s="4"/>
      <c r="F95" s="4"/>
      <c r="H95" s="4"/>
      <c r="I95" s="4"/>
      <c r="J95" s="4"/>
      <c r="K95" s="4"/>
      <c r="L95" s="4"/>
    </row>
    <row r="96" spans="2:37">
      <c r="C96" s="4"/>
      <c r="D96" s="4"/>
      <c r="H96" s="4"/>
      <c r="I96" s="4"/>
      <c r="J96" s="4"/>
      <c r="K96" s="4"/>
      <c r="L96" s="4"/>
    </row>
    <row r="97" spans="3:29">
      <c r="C97" s="4"/>
      <c r="D97" s="4"/>
      <c r="F97" s="4"/>
      <c r="H97" s="4"/>
      <c r="I97" s="4"/>
      <c r="J97" s="4"/>
      <c r="K97" s="4"/>
      <c r="L97" s="4"/>
    </row>
    <row r="98" spans="3:29">
      <c r="C98" s="4"/>
      <c r="D98" s="4"/>
      <c r="H98" s="4"/>
      <c r="I98" s="4"/>
      <c r="J98" s="4"/>
      <c r="K98" s="4"/>
      <c r="L98" s="4"/>
    </row>
    <row r="99" spans="3:29">
      <c r="C99" s="4"/>
      <c r="F99" s="4"/>
    </row>
    <row r="100" spans="3:29">
      <c r="C100" s="4"/>
      <c r="D100" s="4"/>
    </row>
    <row r="101" spans="3:29">
      <c r="C101" s="4"/>
      <c r="D101" s="18"/>
      <c r="E101" s="18"/>
      <c r="F101" s="18"/>
      <c r="G101" s="18"/>
    </row>
    <row r="102" spans="3:29">
      <c r="C102" s="4"/>
      <c r="D102" t="s">
        <v>69</v>
      </c>
      <c r="M102" s="4"/>
      <c r="N102" t="s">
        <v>69</v>
      </c>
      <c r="Y102" s="4"/>
      <c r="Z102" t="s">
        <v>69</v>
      </c>
    </row>
    <row r="103" spans="3:29">
      <c r="C103" s="4" t="s">
        <v>71</v>
      </c>
      <c r="D103" s="18" t="s">
        <v>45</v>
      </c>
      <c r="E103" s="18" t="s">
        <v>44</v>
      </c>
      <c r="F103" s="18" t="s">
        <v>11</v>
      </c>
      <c r="G103" s="18" t="s">
        <v>25</v>
      </c>
      <c r="L103" t="s">
        <v>77</v>
      </c>
      <c r="M103" s="4" t="s">
        <v>71</v>
      </c>
      <c r="N103" s="18" t="s">
        <v>45</v>
      </c>
      <c r="O103" s="18" t="s">
        <v>44</v>
      </c>
      <c r="P103" s="18" t="s">
        <v>11</v>
      </c>
      <c r="Q103" s="18" t="s">
        <v>25</v>
      </c>
      <c r="X103" t="s">
        <v>77</v>
      </c>
      <c r="Y103" s="4" t="s">
        <v>71</v>
      </c>
      <c r="Z103" s="18" t="s">
        <v>45</v>
      </c>
      <c r="AA103" s="18" t="s">
        <v>44</v>
      </c>
      <c r="AB103" s="18" t="s">
        <v>11</v>
      </c>
      <c r="AC103" s="18" t="s">
        <v>25</v>
      </c>
    </row>
    <row r="104" spans="3:29">
      <c r="C104" s="4" t="s">
        <v>142</v>
      </c>
      <c r="D104" s="18" t="s">
        <v>143</v>
      </c>
      <c r="E104" s="18">
        <v>7.1138439695406497</v>
      </c>
      <c r="F104" s="19">
        <v>5.4017985261606496</v>
      </c>
      <c r="G104" s="19">
        <v>8.8554074428887208</v>
      </c>
      <c r="L104">
        <v>2050</v>
      </c>
      <c r="M104" s="4" t="s">
        <v>142</v>
      </c>
      <c r="N104" s="18" t="s">
        <v>143</v>
      </c>
      <c r="O104" s="18">
        <f>E104*0.313</f>
        <v>2.2266331624662232</v>
      </c>
      <c r="P104" s="18">
        <f>F104*0.313</f>
        <v>1.6907629386882834</v>
      </c>
      <c r="Q104" s="18">
        <f>G104*0.313</f>
        <v>2.7717425296241696</v>
      </c>
      <c r="X104">
        <v>0</v>
      </c>
      <c r="Y104" s="4" t="s">
        <v>142</v>
      </c>
      <c r="Z104" s="18" t="s">
        <v>143</v>
      </c>
      <c r="AA104" s="18">
        <v>5</v>
      </c>
      <c r="AB104" s="18">
        <v>5</v>
      </c>
      <c r="AC104" s="18">
        <v>5</v>
      </c>
    </row>
    <row r="105" spans="3:29">
      <c r="C105" s="4" t="s">
        <v>142</v>
      </c>
      <c r="D105" s="18" t="s">
        <v>144</v>
      </c>
      <c r="E105" s="18">
        <v>7.1138439695406497</v>
      </c>
      <c r="F105" s="19">
        <v>5.4017985261606496</v>
      </c>
      <c r="G105" s="19">
        <v>8.8554074428887208</v>
      </c>
      <c r="L105">
        <v>2050</v>
      </c>
      <c r="M105" s="4" t="s">
        <v>142</v>
      </c>
      <c r="N105" s="18" t="s">
        <v>144</v>
      </c>
      <c r="O105" s="18">
        <f t="shared" ref="O105:O124" si="12">E105*0.313</f>
        <v>2.2266331624662232</v>
      </c>
      <c r="P105" s="18">
        <f t="shared" ref="P105:P124" si="13">F105*0.313</f>
        <v>1.6907629386882834</v>
      </c>
      <c r="Q105" s="18">
        <f t="shared" ref="Q105:Q124" si="14">G105*0.313</f>
        <v>2.7717425296241696</v>
      </c>
      <c r="X105">
        <v>0</v>
      </c>
      <c r="Y105" s="4" t="s">
        <v>142</v>
      </c>
      <c r="Z105" s="18" t="s">
        <v>144</v>
      </c>
      <c r="AA105" s="18">
        <v>5</v>
      </c>
      <c r="AB105" s="18">
        <v>5</v>
      </c>
      <c r="AC105" s="18">
        <v>5</v>
      </c>
    </row>
    <row r="106" spans="3:29">
      <c r="C106" s="4" t="s">
        <v>142</v>
      </c>
      <c r="D106" s="18" t="s">
        <v>145</v>
      </c>
      <c r="E106" s="18">
        <v>7.6297544583640402</v>
      </c>
      <c r="F106" s="19">
        <v>5.7935479734708899</v>
      </c>
      <c r="G106" s="19">
        <v>9.4976196757553399</v>
      </c>
      <c r="L106">
        <v>2050</v>
      </c>
      <c r="M106" s="4" t="s">
        <v>142</v>
      </c>
      <c r="N106" s="18" t="s">
        <v>145</v>
      </c>
      <c r="O106" s="18">
        <f t="shared" si="12"/>
        <v>2.3881131454679445</v>
      </c>
      <c r="P106" s="18">
        <f t="shared" si="13"/>
        <v>1.8133805156963885</v>
      </c>
      <c r="Q106" s="18">
        <f t="shared" si="14"/>
        <v>2.9727549585114215</v>
      </c>
      <c r="X106">
        <v>0</v>
      </c>
      <c r="Y106" s="4" t="s">
        <v>142</v>
      </c>
      <c r="Z106" s="18" t="s">
        <v>145</v>
      </c>
      <c r="AA106" s="18">
        <v>5</v>
      </c>
      <c r="AB106" s="18">
        <v>5</v>
      </c>
      <c r="AC106" s="18">
        <v>5</v>
      </c>
    </row>
    <row r="107" spans="3:29">
      <c r="C107" s="4" t="s">
        <v>142</v>
      </c>
      <c r="D107" s="18" t="s">
        <v>146</v>
      </c>
      <c r="E107" s="18">
        <v>7.4709708179808398</v>
      </c>
      <c r="F107" s="19">
        <v>5.6729778187177597</v>
      </c>
      <c r="G107" s="19">
        <v>9.2999636698599897</v>
      </c>
      <c r="L107">
        <v>2050</v>
      </c>
      <c r="M107" s="4" t="s">
        <v>142</v>
      </c>
      <c r="N107" s="18" t="s">
        <v>146</v>
      </c>
      <c r="O107" s="18">
        <f t="shared" si="12"/>
        <v>2.3384138660280027</v>
      </c>
      <c r="P107" s="18">
        <f t="shared" si="13"/>
        <v>1.7756420572586589</v>
      </c>
      <c r="Q107" s="18">
        <f t="shared" si="14"/>
        <v>2.9108886286661768</v>
      </c>
      <c r="X107">
        <v>0</v>
      </c>
      <c r="Y107" s="4" t="s">
        <v>142</v>
      </c>
      <c r="Z107" s="18" t="s">
        <v>146</v>
      </c>
      <c r="AA107" s="18">
        <v>5</v>
      </c>
      <c r="AB107" s="18">
        <v>5</v>
      </c>
      <c r="AC107" s="18">
        <v>5</v>
      </c>
    </row>
    <row r="108" spans="3:29">
      <c r="C108" s="4" t="s">
        <v>142</v>
      </c>
      <c r="D108" s="18" t="s">
        <v>147</v>
      </c>
      <c r="E108" s="18">
        <v>7.5164352001965096</v>
      </c>
      <c r="F108" s="19">
        <v>5.7075005895357398</v>
      </c>
      <c r="G108" s="19">
        <v>9.3565583640383192</v>
      </c>
      <c r="L108">
        <v>2050</v>
      </c>
      <c r="M108" s="4" t="s">
        <v>142</v>
      </c>
      <c r="N108" s="18" t="s">
        <v>147</v>
      </c>
      <c r="O108" s="18">
        <f t="shared" si="12"/>
        <v>2.3526442176615077</v>
      </c>
      <c r="P108" s="18">
        <f t="shared" si="13"/>
        <v>1.7864476845246866</v>
      </c>
      <c r="Q108" s="18">
        <f t="shared" si="14"/>
        <v>2.9286027679439939</v>
      </c>
      <c r="X108">
        <v>0</v>
      </c>
      <c r="Y108" s="4" t="s">
        <v>142</v>
      </c>
      <c r="Z108" s="18" t="s">
        <v>147</v>
      </c>
      <c r="AA108" s="18">
        <v>5</v>
      </c>
      <c r="AB108" s="18">
        <v>5</v>
      </c>
      <c r="AC108" s="18">
        <v>5</v>
      </c>
    </row>
    <row r="109" spans="3:29">
      <c r="C109" s="4" t="s">
        <v>142</v>
      </c>
      <c r="D109" s="18" t="s">
        <v>148</v>
      </c>
      <c r="E109" s="18">
        <v>7.55036263817244</v>
      </c>
      <c r="F109" s="19">
        <v>5.7332629329403098</v>
      </c>
      <c r="G109" s="19">
        <v>9.3987916728076595</v>
      </c>
      <c r="L109">
        <v>2050</v>
      </c>
      <c r="M109" s="4" t="s">
        <v>142</v>
      </c>
      <c r="N109" s="18" t="s">
        <v>148</v>
      </c>
      <c r="O109" s="18">
        <f t="shared" si="12"/>
        <v>2.3632635057479736</v>
      </c>
      <c r="P109" s="18">
        <f t="shared" si="13"/>
        <v>1.7945112980103171</v>
      </c>
      <c r="Q109" s="18">
        <f t="shared" si="14"/>
        <v>2.9418217935887974</v>
      </c>
      <c r="X109">
        <v>0</v>
      </c>
      <c r="Y109" s="4" t="s">
        <v>142</v>
      </c>
      <c r="Z109" s="18" t="s">
        <v>148</v>
      </c>
      <c r="AA109" s="18">
        <v>5</v>
      </c>
      <c r="AB109" s="18">
        <v>5</v>
      </c>
      <c r="AC109" s="18">
        <v>5</v>
      </c>
    </row>
    <row r="110" spans="3:29">
      <c r="C110" s="4" t="s">
        <v>142</v>
      </c>
      <c r="D110" s="18" t="s">
        <v>149</v>
      </c>
      <c r="E110" s="18">
        <v>7.6297544583640402</v>
      </c>
      <c r="F110" s="19">
        <v>5.7935479734708899</v>
      </c>
      <c r="G110" s="19">
        <v>9.4976196757553399</v>
      </c>
      <c r="L110">
        <v>2050</v>
      </c>
      <c r="M110" s="4" t="s">
        <v>142</v>
      </c>
      <c r="N110" s="18" t="s">
        <v>149</v>
      </c>
      <c r="O110" s="18">
        <f t="shared" si="12"/>
        <v>2.3881131454679445</v>
      </c>
      <c r="P110" s="18">
        <f t="shared" si="13"/>
        <v>1.8133805156963885</v>
      </c>
      <c r="Q110" s="18">
        <f t="shared" si="14"/>
        <v>2.9727549585114215</v>
      </c>
      <c r="X110">
        <v>0</v>
      </c>
      <c r="Y110" s="4" t="s">
        <v>142</v>
      </c>
      <c r="Z110" s="18" t="s">
        <v>149</v>
      </c>
      <c r="AA110" s="18">
        <v>5</v>
      </c>
      <c r="AB110" s="18">
        <v>5</v>
      </c>
      <c r="AC110" s="18">
        <v>5</v>
      </c>
    </row>
    <row r="111" spans="3:29">
      <c r="C111" s="4" t="s">
        <v>142</v>
      </c>
      <c r="D111" s="18" t="s">
        <v>150</v>
      </c>
      <c r="E111" s="18">
        <v>4.1838460083517601</v>
      </c>
      <c r="F111" s="19">
        <v>3.1769453205600602</v>
      </c>
      <c r="G111" s="19">
        <v>5.2081070744288898</v>
      </c>
      <c r="L111">
        <v>2050</v>
      </c>
      <c r="M111" s="4" t="s">
        <v>142</v>
      </c>
      <c r="N111" s="18" t="s">
        <v>150</v>
      </c>
      <c r="O111" s="18">
        <f t="shared" si="12"/>
        <v>1.3095438006141009</v>
      </c>
      <c r="P111" s="18">
        <f t="shared" si="13"/>
        <v>0.99438388533529887</v>
      </c>
      <c r="Q111" s="18">
        <f t="shared" si="14"/>
        <v>1.6301375142962424</v>
      </c>
      <c r="X111">
        <v>0</v>
      </c>
      <c r="Y111" s="4" t="s">
        <v>142</v>
      </c>
      <c r="Z111" s="18" t="s">
        <v>150</v>
      </c>
      <c r="AA111" s="18">
        <v>5</v>
      </c>
      <c r="AB111" s="18">
        <v>5</v>
      </c>
      <c r="AC111" s="18">
        <v>5</v>
      </c>
    </row>
    <row r="112" spans="3:29">
      <c r="C112" s="4" t="s">
        <v>142</v>
      </c>
      <c r="D112" s="18" t="s">
        <v>151</v>
      </c>
      <c r="E112" s="18">
        <v>4.1838460083517601</v>
      </c>
      <c r="F112" s="19">
        <v>3.1769453205600602</v>
      </c>
      <c r="G112" s="19">
        <v>5.2081070744288898</v>
      </c>
      <c r="L112">
        <v>2050</v>
      </c>
      <c r="M112" s="4" t="s">
        <v>142</v>
      </c>
      <c r="N112" s="18" t="s">
        <v>151</v>
      </c>
      <c r="O112" s="18">
        <f t="shared" si="12"/>
        <v>1.3095438006141009</v>
      </c>
      <c r="P112" s="18">
        <f t="shared" si="13"/>
        <v>0.99438388533529887</v>
      </c>
      <c r="Q112" s="18">
        <f t="shared" si="14"/>
        <v>1.6301375142962424</v>
      </c>
      <c r="X112">
        <v>0</v>
      </c>
      <c r="Y112" s="4" t="s">
        <v>142</v>
      </c>
      <c r="Z112" s="18" t="s">
        <v>151</v>
      </c>
      <c r="AA112" s="18">
        <v>5</v>
      </c>
      <c r="AB112" s="18">
        <v>5</v>
      </c>
      <c r="AC112" s="18">
        <v>5</v>
      </c>
    </row>
    <row r="113" spans="3:29">
      <c r="C113" s="4" t="s">
        <v>142</v>
      </c>
      <c r="D113" s="18" t="s">
        <v>152</v>
      </c>
      <c r="E113" s="18">
        <v>4.1838460083517601</v>
      </c>
      <c r="F113" s="19">
        <v>3.1769453205600602</v>
      </c>
      <c r="G113" s="19">
        <v>5.2081070744288898</v>
      </c>
      <c r="L113">
        <v>2050</v>
      </c>
      <c r="M113" s="4" t="s">
        <v>142</v>
      </c>
      <c r="N113" s="18" t="s">
        <v>152</v>
      </c>
      <c r="O113" s="18">
        <f t="shared" si="12"/>
        <v>1.3095438006141009</v>
      </c>
      <c r="P113" s="18">
        <f t="shared" si="13"/>
        <v>0.99438388533529887</v>
      </c>
      <c r="Q113" s="18">
        <f t="shared" si="14"/>
        <v>1.6301375142962424</v>
      </c>
      <c r="X113">
        <v>0</v>
      </c>
      <c r="Y113" s="4" t="s">
        <v>142</v>
      </c>
      <c r="Z113" s="18" t="s">
        <v>152</v>
      </c>
      <c r="AA113" s="18">
        <v>5</v>
      </c>
      <c r="AB113" s="18">
        <v>5</v>
      </c>
      <c r="AC113" s="18">
        <v>5</v>
      </c>
    </row>
    <row r="114" spans="3:29">
      <c r="C114" s="4" t="s">
        <v>142</v>
      </c>
      <c r="D114" s="18" t="s">
        <v>153</v>
      </c>
      <c r="E114" s="18">
        <v>4.1838460083517601</v>
      </c>
      <c r="F114" s="19">
        <v>3.1769453205600602</v>
      </c>
      <c r="G114" s="19">
        <v>5.2081070744288898</v>
      </c>
      <c r="L114">
        <v>2050</v>
      </c>
      <c r="M114" s="4" t="s">
        <v>142</v>
      </c>
      <c r="N114" s="18" t="s">
        <v>153</v>
      </c>
      <c r="O114" s="18">
        <f t="shared" si="12"/>
        <v>1.3095438006141009</v>
      </c>
      <c r="P114" s="18">
        <f t="shared" si="13"/>
        <v>0.99438388533529887</v>
      </c>
      <c r="Q114" s="18">
        <f t="shared" si="14"/>
        <v>1.6301375142962424</v>
      </c>
      <c r="X114">
        <v>0</v>
      </c>
      <c r="Y114" s="4" t="s">
        <v>142</v>
      </c>
      <c r="Z114" s="18" t="s">
        <v>153</v>
      </c>
      <c r="AA114" s="18">
        <v>5</v>
      </c>
      <c r="AB114" s="18">
        <v>5</v>
      </c>
      <c r="AC114" s="18">
        <v>5</v>
      </c>
    </row>
    <row r="115" spans="3:29">
      <c r="C115" s="4" t="s">
        <v>142</v>
      </c>
      <c r="D115" s="18" t="s">
        <v>154</v>
      </c>
      <c r="E115" s="18">
        <v>4.1838460083517601</v>
      </c>
      <c r="F115" s="19">
        <v>3.1769453205600602</v>
      </c>
      <c r="G115" s="19">
        <v>5.2081070744288898</v>
      </c>
      <c r="L115">
        <v>2050</v>
      </c>
      <c r="M115" s="4" t="s">
        <v>142</v>
      </c>
      <c r="N115" s="18" t="s">
        <v>154</v>
      </c>
      <c r="O115" s="18">
        <f t="shared" si="12"/>
        <v>1.3095438006141009</v>
      </c>
      <c r="P115" s="18">
        <f t="shared" si="13"/>
        <v>0.99438388533529887</v>
      </c>
      <c r="Q115" s="18">
        <f t="shared" si="14"/>
        <v>1.6301375142962424</v>
      </c>
      <c r="X115">
        <v>0</v>
      </c>
      <c r="Y115" s="4" t="s">
        <v>142</v>
      </c>
      <c r="Z115" s="18" t="s">
        <v>154</v>
      </c>
      <c r="AA115" s="18">
        <v>5</v>
      </c>
      <c r="AB115" s="18">
        <v>5</v>
      </c>
      <c r="AC115" s="18">
        <v>5</v>
      </c>
    </row>
    <row r="116" spans="3:29">
      <c r="C116" s="4" t="s">
        <v>142</v>
      </c>
      <c r="D116" s="18" t="s">
        <v>155</v>
      </c>
      <c r="E116" s="18">
        <v>4.1838460083517601</v>
      </c>
      <c r="F116" s="19">
        <v>3.1769453205600602</v>
      </c>
      <c r="G116" s="19">
        <v>5.2081070744288898</v>
      </c>
      <c r="L116">
        <v>2050</v>
      </c>
      <c r="M116" s="4" t="s">
        <v>142</v>
      </c>
      <c r="N116" s="18" t="s">
        <v>155</v>
      </c>
      <c r="O116" s="18">
        <f t="shared" si="12"/>
        <v>1.3095438006141009</v>
      </c>
      <c r="P116" s="18">
        <f t="shared" si="13"/>
        <v>0.99438388533529887</v>
      </c>
      <c r="Q116" s="18">
        <f t="shared" si="14"/>
        <v>1.6301375142962424</v>
      </c>
      <c r="X116">
        <v>0</v>
      </c>
      <c r="Y116" s="4" t="s">
        <v>142</v>
      </c>
      <c r="Z116" s="18" t="s">
        <v>155</v>
      </c>
      <c r="AA116" s="18">
        <v>5</v>
      </c>
      <c r="AB116" s="18">
        <v>5</v>
      </c>
      <c r="AC116" s="18">
        <v>5</v>
      </c>
    </row>
    <row r="117" spans="3:29">
      <c r="C117" s="4" t="s">
        <v>142</v>
      </c>
      <c r="D117" s="18" t="s">
        <v>156</v>
      </c>
      <c r="E117" s="18">
        <v>4.1838460083517601</v>
      </c>
      <c r="F117" s="19">
        <v>3.1769453205600602</v>
      </c>
      <c r="G117" s="19">
        <v>5.2081070744288898</v>
      </c>
      <c r="L117">
        <v>2050</v>
      </c>
      <c r="M117" s="4" t="s">
        <v>142</v>
      </c>
      <c r="N117" s="18" t="s">
        <v>156</v>
      </c>
      <c r="O117" s="18">
        <f t="shared" si="12"/>
        <v>1.3095438006141009</v>
      </c>
      <c r="P117" s="18">
        <f t="shared" si="13"/>
        <v>0.99438388533529887</v>
      </c>
      <c r="Q117" s="18">
        <f t="shared" si="14"/>
        <v>1.6301375142962424</v>
      </c>
      <c r="X117">
        <v>0</v>
      </c>
      <c r="Y117" s="4" t="s">
        <v>142</v>
      </c>
      <c r="Z117" s="18" t="s">
        <v>156</v>
      </c>
      <c r="AA117" s="18">
        <v>5</v>
      </c>
      <c r="AB117" s="18">
        <v>5</v>
      </c>
      <c r="AC117" s="18">
        <v>5</v>
      </c>
    </row>
    <row r="118" spans="3:29">
      <c r="C118" s="4" t="s">
        <v>142</v>
      </c>
      <c r="D118" s="18" t="s">
        <v>157</v>
      </c>
      <c r="E118" s="18">
        <v>3.5655626627364301</v>
      </c>
      <c r="F118" s="19">
        <v>2.7074604274134102</v>
      </c>
      <c r="G118" s="19">
        <v>4.4384597641857004</v>
      </c>
      <c r="L118">
        <v>2050</v>
      </c>
      <c r="M118" s="4" t="s">
        <v>142</v>
      </c>
      <c r="N118" s="18" t="s">
        <v>157</v>
      </c>
      <c r="O118" s="18">
        <f t="shared" si="12"/>
        <v>1.1160211134365026</v>
      </c>
      <c r="P118" s="18">
        <f t="shared" si="13"/>
        <v>0.84743511378039738</v>
      </c>
      <c r="Q118" s="18">
        <f t="shared" si="14"/>
        <v>1.3892379061901243</v>
      </c>
      <c r="X118">
        <v>0</v>
      </c>
      <c r="Y118" s="4" t="s">
        <v>142</v>
      </c>
      <c r="Z118" s="18" t="s">
        <v>157</v>
      </c>
      <c r="AA118" s="18">
        <v>5</v>
      </c>
      <c r="AB118" s="18">
        <v>5</v>
      </c>
      <c r="AC118" s="18">
        <v>5</v>
      </c>
    </row>
    <row r="119" spans="3:29">
      <c r="C119" s="4" t="s">
        <v>142</v>
      </c>
      <c r="D119" s="18" t="s">
        <v>158</v>
      </c>
      <c r="E119" s="18">
        <v>3.6008770817980902</v>
      </c>
      <c r="F119" s="19">
        <v>2.7342759764185698</v>
      </c>
      <c r="G119" s="19">
        <v>4.4824196020633797</v>
      </c>
      <c r="L119">
        <v>2050</v>
      </c>
      <c r="M119" s="4" t="s">
        <v>142</v>
      </c>
      <c r="N119" s="18" t="s">
        <v>158</v>
      </c>
      <c r="O119" s="18">
        <f t="shared" si="12"/>
        <v>1.1270745266028022</v>
      </c>
      <c r="P119" s="18">
        <f t="shared" si="13"/>
        <v>0.85582838061901234</v>
      </c>
      <c r="Q119" s="18">
        <f t="shared" si="14"/>
        <v>1.4029973354458378</v>
      </c>
      <c r="X119">
        <v>0</v>
      </c>
      <c r="Y119" s="4" t="s">
        <v>142</v>
      </c>
      <c r="Z119" s="18" t="s">
        <v>158</v>
      </c>
      <c r="AA119" s="18">
        <v>5</v>
      </c>
      <c r="AB119" s="18">
        <v>5</v>
      </c>
      <c r="AC119" s="18">
        <v>5</v>
      </c>
    </row>
    <row r="120" spans="3:29">
      <c r="C120" s="4" t="s">
        <v>142</v>
      </c>
      <c r="D120" s="18" t="s">
        <v>159</v>
      </c>
      <c r="E120" s="18">
        <v>3.5655626627364301</v>
      </c>
      <c r="F120" s="19">
        <v>2.7074604274134102</v>
      </c>
      <c r="G120" s="19">
        <v>4.4384597641857004</v>
      </c>
      <c r="L120">
        <v>2050</v>
      </c>
      <c r="M120" s="4" t="s">
        <v>142</v>
      </c>
      <c r="N120" s="18" t="s">
        <v>159</v>
      </c>
      <c r="O120" s="18">
        <f t="shared" si="12"/>
        <v>1.1160211134365026</v>
      </c>
      <c r="P120" s="18">
        <f t="shared" si="13"/>
        <v>0.84743511378039738</v>
      </c>
      <c r="Q120" s="18">
        <f t="shared" si="14"/>
        <v>1.3892379061901243</v>
      </c>
      <c r="X120">
        <v>0</v>
      </c>
      <c r="Y120" s="4" t="s">
        <v>142</v>
      </c>
      <c r="Z120" s="18" t="s">
        <v>159</v>
      </c>
      <c r="AA120" s="18">
        <v>5</v>
      </c>
      <c r="AB120" s="18">
        <v>5</v>
      </c>
      <c r="AC120" s="18">
        <v>5</v>
      </c>
    </row>
    <row r="121" spans="3:29">
      <c r="C121" s="4" t="s">
        <v>142</v>
      </c>
      <c r="D121" s="18" t="s">
        <v>160</v>
      </c>
      <c r="E121" s="18">
        <v>3.56645369688037</v>
      </c>
      <c r="F121" s="19">
        <v>2.70813706705969</v>
      </c>
      <c r="G121" s="19">
        <v>4.4395689019896798</v>
      </c>
      <c r="L121">
        <v>2050</v>
      </c>
      <c r="M121" s="4" t="s">
        <v>142</v>
      </c>
      <c r="N121" s="18" t="s">
        <v>160</v>
      </c>
      <c r="O121" s="18">
        <f t="shared" si="12"/>
        <v>1.1163000071235558</v>
      </c>
      <c r="P121" s="18">
        <f t="shared" si="13"/>
        <v>0.84764690198968295</v>
      </c>
      <c r="Q121" s="18">
        <f t="shared" si="14"/>
        <v>1.3895850663227698</v>
      </c>
      <c r="X121">
        <v>0</v>
      </c>
      <c r="Y121" s="4" t="s">
        <v>142</v>
      </c>
      <c r="Z121" s="18" t="s">
        <v>160</v>
      </c>
      <c r="AA121" s="18">
        <v>5</v>
      </c>
      <c r="AB121" s="18">
        <v>5</v>
      </c>
      <c r="AC121" s="18">
        <v>5</v>
      </c>
    </row>
    <row r="122" spans="3:29">
      <c r="C122" s="4" t="s">
        <v>142</v>
      </c>
      <c r="D122" s="18" t="s">
        <v>161</v>
      </c>
      <c r="E122" s="18">
        <v>3.5658596168017702</v>
      </c>
      <c r="F122" s="19">
        <v>2.7076859248341898</v>
      </c>
      <c r="G122" s="19">
        <v>4.4388294030950597</v>
      </c>
      <c r="L122">
        <v>2050</v>
      </c>
      <c r="M122" s="4" t="s">
        <v>142</v>
      </c>
      <c r="N122" s="18" t="s">
        <v>161</v>
      </c>
      <c r="O122" s="18">
        <f t="shared" si="12"/>
        <v>1.1161140600589541</v>
      </c>
      <c r="P122" s="18">
        <f t="shared" si="13"/>
        <v>0.84750569447310142</v>
      </c>
      <c r="Q122" s="18">
        <f t="shared" si="14"/>
        <v>1.3893536031687537</v>
      </c>
      <c r="X122">
        <v>0</v>
      </c>
      <c r="Y122" s="4" t="s">
        <v>142</v>
      </c>
      <c r="Z122" s="18" t="s">
        <v>161</v>
      </c>
      <c r="AA122" s="18">
        <v>5</v>
      </c>
      <c r="AB122" s="18">
        <v>5</v>
      </c>
      <c r="AC122" s="18">
        <v>5</v>
      </c>
    </row>
    <row r="123" spans="3:29">
      <c r="C123" s="4" t="s">
        <v>142</v>
      </c>
      <c r="D123" s="18" t="s">
        <v>162</v>
      </c>
      <c r="E123" s="18">
        <v>3.5655626627364301</v>
      </c>
      <c r="F123" s="19">
        <v>2.7074604274134102</v>
      </c>
      <c r="G123" s="19">
        <v>4.4384597641857004</v>
      </c>
      <c r="L123">
        <v>2050</v>
      </c>
      <c r="M123" s="4" t="s">
        <v>142</v>
      </c>
      <c r="N123" s="18" t="s">
        <v>162</v>
      </c>
      <c r="O123" s="18">
        <f t="shared" si="12"/>
        <v>1.1160211134365026</v>
      </c>
      <c r="P123" s="18">
        <f t="shared" si="13"/>
        <v>0.84743511378039738</v>
      </c>
      <c r="Q123" s="18">
        <f t="shared" si="14"/>
        <v>1.3892379061901243</v>
      </c>
      <c r="X123">
        <v>0</v>
      </c>
      <c r="Y123" s="4" t="s">
        <v>142</v>
      </c>
      <c r="Z123" s="18" t="s">
        <v>162</v>
      </c>
      <c r="AA123" s="18">
        <v>5</v>
      </c>
      <c r="AB123" s="18">
        <v>5</v>
      </c>
      <c r="AC123" s="18">
        <v>5</v>
      </c>
    </row>
    <row r="124" spans="3:29">
      <c r="C124" s="4" t="s">
        <v>142</v>
      </c>
      <c r="D124" s="20" t="s">
        <v>163</v>
      </c>
      <c r="E124" s="18">
        <v>3.5649689019896802</v>
      </c>
      <c r="F124" s="19">
        <v>2.7070095799557801</v>
      </c>
      <c r="G124" s="19">
        <v>4.4377206337509199</v>
      </c>
      <c r="L124">
        <v>2050</v>
      </c>
      <c r="M124" s="4" t="s">
        <v>142</v>
      </c>
      <c r="N124" s="20" t="s">
        <v>163</v>
      </c>
      <c r="O124" s="18">
        <f t="shared" si="12"/>
        <v>1.11583526632277</v>
      </c>
      <c r="P124" s="18">
        <f t="shared" si="13"/>
        <v>0.84729399852615916</v>
      </c>
      <c r="Q124" s="18">
        <f t="shared" si="14"/>
        <v>1.3890065583640379</v>
      </c>
      <c r="X124">
        <v>0</v>
      </c>
      <c r="Y124" s="4" t="s">
        <v>142</v>
      </c>
      <c r="Z124" s="18" t="s">
        <v>163</v>
      </c>
      <c r="AA124" s="18">
        <v>5</v>
      </c>
      <c r="AB124" s="18">
        <v>5</v>
      </c>
      <c r="AC124" s="18">
        <v>5</v>
      </c>
    </row>
    <row r="132" spans="3:29">
      <c r="C132" s="4"/>
      <c r="D132" t="s">
        <v>69</v>
      </c>
      <c r="M132" s="4"/>
      <c r="Y132" s="4"/>
    </row>
    <row r="133" spans="3:29">
      <c r="C133" s="4" t="s">
        <v>71</v>
      </c>
      <c r="D133" s="18" t="s">
        <v>45</v>
      </c>
      <c r="E133" s="18" t="s">
        <v>44</v>
      </c>
      <c r="F133" s="18"/>
      <c r="G133" s="18"/>
      <c r="M133" s="4"/>
      <c r="N133" s="4"/>
      <c r="O133" s="4"/>
      <c r="P133" s="4"/>
      <c r="Q133" s="4"/>
      <c r="Y133" s="4"/>
      <c r="Z133" s="4"/>
      <c r="AA133" s="4"/>
      <c r="AB133" s="4"/>
      <c r="AC133" s="4"/>
    </row>
    <row r="134" spans="3:29">
      <c r="C134" s="4" t="s">
        <v>164</v>
      </c>
      <c r="D134" s="18" t="s">
        <v>143</v>
      </c>
      <c r="E134" s="18">
        <v>1E-3</v>
      </c>
      <c r="F134" s="19"/>
      <c r="G134" s="19"/>
      <c r="M134" s="4"/>
      <c r="N134" s="4"/>
      <c r="O134" s="4"/>
      <c r="P134" s="4"/>
      <c r="Q134" s="4"/>
      <c r="Y134" s="4"/>
      <c r="Z134" s="4"/>
      <c r="AA134" s="4"/>
      <c r="AB134" s="4"/>
      <c r="AC134" s="4"/>
    </row>
    <row r="135" spans="3:29">
      <c r="C135" s="4" t="s">
        <v>164</v>
      </c>
      <c r="D135" s="18" t="s">
        <v>144</v>
      </c>
      <c r="E135" s="18">
        <f>E134</f>
        <v>1E-3</v>
      </c>
      <c r="F135" s="19"/>
      <c r="G135" s="19"/>
      <c r="M135" s="4"/>
      <c r="N135" s="4"/>
      <c r="O135" s="4"/>
      <c r="P135" s="4"/>
      <c r="Q135" s="4"/>
      <c r="Y135" s="4"/>
      <c r="Z135" s="4"/>
      <c r="AA135" s="4"/>
      <c r="AB135" s="4"/>
      <c r="AC135" s="4"/>
    </row>
    <row r="136" spans="3:29">
      <c r="C136" s="4" t="s">
        <v>164</v>
      </c>
      <c r="D136" s="18" t="s">
        <v>145</v>
      </c>
      <c r="E136" s="18">
        <f t="shared" ref="E136:E154" si="15">E135</f>
        <v>1E-3</v>
      </c>
      <c r="F136" s="19"/>
      <c r="G136" s="19"/>
      <c r="M136" s="4"/>
      <c r="N136" s="4"/>
      <c r="O136" s="4"/>
      <c r="P136" s="4"/>
      <c r="Q136" s="4"/>
      <c r="Y136" s="4"/>
      <c r="Z136" s="4"/>
      <c r="AA136" s="4"/>
      <c r="AB136" s="4"/>
      <c r="AC136" s="4"/>
    </row>
    <row r="137" spans="3:29">
      <c r="C137" s="4" t="s">
        <v>164</v>
      </c>
      <c r="D137" s="18" t="s">
        <v>146</v>
      </c>
      <c r="E137" s="18">
        <f t="shared" si="15"/>
        <v>1E-3</v>
      </c>
      <c r="F137" s="19"/>
      <c r="G137" s="19"/>
      <c r="M137" s="4"/>
      <c r="N137" s="4"/>
      <c r="O137" s="4"/>
      <c r="P137" s="4"/>
      <c r="Q137" s="4"/>
      <c r="Y137" s="4"/>
      <c r="Z137" s="4"/>
      <c r="AA137" s="4"/>
      <c r="AB137" s="4"/>
      <c r="AC137" s="4"/>
    </row>
    <row r="138" spans="3:29">
      <c r="C138" s="4" t="s">
        <v>164</v>
      </c>
      <c r="D138" s="18" t="s">
        <v>147</v>
      </c>
      <c r="E138" s="18">
        <f t="shared" si="15"/>
        <v>1E-3</v>
      </c>
      <c r="F138" s="19"/>
      <c r="G138" s="19"/>
      <c r="M138" s="4"/>
      <c r="N138" s="4"/>
      <c r="O138" s="4"/>
      <c r="P138" s="4"/>
      <c r="Q138" s="4"/>
      <c r="Y138" s="4"/>
      <c r="Z138" s="4"/>
      <c r="AA138" s="4"/>
      <c r="AB138" s="4"/>
      <c r="AC138" s="4"/>
    </row>
    <row r="139" spans="3:29">
      <c r="C139" s="4" t="s">
        <v>164</v>
      </c>
      <c r="D139" s="18" t="s">
        <v>148</v>
      </c>
      <c r="E139" s="18">
        <f t="shared" si="15"/>
        <v>1E-3</v>
      </c>
      <c r="F139" s="19"/>
      <c r="G139" s="19"/>
      <c r="M139" s="4"/>
      <c r="N139" s="4"/>
      <c r="O139" s="4"/>
      <c r="P139" s="4"/>
      <c r="Q139" s="4"/>
      <c r="Y139" s="4"/>
      <c r="Z139" s="4"/>
      <c r="AA139" s="4"/>
      <c r="AB139" s="4"/>
      <c r="AC139" s="4"/>
    </row>
    <row r="140" spans="3:29">
      <c r="C140" s="4" t="s">
        <v>164</v>
      </c>
      <c r="D140" s="18" t="s">
        <v>149</v>
      </c>
      <c r="E140" s="18">
        <f t="shared" si="15"/>
        <v>1E-3</v>
      </c>
      <c r="F140" s="19"/>
      <c r="G140" s="19"/>
      <c r="M140" s="4"/>
      <c r="N140" s="4"/>
      <c r="O140" s="4"/>
      <c r="P140" s="4"/>
      <c r="Q140" s="4"/>
      <c r="Y140" s="4"/>
      <c r="Z140" s="4"/>
      <c r="AA140" s="4"/>
      <c r="AB140" s="4"/>
      <c r="AC140" s="4"/>
    </row>
    <row r="141" spans="3:29">
      <c r="C141" s="4" t="s">
        <v>164</v>
      </c>
      <c r="D141" s="18" t="s">
        <v>150</v>
      </c>
      <c r="E141" s="18">
        <f t="shared" si="15"/>
        <v>1E-3</v>
      </c>
      <c r="F141" s="19"/>
      <c r="G141" s="19"/>
      <c r="M141" s="4"/>
      <c r="N141" s="4"/>
      <c r="O141" s="4"/>
      <c r="P141" s="4"/>
      <c r="Q141" s="4"/>
      <c r="Y141" s="4"/>
      <c r="Z141" s="4"/>
      <c r="AA141" s="4"/>
      <c r="AB141" s="4"/>
      <c r="AC141" s="4"/>
    </row>
    <row r="142" spans="3:29">
      <c r="C142" s="4" t="s">
        <v>164</v>
      </c>
      <c r="D142" s="18" t="s">
        <v>151</v>
      </c>
      <c r="E142" s="18">
        <f t="shared" si="15"/>
        <v>1E-3</v>
      </c>
      <c r="F142" s="19"/>
      <c r="G142" s="19"/>
      <c r="M142" s="4"/>
      <c r="N142" s="4"/>
      <c r="O142" s="4"/>
      <c r="P142" s="4"/>
      <c r="Q142" s="4"/>
      <c r="Y142" s="4"/>
      <c r="Z142" s="4"/>
      <c r="AA142" s="4"/>
      <c r="AB142" s="4"/>
      <c r="AC142" s="4"/>
    </row>
    <row r="143" spans="3:29">
      <c r="C143" s="4" t="s">
        <v>164</v>
      </c>
      <c r="D143" s="18" t="s">
        <v>152</v>
      </c>
      <c r="E143" s="18">
        <f t="shared" si="15"/>
        <v>1E-3</v>
      </c>
      <c r="F143" s="19"/>
      <c r="G143" s="19"/>
      <c r="M143" s="4"/>
      <c r="N143" s="4"/>
      <c r="O143" s="4"/>
      <c r="P143" s="4"/>
      <c r="Q143" s="4"/>
      <c r="Y143" s="4"/>
      <c r="Z143" s="4"/>
      <c r="AA143" s="4"/>
      <c r="AB143" s="4"/>
      <c r="AC143" s="4"/>
    </row>
    <row r="144" spans="3:29">
      <c r="C144" s="4" t="s">
        <v>164</v>
      </c>
      <c r="D144" s="18" t="s">
        <v>153</v>
      </c>
      <c r="E144" s="18">
        <f t="shared" si="15"/>
        <v>1E-3</v>
      </c>
      <c r="F144" s="19"/>
      <c r="G144" s="19"/>
      <c r="M144" s="4"/>
      <c r="N144" s="4"/>
      <c r="O144" s="4"/>
      <c r="P144" s="4"/>
      <c r="Q144" s="4"/>
      <c r="Y144" s="4"/>
      <c r="Z144" s="4"/>
      <c r="AA144" s="4"/>
      <c r="AB144" s="4"/>
      <c r="AC144" s="4"/>
    </row>
    <row r="145" spans="3:29">
      <c r="C145" s="4" t="s">
        <v>164</v>
      </c>
      <c r="D145" s="18" t="s">
        <v>154</v>
      </c>
      <c r="E145" s="18">
        <f t="shared" si="15"/>
        <v>1E-3</v>
      </c>
      <c r="F145" s="19"/>
      <c r="G145" s="19"/>
      <c r="M145" s="4"/>
      <c r="N145" s="4"/>
      <c r="O145" s="4"/>
      <c r="P145" s="4"/>
      <c r="Q145" s="4"/>
      <c r="Y145" s="4"/>
      <c r="Z145" s="4"/>
      <c r="AA145" s="4"/>
      <c r="AB145" s="4"/>
      <c r="AC145" s="4"/>
    </row>
    <row r="146" spans="3:29">
      <c r="C146" s="4" t="s">
        <v>164</v>
      </c>
      <c r="D146" s="18" t="s">
        <v>155</v>
      </c>
      <c r="E146" s="18">
        <f t="shared" si="15"/>
        <v>1E-3</v>
      </c>
      <c r="F146" s="19"/>
      <c r="G146" s="19"/>
      <c r="M146" s="4"/>
      <c r="N146" s="4"/>
      <c r="O146" s="4"/>
      <c r="P146" s="4"/>
      <c r="Q146" s="4"/>
      <c r="Y146" s="4"/>
      <c r="Z146" s="4"/>
      <c r="AA146" s="4"/>
      <c r="AB146" s="4"/>
      <c r="AC146" s="4"/>
    </row>
    <row r="147" spans="3:29">
      <c r="C147" s="4" t="s">
        <v>164</v>
      </c>
      <c r="D147" s="18" t="s">
        <v>156</v>
      </c>
      <c r="E147" s="18">
        <f t="shared" si="15"/>
        <v>1E-3</v>
      </c>
      <c r="F147" s="19"/>
      <c r="G147" s="19"/>
      <c r="M147" s="4"/>
      <c r="N147" s="4"/>
      <c r="O147" s="4"/>
      <c r="P147" s="4"/>
      <c r="Q147" s="4"/>
      <c r="Y147" s="4"/>
      <c r="Z147" s="4"/>
      <c r="AA147" s="4"/>
      <c r="AB147" s="4"/>
      <c r="AC147" s="4"/>
    </row>
    <row r="148" spans="3:29">
      <c r="C148" s="4" t="s">
        <v>164</v>
      </c>
      <c r="D148" s="18" t="s">
        <v>157</v>
      </c>
      <c r="E148" s="18">
        <f t="shared" si="15"/>
        <v>1E-3</v>
      </c>
      <c r="F148" s="19"/>
      <c r="G148" s="19"/>
      <c r="M148" s="4"/>
      <c r="N148" s="4"/>
      <c r="O148" s="4"/>
      <c r="P148" s="4"/>
      <c r="Q148" s="4"/>
      <c r="Y148" s="4"/>
      <c r="Z148" s="4"/>
      <c r="AA148" s="4"/>
      <c r="AB148" s="4"/>
      <c r="AC148" s="4"/>
    </row>
    <row r="149" spans="3:29">
      <c r="C149" s="4" t="s">
        <v>164</v>
      </c>
      <c r="D149" s="18" t="s">
        <v>158</v>
      </c>
      <c r="E149" s="18">
        <f t="shared" si="15"/>
        <v>1E-3</v>
      </c>
      <c r="F149" s="19"/>
      <c r="G149" s="19"/>
      <c r="M149" s="4"/>
      <c r="N149" s="4"/>
      <c r="O149" s="4"/>
      <c r="P149" s="4"/>
      <c r="Q149" s="4"/>
      <c r="Y149" s="4"/>
      <c r="Z149" s="4"/>
      <c r="AA149" s="4"/>
      <c r="AB149" s="4"/>
      <c r="AC149" s="4"/>
    </row>
    <row r="150" spans="3:29">
      <c r="C150" s="4" t="s">
        <v>164</v>
      </c>
      <c r="D150" s="18" t="s">
        <v>159</v>
      </c>
      <c r="E150" s="18">
        <f t="shared" si="15"/>
        <v>1E-3</v>
      </c>
      <c r="F150" s="19"/>
      <c r="G150" s="19"/>
      <c r="M150" s="4"/>
      <c r="N150" s="4"/>
      <c r="O150" s="4"/>
      <c r="P150" s="4"/>
      <c r="Q150" s="4"/>
      <c r="Y150" s="4"/>
      <c r="Z150" s="4"/>
      <c r="AA150" s="4"/>
      <c r="AB150" s="4"/>
      <c r="AC150" s="4"/>
    </row>
    <row r="151" spans="3:29">
      <c r="C151" s="4" t="s">
        <v>164</v>
      </c>
      <c r="D151" s="18" t="s">
        <v>160</v>
      </c>
      <c r="E151" s="18">
        <f t="shared" si="15"/>
        <v>1E-3</v>
      </c>
      <c r="F151" s="19"/>
      <c r="G151" s="19"/>
      <c r="M151" s="4"/>
      <c r="N151" s="4"/>
      <c r="O151" s="4"/>
      <c r="P151" s="4"/>
      <c r="Q151" s="4"/>
      <c r="Y151" s="4"/>
      <c r="Z151" s="4"/>
      <c r="AA151" s="4"/>
      <c r="AB151" s="4"/>
      <c r="AC151" s="4"/>
    </row>
    <row r="152" spans="3:29">
      <c r="C152" s="4" t="s">
        <v>164</v>
      </c>
      <c r="D152" s="18" t="s">
        <v>161</v>
      </c>
      <c r="E152" s="18">
        <f t="shared" si="15"/>
        <v>1E-3</v>
      </c>
      <c r="F152" s="19"/>
      <c r="G152" s="19"/>
      <c r="M152" s="4"/>
      <c r="N152" s="4"/>
      <c r="O152" s="4"/>
      <c r="P152" s="4"/>
      <c r="Q152" s="4"/>
      <c r="Y152" s="4"/>
      <c r="Z152" s="4"/>
      <c r="AA152" s="4"/>
      <c r="AB152" s="4"/>
      <c r="AC152" s="4"/>
    </row>
    <row r="153" spans="3:29">
      <c r="C153" s="4" t="s">
        <v>164</v>
      </c>
      <c r="D153" s="18" t="s">
        <v>162</v>
      </c>
      <c r="E153" s="18">
        <f t="shared" si="15"/>
        <v>1E-3</v>
      </c>
      <c r="F153" s="19"/>
      <c r="G153" s="19"/>
      <c r="M153" s="4"/>
      <c r="N153" s="4"/>
      <c r="O153" s="4"/>
      <c r="P153" s="4"/>
      <c r="Q153" s="4"/>
      <c r="Y153" s="4"/>
      <c r="Z153" s="4"/>
      <c r="AA153" s="4"/>
      <c r="AB153" s="4"/>
      <c r="AC153" s="4"/>
    </row>
    <row r="154" spans="3:29">
      <c r="C154" s="4" t="s">
        <v>164</v>
      </c>
      <c r="D154" s="20" t="s">
        <v>163</v>
      </c>
      <c r="E154" s="18">
        <f t="shared" si="15"/>
        <v>1E-3</v>
      </c>
      <c r="F154" s="19"/>
      <c r="G154" s="19"/>
      <c r="M154" s="4"/>
      <c r="N154" s="4"/>
      <c r="O154" s="4"/>
      <c r="P154" s="4"/>
      <c r="Q154" s="4"/>
      <c r="Y154" s="4"/>
      <c r="Z154" s="4"/>
      <c r="AA154" s="4"/>
      <c r="AB154" s="4"/>
      <c r="AC154" s="4"/>
    </row>
  </sheetData>
  <sortState xmlns:xlrd2="http://schemas.microsoft.com/office/spreadsheetml/2017/richdata2" ref="AZ33:BA38">
    <sortCondition ref="AZ33:AZ38"/>
  </sortState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"/>
  <sheetViews>
    <sheetView workbookViewId="0"/>
  </sheetViews>
  <sheetFormatPr defaultColWidth="9" defaultRowHeight="12.5"/>
  <cols>
    <col min="3" max="3" width="11.6328125" customWidth="1"/>
    <col min="12" max="28" width="5.26953125" customWidth="1"/>
  </cols>
  <sheetData>
    <row r="1" spans="1:12">
      <c r="A1" t="s">
        <v>165</v>
      </c>
      <c r="B1" t="s">
        <v>71</v>
      </c>
      <c r="C1" t="s">
        <v>45</v>
      </c>
      <c r="D1" t="s">
        <v>47</v>
      </c>
      <c r="E1" t="s">
        <v>166</v>
      </c>
      <c r="F1" t="s">
        <v>167</v>
      </c>
      <c r="G1" t="s">
        <v>77</v>
      </c>
      <c r="H1" t="s">
        <v>168</v>
      </c>
      <c r="I1" t="s">
        <v>169</v>
      </c>
      <c r="J1" t="s">
        <v>170</v>
      </c>
      <c r="K1" t="s">
        <v>171</v>
      </c>
      <c r="L1" t="s">
        <v>172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TechSelection</vt:lpstr>
      <vt:lpstr>Road transport</vt:lpstr>
      <vt:lpstr>RoadTra_BY</vt:lpstr>
    </vt:vector>
  </TitlesOfParts>
  <Company>Dell Computer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Xiao Li</cp:lastModifiedBy>
  <cp:lastPrinted>2001-09-28T20:39:00Z</cp:lastPrinted>
  <dcterms:created xsi:type="dcterms:W3CDTF">2001-09-28T18:48:00Z</dcterms:created>
  <dcterms:modified xsi:type="dcterms:W3CDTF">2025-11-24T19:23:15Z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{EB3971F8-0E88-4138-9B5F-5661BAE86EB6}</vt:lpwstr>
  </property>
  <property fmtid="{D5CDD505-2E9C-101B-9397-08002B2CF9AE}" pid="3" name="SaveCode">
    <vt:r8>471264078594048</vt:r8>
  </property>
  <property fmtid="{D5CDD505-2E9C-101B-9397-08002B2CF9AE}" pid="4" name="ICV">
    <vt:lpwstr>45D5F3D94C4940779DA6D9ECCC51C81A_12</vt:lpwstr>
  </property>
  <property fmtid="{D5CDD505-2E9C-101B-9397-08002B2CF9AE}" pid="5" name="KSOProductBuildVer">
    <vt:lpwstr>1033-12.2.0.22549</vt:lpwstr>
  </property>
</Properties>
</file>